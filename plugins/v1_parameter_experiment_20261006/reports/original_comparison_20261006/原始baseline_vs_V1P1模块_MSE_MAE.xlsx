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4d8207996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实际误差汇总" sheetId="1" r:id="Recc7faab6be94660"/>
    <x:sheet xmlns:r="http://schemas.openxmlformats.org/officeDocument/2006/relationships" name="180项原版与插件" sheetId="2" r:id="Rf94baefc6f47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[&gt;=0.00000005]0.0000%;[&lt;=-0.00000005]-0.0000%;&quot;0.0000%&quot;"/>
  </x:numFmts>
  <x:fonts count="6">
    <x:font>
      <x:sz val="11"/>
      <x:name val="Carlito"/>
    </x:font>
    <x:font>
      <x:sz val="10"/>
      <x:color rgb="FF243447"/>
      <x:name val="Arial"/>
    </x:font>
    <x:font>
      <x:b/>
      <x:sz val="14"/>
      <x:color rgb="FF213C57"/>
      <x:name val="Arial"/>
    </x:font>
    <x:font>
      <x:sz val="10"/>
      <x:color rgb="FF586A7B"/>
      <x:name val="Arial"/>
    </x:font>
    <x:font>
      <x:b/>
      <x:sz val="10"/>
      <x:color rgb="FFFFFFFF"/>
      <x:name val="Arial"/>
    </x:font>
    <x:font>
      <x:sz val="10"/>
      <x:color rgb="FF18659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C5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709497c5d4800" /><Relationship Type="http://schemas.openxmlformats.org/officeDocument/2006/relationships/theme" Target="/xl/theme/theme1.xml" Id="R870e06e1e00d4672" /><Relationship Type="http://schemas.openxmlformats.org/officeDocument/2006/relationships/sharedStrings" Target="/xl/sharedStrings.xml" Id="R7355a80fcd78498b" /><Relationship Type="http://schemas.openxmlformats.org/officeDocument/2006/relationships/worksheet" Target="/xl/worksheets/sheet1.xml" Id="Recc7faab6be94660" /><Relationship Type="http://schemas.openxmlformats.org/officeDocument/2006/relationships/worksheet" Target="/xl/worksheets/sheet2.xml" Id="Rf94baefc6f474a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9b972fe86e4812" /><Relationship Type="http://schemas.openxmlformats.org/officeDocument/2006/relationships/chart" Target="/xl/drawings/charts/chart2.xml" Id="R49f0e9c117ec43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实际MSE均值：原始与模块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原始MSE均值</c:v>
          </c:tx>
          <c:spPr>
            <a:solidFill xmlns:a="http://schemas.openxmlformats.org/drawingml/2006/main">
              <a:srgbClr val="8F9DAB"/>
            </a:solidFill>
          </c:spPr>
          <c:cat>
            <c:strRef>
              <c:f>'模型实际误差汇总'!$A$6:$A$10</c:f>
              <c:strCache>
                <c:ptCount val="0"/>
              </c:strCache>
            </c:strRef>
          </c:cat>
          <c:val>
            <c:numRef>
              <c:f>'模型实际误差汇总'!$B$6:$B$10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模块MSE均值</c:v>
          </c:tx>
          <c:spPr>
            <a:solidFill xmlns:a="http://schemas.openxmlformats.org/drawingml/2006/main">
              <a:srgbClr val="367FB5"/>
            </a:solidFill>
          </c:spPr>
          <c:cat>
            <c:strRef>
              <c:f>'模型实际误差汇总'!$A$6:$A$10</c:f>
              <c:strCache>
                <c:ptCount val="0"/>
              </c:strCache>
            </c:strRef>
          </c:cat>
          <c:val>
            <c:numRef>
              <c:f>'模型实际误差汇总'!$C$6:$C$10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实际MAE均值：原始与模块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原始MAE均值</c:v>
          </c:tx>
          <c:spPr>
            <a:solidFill xmlns:a="http://schemas.openxmlformats.org/drawingml/2006/main">
              <a:srgbClr val="8F9DAB"/>
            </a:solidFill>
          </c:spPr>
          <c:cat>
            <c:strRef>
              <c:f>'模型实际误差汇总'!$A$16:$A$20</c:f>
              <c:strCache>
                <c:ptCount val="0"/>
              </c:strCache>
            </c:strRef>
          </c:cat>
          <c:val>
            <c:numRef>
              <c:f>'模型实际误差汇总'!$B$16:$B$20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模块MAE均值</c:v>
          </c:tx>
          <c:spPr>
            <a:solidFill xmlns:a="http://schemas.openxmlformats.org/drawingml/2006/main">
              <a:srgbClr val="367FB5"/>
            </a:solidFill>
          </c:spPr>
          <c:cat>
            <c:strRef>
              <c:f>'模型实际误差汇总'!$A$16:$A$20</c:f>
              <c:strCache>
                <c:ptCount val="0"/>
              </c:strCache>
            </c:strRef>
          </c:cat>
          <c:val>
            <c:numRef>
              <c:f>'模型实际误差汇总'!$C$16:$C$20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9b972fe86e4812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f0e9c117ec43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iginalModuleComparison" displayName="OriginalModuleComparison" ref="A5:K185" headerRowCount="1" totalsRowCount="0" totalsRowShown="0">
  <x:tableColumns count="11">
    <x:tableColumn id="1" name="领域"/>
    <x:tableColumn id="2" name="预测步长"/>
    <x:tableColumn id="3" name="模型"/>
    <x:tableColumn id="4" name="原始baseline MSE"/>
    <x:tableColumn id="5" name="添加模块MSE"/>
    <x:tableColumn id="6" name="MSE下降率"/>
    <x:tableColumn id="7" name="原始baseline MAE"/>
    <x:tableColumn id="8" name="添加模块MAE"/>
    <x:tableColumn id="9" name="MAE下降率"/>
    <x:tableColumn id="10" name="启用种子数/3"/>
    <x:tableColumn id="11" name="双指标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3dcd8fa6b944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d3376b27c64892" /></Relationships>
</file>

<file path=xl/worksheets/sheet1.xml><?xml version="1.0" encoding="utf-8"?>
<x:worksheet xmlns:x="http://schemas.openxmlformats.org/spreadsheetml/2006/main">
  <x:sheetPr>
    <x:tabColor rgb="FF213C57"/>
  </x:sheetPr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无插件原版与当前模块：实际 MSE 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每模型36项=九领域×四步长。B/C列为MSE简单均值；D列由这两个均值计算下降率。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E列为逐任务下降率宏平均，口径不同。不同领域误差量级差异大，请同时查看180项明细。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0" customHeight="1">
      <x:c r="A5" s="9" t="str">
        <x:v>模型</x:v>
      </x:c>
      <x:c r="B5" s="10" t="str">
        <x:v>原始MSE均值</x:v>
      </x:c>
      <x:c r="C5" s="10" t="str">
        <x:v>模块MSE均值</x:v>
      </x:c>
      <x:c r="D5" s="10" t="str">
        <x:v>均值MSE下降率</x:v>
      </x:c>
      <x:c r="E5" s="10" t="str">
        <x:v>逐任务下降率均值</x:v>
      </x:c>
      <x:c r="F5" s="10" t="str">
        <x:v>MSE下降任务</x:v>
      </x:c>
      <x:c r="G5" s="10" t="str">
        <x:v>MSE增加任务</x:v>
      </x:c>
      <x:c r="H5" s="10" t="str">
        <x:v>MSE持平任务</x:v>
      </x:c>
      <x:c r="I5" s="11" t="str">
        <x:v>任务数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2" t="str">
        <x:v>TaTS</x:v>
      </x:c>
      <x:c r="B6" s="12" t="n">
        <x:f>AVERAGEIFS('180项原版与插件'!$D$6:$D$185,'180项原版与插件'!$C$6:$C$185,$A6)</x:f>
        <x:v>9.28525323573937</x:v>
      </x:c>
      <x:c r="C6" s="12" t="n">
        <x:f>AVERAGEIFS('180项原版与插件'!$E$6:$E$185,'180项原版与插件'!$C$6:$C$185,$A6)</x:f>
        <x:v>9.26911204265429</x:v>
      </x:c>
      <x:c r="D6" s="18" t="n">
        <x:f>(B6-C6)/B6</x:f>
        <x:v>0.0017383686449122856</x:v>
      </x:c>
      <x:c r="E6" s="18" t="n">
        <x:f>AVERAGEIFS('180项原版与插件'!$F$6:$F$185,'180项原版与插件'!$C$6:$C$185,$A6)</x:f>
        <x:v>0.029075126173780504</x:v>
      </x:c>
      <x:c r="F6" s="2" t="n">
        <x:f>COUNTIFS('180项原版与插件'!$C$6:$C$185,$A6,'180项原版与插件'!$F$6:$F$185,"&gt;0.0000001")</x:f>
        <x:v>17</x:v>
      </x:c>
      <x:c r="G6" s="2" t="n">
        <x:f>COUNTIFS('180项原版与插件'!$C$6:$C$185,$A6,'180项原版与插件'!$F$6:$F$185,"&lt;-0.0000001")</x:f>
        <x:v>2</x:v>
      </x:c>
      <x:c r="H6" s="2" t="n">
        <x:f>I6-F6-G6</x:f>
        <x:v>17</x:v>
      </x:c>
      <x:c r="I6" s="2" t="n">
        <x:f>COUNTIFS('180项原版与插件'!$C$6:$C$185,$A6)</x:f>
        <x:v>36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2" t="str">
        <x:v>MM-TSFlib</x:v>
      </x:c>
      <x:c r="B7" s="12" t="n">
        <x:f>AVERAGEIFS('180项原版与插件'!$D$6:$D$185,'180项原版与插件'!$C$6:$C$185,$A7)</x:f>
        <x:v>11.591392942939637</x:v>
      </x:c>
      <x:c r="C7" s="12" t="n">
        <x:f>AVERAGEIFS('180项原版与插件'!$E$6:$E$185,'180项原版与插件'!$C$6:$C$185,$A7)</x:f>
        <x:v>11.006551800207928</x:v>
      </x:c>
      <x:c r="D7" s="18" t="n">
        <x:f>(B7-C7)/B7</x:f>
        <x:v>0.050454776713262685</x:v>
      </x:c>
      <x:c r="E7" s="18" t="n">
        <x:f>AVERAGEIFS('180项原版与插件'!$F$6:$F$185,'180项原版与插件'!$C$6:$C$185,$A7)</x:f>
        <x:v>0.048187383306722356</x:v>
      </x:c>
      <x:c r="F7" s="2" t="n">
        <x:f>COUNTIFS('180项原版与插件'!$C$6:$C$185,$A7,'180项原版与插件'!$F$6:$F$185,"&gt;0.0000001")</x:f>
        <x:v>18</x:v>
      </x:c>
      <x:c r="G7" s="2" t="n">
        <x:f>COUNTIFS('180项原版与插件'!$C$6:$C$185,$A7,'180项原版与插件'!$F$6:$F$185,"&lt;-0.0000001")</x:f>
        <x:v>1</x:v>
      </x:c>
      <x:c r="H7" s="2" t="n">
        <x:f>I7-F7-G7</x:f>
        <x:v>17</x:v>
      </x:c>
      <x:c r="I7" s="2" t="n">
        <x:f>COUNTIFS('180项原版与插件'!$C$6:$C$185,$A7)</x:f>
        <x:v>36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2" t="str">
        <x:v>SpecTF</x:v>
      </x:c>
      <x:c r="B8" s="12" t="n">
        <x:f>AVERAGEIFS('180项原版与插件'!$D$6:$D$185,'180项原版与插件'!$C$6:$C$185,$A8)</x:f>
        <x:v>8.641092111536045</x:v>
      </x:c>
      <x:c r="C8" s="12" t="n">
        <x:f>AVERAGEIFS('180项原版与插件'!$E$6:$E$185,'180项原版与插件'!$C$6:$C$185,$A8)</x:f>
        <x:v>8.639327541436593</x:v>
      </x:c>
      <x:c r="D8" s="18" t="n">
        <x:f>(B8-C8)/B8</x:f>
        <x:v>0.00020420683828795277</x:v>
      </x:c>
      <x:c r="E8" s="18" t="n">
        <x:f>AVERAGEIFS('180项原版与插件'!$F$6:$F$185,'180项原版与插件'!$C$6:$C$185,$A8)</x:f>
        <x:v>0.006409168307967772</x:v>
      </x:c>
      <x:c r="F8" s="2" t="n">
        <x:f>COUNTIFS('180项原版与插件'!$C$6:$C$185,$A8,'180项原版与插件'!$F$6:$F$185,"&gt;0.0000001")</x:f>
        <x:v>7</x:v>
      </x:c>
      <x:c r="G8" s="2" t="n">
        <x:f>COUNTIFS('180项原版与插件'!$C$6:$C$185,$A8,'180项原版与插件'!$F$6:$F$185,"&lt;-0.0000001")</x:f>
        <x:v>2</x:v>
      </x:c>
      <x:c r="H8" s="2" t="n">
        <x:f>I8-F8-G8</x:f>
        <x:v>27</x:v>
      </x:c>
      <x:c r="I8" s="2" t="n">
        <x:f>COUNTIFS('180项原版与插件'!$C$6:$C$185,$A8)</x:f>
        <x:v>36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2" t="str">
        <x:v>CFA</x:v>
      </x:c>
      <x:c r="B9" s="12" t="n">
        <x:f>AVERAGEIFS('180项原版与插件'!$D$6:$D$185,'180项原版与插件'!$C$6:$C$185,$A9)</x:f>
        <x:v>10.289808183492534</x:v>
      </x:c>
      <x:c r="C9" s="12" t="n">
        <x:f>AVERAGEIFS('180项原版与插件'!$E$6:$E$185,'180项原版与插件'!$C$6:$C$185,$A9)</x:f>
        <x:v>10.288449400865709</x:v>
      </x:c>
      <x:c r="D9" s="18" t="n">
        <x:f>(B9-C9)/B9</x:f>
        <x:v>0.0001320513077206968</x:v>
      </x:c>
      <x:c r="E9" s="18" t="n">
        <x:f>AVERAGEIFS('180项原版与插件'!$F$6:$F$185,'180项原版与插件'!$C$6:$C$185,$A9)</x:f>
        <x:v>0.00422386137158252</x:v>
      </x:c>
      <x:c r="F9" s="2" t="n">
        <x:f>COUNTIFS('180项原版与插件'!$C$6:$C$185,$A9,'180项原版与插件'!$F$6:$F$185,"&gt;0.0000001")</x:f>
        <x:v>6</x:v>
      </x:c>
      <x:c r="G9" s="2" t="n">
        <x:f>COUNTIFS('180项原版与插件'!$C$6:$C$185,$A9,'180项原版与插件'!$F$6:$F$185,"&lt;-0.0000001")</x:f>
        <x:v>2</x:v>
      </x:c>
      <x:c r="H9" s="2" t="n">
        <x:f>I9-F9-G9</x:f>
        <x:v>28</x:v>
      </x:c>
      <x:c r="I9" s="2" t="n">
        <x:f>COUNTIFS('180项原版与插件'!$C$6:$C$185,$A9)</x:f>
        <x:v>36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2" t="str">
        <x:v>Aurora</x:v>
      </x:c>
      <x:c r="B10" s="12" t="n">
        <x:f>AVERAGEIFS('180项原版与插件'!$D$6:$D$185,'180项原版与插件'!$C$6:$C$185,$A10)</x:f>
        <x:v>10.172231751980526</x:v>
      </x:c>
      <x:c r="C10" s="12" t="n">
        <x:f>AVERAGEIFS('180项原版与插件'!$E$6:$E$185,'180项原版与插件'!$C$6:$C$185,$A10)</x:f>
        <x:v>10.182150460895084</x:v>
      </x:c>
      <x:c r="D10" s="18" t="n">
        <x:f>(B10-C10)/B10</x:f>
        <x:v>-0.0009750769699704171</x:v>
      </x:c>
      <x:c r="E10" s="18" t="n">
        <x:f>AVERAGEIFS('180项原版与插件'!$F$6:$F$185,'180项原版与插件'!$C$6:$C$185,$A10)</x:f>
        <x:v>0.04893876140256519</x:v>
      </x:c>
      <x:c r="F10" s="2" t="n">
        <x:f>COUNTIFS('180项原版与插件'!$C$6:$C$185,$A10,'180项原版与插件'!$F$6:$F$185,"&gt;0.0000001")</x:f>
        <x:v>12</x:v>
      </x:c>
      <x:c r="G10" s="2" t="n">
        <x:f>COUNTIFS('180项原版与插件'!$C$6:$C$185,$A10,'180项原版与插件'!$F$6:$F$185,"&lt;-0.0000001")</x:f>
        <x:v>5</x:v>
      </x:c>
      <x:c r="H10" s="2" t="n">
        <x:f>I10-F10-G10</x:f>
        <x:v>19</x:v>
      </x:c>
      <x:c r="I10" s="2" t="n">
        <x:f>COUNTIFS('180项原版与插件'!$C$6:$C$185,$A10)</x:f>
        <x:v>36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3" t="str">
        <x:v>MAE 同口径补充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40" customHeight="1">
      <x:c r="A15" s="9" t="str">
        <x:v>模型</x:v>
      </x:c>
      <x:c r="B15" s="10" t="str">
        <x:v>原始MAE均值</x:v>
      </x:c>
      <x:c r="C15" s="10" t="str">
        <x:v>模块MAE均值</x:v>
      </x:c>
      <x:c r="D15" s="10" t="str">
        <x:v>均值MAE下降率</x:v>
      </x:c>
      <x:c r="E15" s="10" t="str">
        <x:v>逐任务下降率均值</x:v>
      </x:c>
      <x:c r="F15" s="10" t="str">
        <x:v>MAE下降任务</x:v>
      </x:c>
      <x:c r="G15" s="10" t="str">
        <x:v>MAE增加任务</x:v>
      </x:c>
      <x:c r="H15" s="10" t="str">
        <x:v>MAE持平任务</x:v>
      </x:c>
      <x:c r="I15" s="11" t="str">
        <x:v>任务数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 t="str">
        <x:v>TaTS</x:v>
      </x:c>
      <x:c r="B16" s="12" t="n">
        <x:f>AVERAGEIFS('180项原版与插件'!$G$6:$G$185,'180项原版与插件'!$C$6:$C$185,$A16)</x:f>
        <x:v>1.0101151619611497</x:v>
      </x:c>
      <x:c r="C16" s="12" t="n">
        <x:f>AVERAGEIFS('180项原版与插件'!$H$6:$H$185,'180项原版与插件'!$C$6:$C$185,$A16)</x:f>
        <x:v>0.9978428174766933</x:v>
      </x:c>
      <x:c r="D16" s="18" t="n">
        <x:f>(B16-C16)/B16</x:f>
        <x:v>0.012149450821656279</x:v>
      </x:c>
      <x:c r="E16" s="18" t="n">
        <x:f>AVERAGEIFS('180项原版与插件'!$I$6:$I$185,'180项原版与插件'!$C$6:$C$185,$A16)</x:f>
        <x:v>0.021815718599510255</x:v>
      </x:c>
      <x:c r="F16" s="2" t="n">
        <x:f>COUNTIFS('180项原版与插件'!$C$6:$C$185,$A16,'180项原版与插件'!$I$6:$I$185,"&gt;0.0000001")</x:f>
        <x:v>19</x:v>
      </x:c>
      <x:c r="G16" s="2" t="n">
        <x:f>COUNTIFS('180项原版与插件'!$C$6:$C$185,$A16,'180项原版与插件'!$I$6:$I$185,"&lt;-0.0000001")</x:f>
        <x:v>0</x:v>
      </x:c>
      <x:c r="H16" s="2" t="n">
        <x:f>I16-F16-G16</x:f>
        <x:v>17</x:v>
      </x:c>
      <x:c r="I16" s="2" t="n">
        <x:f>COUNTIFS('180项原版与插件'!$C$6:$C$185,$A16)</x:f>
        <x:v>36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 t="str">
        <x:v>MM-TSFlib</x:v>
      </x:c>
      <x:c r="B17" s="12" t="n">
        <x:f>AVERAGEIFS('180项原版与插件'!$G$6:$G$185,'180项原版与插件'!$C$6:$C$185,$A17)</x:f>
        <x:v>1.292810315325319</x:v>
      </x:c>
      <x:c r="C17" s="12" t="n">
        <x:f>AVERAGEIFS('180项原版与插件'!$H$6:$H$185,'180项原版与插件'!$C$6:$C$185,$A17)</x:f>
        <x:v>1.2164521629656575</x:v>
      </x:c>
      <x:c r="D17" s="18" t="n">
        <x:f>(B17-C17)/B17</x:f>
        <x:v>0.059063693609566335</x:v>
      </x:c>
      <x:c r="E17" s="18" t="n">
        <x:f>AVERAGEIFS('180项原版与插件'!$I$6:$I$185,'180项原版与插件'!$C$6:$C$185,$A17)</x:f>
        <x:v>0.03457630171848911</x:v>
      </x:c>
      <x:c r="F17" s="2" t="n">
        <x:f>COUNTIFS('180项原版与插件'!$C$6:$C$185,$A17,'180项原版与插件'!$I$6:$I$185,"&gt;0.0000001")</x:f>
        <x:v>18</x:v>
      </x:c>
      <x:c r="G17" s="2" t="n">
        <x:f>COUNTIFS('180项原版与插件'!$C$6:$C$185,$A17,'180项原版与插件'!$I$6:$I$185,"&lt;-0.0000001")</x:f>
        <x:v>1</x:v>
      </x:c>
      <x:c r="H17" s="2" t="n">
        <x:f>I17-F17-G17</x:f>
        <x:v>17</x:v>
      </x:c>
      <x:c r="I17" s="2" t="n">
        <x:f>COUNTIFS('180项原版与插件'!$C$6:$C$185,$A17)</x:f>
        <x:v>36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 t="str">
        <x:v>SpecTF</x:v>
      </x:c>
      <x:c r="B18" s="12" t="n">
        <x:f>AVERAGEIFS('180项原版与插件'!$G$6:$G$185,'180项原版与插件'!$C$6:$C$185,$A18)</x:f>
        <x:v>0.8951333944559049</x:v>
      </x:c>
      <x:c r="C18" s="12" t="n">
        <x:f>AVERAGEIFS('180项原版与插件'!$H$6:$H$185,'180项原版与插件'!$C$6:$C$185,$A18)</x:f>
        <x:v>0.8935699091587804</x:v>
      </x:c>
      <x:c r="D18" s="18" t="n">
        <x:f>(B18-C18)/B18</x:f>
        <x:v>0.001746650618564858</x:v>
      </x:c>
      <x:c r="E18" s="18" t="n">
        <x:f>AVERAGEIFS('180项原版与插件'!$I$6:$I$185,'180项原版与插件'!$C$6:$C$185,$A18)</x:f>
        <x:v>0.003885051648146388</x:v>
      </x:c>
      <x:c r="F18" s="2" t="n">
        <x:f>COUNTIFS('180项原版与插件'!$C$6:$C$185,$A18,'180项原版与插件'!$I$6:$I$185,"&gt;0.0000001")</x:f>
        <x:v>8</x:v>
      </x:c>
      <x:c r="G18" s="2" t="n">
        <x:f>COUNTIFS('180项原版与插件'!$C$6:$C$185,$A18,'180项原版与插件'!$I$6:$I$185,"&lt;-0.0000001")</x:f>
        <x:v>1</x:v>
      </x:c>
      <x:c r="H18" s="2" t="n">
        <x:f>I18-F18-G18</x:f>
        <x:v>27</x:v>
      </x:c>
      <x:c r="I18" s="2" t="n">
        <x:f>COUNTIFS('180项原版与插件'!$C$6:$C$185,$A18)</x:f>
        <x:v>36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 t="str">
        <x:v>CFA</x:v>
      </x:c>
      <x:c r="B19" s="12" t="n">
        <x:f>AVERAGEIFS('180项原版与插件'!$G$6:$G$185,'180项原版与插件'!$C$6:$C$185,$A19)</x:f>
        <x:v>1.020350052295606</x:v>
      </x:c>
      <x:c r="C19" s="12" t="n">
        <x:f>AVERAGEIFS('180项原版与插件'!$H$6:$H$185,'180项原版与插件'!$C$6:$C$185,$A19)</x:f>
        <x:v>1.0195241619251592</x:v>
      </x:c>
      <x:c r="D19" s="18" t="n">
        <x:f>(B19-C19)/B19</x:f>
        <x:v>0.000809418658418916</x:v>
      </x:c>
      <x:c r="E19" s="18" t="n">
        <x:f>AVERAGEIFS('180项原版与插件'!$I$6:$I$185,'180项原版与插件'!$C$6:$C$185,$A19)</x:f>
        <x:v>0.00236121611649605</x:v>
      </x:c>
      <x:c r="F19" s="2" t="n">
        <x:f>COUNTIFS('180项原版与插件'!$C$6:$C$185,$A19,'180项原版与插件'!$I$6:$I$185,"&gt;0.0000001")</x:f>
        <x:v>6</x:v>
      </x:c>
      <x:c r="G19" s="2" t="n">
        <x:f>COUNTIFS('180项原版与插件'!$C$6:$C$185,$A19,'180项原版与插件'!$I$6:$I$185,"&lt;-0.0000001")</x:f>
        <x:v>2</x:v>
      </x:c>
      <x:c r="H19" s="2" t="n">
        <x:f>I19-F19-G19</x:f>
        <x:v>28</x:v>
      </x:c>
      <x:c r="I19" s="2" t="n">
        <x:f>COUNTIFS('180项原版与插件'!$C$6:$C$185,$A19)</x:f>
        <x:v>36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 t="str">
        <x:v>Aurora</x:v>
      </x:c>
      <x:c r="B20" s="12" t="n">
        <x:f>AVERAGEIFS('180项原版与插件'!$G$6:$G$185,'180项原版与插件'!$C$6:$C$185,$A20)</x:f>
        <x:v>1.0913599630133513</x:v>
      </x:c>
      <x:c r="C20" s="12" t="n">
        <x:f>AVERAGEIFS('180项原版与插件'!$H$6:$H$185,'180项原版与插件'!$C$6:$C$185,$A20)</x:f>
        <x:v>1.079598241496477</x:v>
      </x:c>
      <x:c r="D20" s="18" t="n">
        <x:f>(B20-C20)/B20</x:f>
        <x:v>0.01077712387799063</x:v>
      </x:c>
      <x:c r="E20" s="18" t="n">
        <x:f>AVERAGEIFS('180项原版与插件'!$I$6:$I$185,'180项原版与插件'!$C$6:$C$185,$A20)</x:f>
        <x:v>0.024759072083447645</x:v>
      </x:c>
      <x:c r="F20" s="2" t="n">
        <x:f>COUNTIFS('180项原版与插件'!$C$6:$C$185,$A20,'180项原版与插件'!$I$6:$I$185,"&gt;0.0000001")</x:f>
        <x:v>12</x:v>
      </x:c>
      <x:c r="G20" s="2" t="n">
        <x:f>COUNTIFS('180项原版与插件'!$C$6:$C$185,$A20,'180项原版与插件'!$I$6:$I$185,"&lt;-0.0000001")</x:f>
        <x:v>5</x:v>
      </x:c>
      <x:c r="H20" s="2" t="n">
        <x:f>I20-F20-G20</x:f>
        <x:v>19</x:v>
      </x:c>
      <x:c r="I20" s="2" t="n">
        <x:f>COUNTIFS('180项原版与插件'!$C$6:$C$185,$A20)</x:f>
        <x:v>36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 t="str">
        <x:v>Aurora：均值MSE略增，逐任务下降率均值为正；两者不是同一种统计量，不能互相替代。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 t="str">
        <x:v>绿色=误差下降；红色=误差增加。插件采用验证alpha回退策略，不依据测试误差选择启用。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</x:sheetData>
  <x:conditionalFormatting sqref="D6:E10">
    <x:cfRule type="colorScale" priority="1">
      <x:colorScale>
        <x:cfvo type="num" val="-0.1"/>
        <x:cfvo type="num" val="0"/>
        <x:cfvo type="num" val="0.1"/>
        <x:color rgb="FFE9A2A2"/>
        <x:color rgb="FFFFFFFF"/>
        <x:color rgb="FF6DC391"/>
      </x:colorScale>
    </x:cfRule>
  </x:conditionalFormatting>
  <x:conditionalFormatting sqref="D16:E20">
    <x:cfRule type="colorScale" priority="2">
      <x:colorScale>
        <x:cfvo type="num" val="-0.1"/>
        <x:cfvo type="num" val="0"/>
        <x:cfvo type="num" val="0.1"/>
        <x:color rgb="FFE9A2A2"/>
        <x:color rgb="FFFFFFFF"/>
        <x:color rgb="FF6DC391"/>
      </x:colorScale>
    </x:cfRule>
  </x:conditionalFormatting>
  <x:pageMargins left="0.7" right="0.7" top="0.75" bottom="0.75" header="0.3" footer="0.3"/>
  <x:drawing xmlns:r="http://schemas.openxmlformats.org/officeDocument/2006/relationships" r:id="Rfa3dcd8fa6b944e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9" hidden="0" customWidth="1"/>
    <x:col min="2" max="2" width="9" hidden="0" customWidth="1"/>
    <x:col min="3" max="3" width="17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14" hidden="0" customWidth="1"/>
    <x:col min="11" max="11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原始 baseline 与当前 V1-P1 模块：180项直接对比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 t="str">
        <x:v>原始列=无插件冻结预测；模块列=当前V1-P1三种子指标均值。下降率=(原始−模块)/原始，正数更好。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4" t="str">
        <x:v>来源：baseline/V1参数实验_20261006/RESULTS_180.json；原始值与冻结无插件参考逐项一致。启用0个种子时保留原版输出。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0" customHeight="1">
      <x:c r="A5" s="9" t="str">
        <x:v>领域</x:v>
      </x:c>
      <x:c r="B5" s="10" t="str">
        <x:v>预测步长</x:v>
      </x:c>
      <x:c r="C5" s="10" t="str">
        <x:v>模型</x:v>
      </x:c>
      <x:c r="D5" s="10" t="str">
        <x:v>原始baseline MSE</x:v>
      </x:c>
      <x:c r="E5" s="10" t="str">
        <x:v>添加模块MSE</x:v>
      </x:c>
      <x:c r="F5" s="10" t="str">
        <x:v>MSE下降率</x:v>
      </x:c>
      <x:c r="G5" s="10" t="str">
        <x:v>原始baseline MAE</x:v>
      </x:c>
      <x:c r="H5" s="10" t="str">
        <x:v>添加模块MAE</x:v>
      </x:c>
      <x:c r="I5" s="10" t="str">
        <x:v>MAE下降率</x:v>
      </x:c>
      <x:c r="J5" s="10" t="str">
        <x:v>启用种子数/3</x:v>
      </x:c>
      <x:c r="K5" s="11" t="str">
        <x:v>双指标结果</x:v>
      </x:c>
    </x:row>
    <x:row r="6" ht="24" customHeight="1">
      <x:c r="A6" s="2" t="str">
        <x:v>Agriculture</x:v>
      </x:c>
      <x:c r="B6" s="2" t="n">
        <x:v>6</x:v>
      </x:c>
      <x:c r="C6" s="2" t="str">
        <x:v>TaTS</x:v>
      </x:c>
      <x:c r="D6" s="15" t="n">
        <x:v>0.49579507604065326</x:v>
      </x:c>
      <x:c r="E6" s="16" t="n">
        <x:v>0.39879276563082805</x:v>
      </x:c>
      <x:c r="F6" s="17" t="n">
        <x:f>(D6-E6)/D6</x:f>
        <x:v>0.1956500076291024</x:v>
      </x:c>
      <x:c r="G6" s="15" t="n">
        <x:v>0.597170186592332</x:v>
      </x:c>
      <x:c r="H6" s="16" t="n">
        <x:v>0.5307097878157387</x:v>
      </x:c>
      <x:c r="I6" s="17" t="n">
        <x:f>(G6-H6)/G6</x:f>
        <x:v>0.11129222501183493</x:v>
      </x:c>
      <x:c r="J6" s="14" t="n">
        <x:v>3</x:v>
      </x:c>
      <x:c r="K6" s="2" t="str">
        <x:f>IF(AND(F6&gt;0.0000001,I6&gt;0.0000001),"双指标下降",IF(OR(F6&lt;-0.0000001,I6&lt;-0.0000001),"至少一项增加","持平或单项下降"))</x:f>
        <x:v>双指标下降</x:v>
      </x:c>
    </x:row>
    <x:row r="7" ht="24" customHeight="1">
      <x:c r="A7" s="2" t="str">
        <x:v>Agriculture</x:v>
      </x:c>
      <x:c r="B7" s="2" t="n">
        <x:v>6</x:v>
      </x:c>
      <x:c r="C7" s="2" t="str">
        <x:v>MM-TSFlib</x:v>
      </x:c>
      <x:c r="D7" s="15" t="n">
        <x:v>3.0201228416151027</x:v>
      </x:c>
      <x:c r="E7" s="16" t="n">
        <x:v>2.3462828262171267</x:v>
      </x:c>
      <x:c r="F7" s="17" t="n">
        <x:f>(D7-E7)/D7</x:f>
        <x:v>0.22311675740898657</x:v>
      </x:c>
      <x:c r="G7" s="15" t="n">
        <x:v>1.2793749966097216</x:v>
      </x:c>
      <x:c r="H7" s="16" t="n">
        <x:v>1.1116214415705796</x:v>
      </x:c>
      <x:c r="I7" s="17" t="n">
        <x:f>(G7-H7)/G7</x:f>
        <x:v>0.13112148938636473</x:v>
      </x:c>
      <x:c r="J7" s="14" t="n">
        <x:v>3</x:v>
      </x:c>
      <x:c r="K7" s="2" t="str">
        <x:f>IF(AND(F7&gt;0.0000001,I7&gt;0.0000001),"双指标下降",IF(OR(F7&lt;-0.0000001,I7&lt;-0.0000001),"至少一项增加","持平或单项下降"))</x:f>
        <x:v>双指标下降</x:v>
      </x:c>
    </x:row>
    <x:row r="8" ht="24" customHeight="1">
      <x:c r="A8" s="2" t="str">
        <x:v>Agriculture</x:v>
      </x:c>
      <x:c r="B8" s="2" t="n">
        <x:v>6</x:v>
      </x:c>
      <x:c r="C8" s="2" t="str">
        <x:v>SpecTF</x:v>
      </x:c>
      <x:c r="D8" s="15" t="n">
        <x:v>0.2098411645526121</x:v>
      </x:c>
      <x:c r="E8" s="16" t="n">
        <x:v>0.19503883813547426</x:v>
      </x:c>
      <x:c r="F8" s="17" t="n">
        <x:f>(D8-E8)/D8</x:f>
        <x:v>0.07054062270716449</x:v>
      </x:c>
      <x:c r="G8" s="15" t="n">
        <x:v>0.29948388388816344</x:v>
      </x:c>
      <x:c r="H8" s="16" t="n">
        <x:v>0.29568815548369226</x:v>
      </x:c>
      <x:c r="I8" s="17" t="n">
        <x:f>(G8-H8)/G8</x:f>
        <x:v>0.0126742326004047</x:v>
      </x:c>
      <x:c r="J8" s="14" t="n">
        <x:v>3</x:v>
      </x:c>
      <x:c r="K8" s="2" t="str">
        <x:f>IF(AND(F8&gt;0.0000001,I8&gt;0.0000001),"双指标下降",IF(OR(F8&lt;-0.0000001,I8&lt;-0.0000001),"至少一项增加","持平或单项下降"))</x:f>
        <x:v>双指标下降</x:v>
      </x:c>
    </x:row>
    <x:row r="9" ht="24" customHeight="1">
      <x:c r="A9" s="2" t="str">
        <x:v>Agriculture</x:v>
      </x:c>
      <x:c r="B9" s="2" t="n">
        <x:v>6</x:v>
      </x:c>
      <x:c r="C9" s="2" t="str">
        <x:v>CFA</x:v>
      </x:c>
      <x:c r="D9" s="15" t="n">
        <x:v>0.16785088749539434</x:v>
      </x:c>
      <x:c r="E9" s="16" t="n">
        <x:v>0.16785088749539434</x:v>
      </x:c>
      <x:c r="F9" s="17" t="n">
        <x:f>(D9-E9)/D9</x:f>
        <x:v>0</x:v>
      </x:c>
      <x:c r="G9" s="15" t="n">
        <x:v>0.28960072571504203</x:v>
      </x:c>
      <x:c r="H9" s="16" t="n">
        <x:v>0.28960072571504203</x:v>
      </x:c>
      <x:c r="I9" s="17" t="n">
        <x:f>(G9-H9)/G9</x:f>
        <x:v>0</x:v>
      </x:c>
      <x:c r="J9" s="14" t="n">
        <x:v>0</x:v>
      </x:c>
      <x:c r="K9" s="2" t="str">
        <x:f>IF(AND(F9&gt;0.0000001,I9&gt;0.0000001),"双指标下降",IF(OR(F9&lt;-0.0000001,I9&lt;-0.0000001),"至少一项增加","持平或单项下降"))</x:f>
        <x:v>持平或单项下降</x:v>
      </x:c>
    </x:row>
    <x:row r="10" ht="24" customHeight="1">
      <x:c r="A10" s="2" t="str">
        <x:v>Agriculture</x:v>
      </x:c>
      <x:c r="B10" s="2" t="n">
        <x:v>6</x:v>
      </x:c>
      <x:c r="C10" s="2" t="str">
        <x:v>Aurora</x:v>
      </x:c>
      <x:c r="D10" s="15" t="n">
        <x:v>0.9220825499208489</x:v>
      </x:c>
      <x:c r="E10" s="16" t="n">
        <x:v>0.6123797379431767</x:v>
      </x:c>
      <x:c r="F10" s="17" t="n">
        <x:f>(D10-E10)/D10</x:f>
        <x:v>0.33587319487203937</x:v>
      </x:c>
      <x:c r="G10" s="15" t="n">
        <x:v>0.6908093629576636</x:v>
      </x:c>
      <x:c r="H10" s="16" t="n">
        <x:v>0.5837270282120851</x:v>
      </x:c>
      <x:c r="I10" s="17" t="n">
        <x:f>(G10-H10)/G10</x:f>
        <x:v>0.15500996438020348</x:v>
      </x:c>
      <x:c r="J10" s="14" t="n">
        <x:v>3</x:v>
      </x:c>
      <x:c r="K10" s="2" t="str">
        <x:f>IF(AND(F10&gt;0.0000001,I10&gt;0.0000001),"双指标下降",IF(OR(F10&lt;-0.0000001,I10&lt;-0.0000001),"至少一项增加","持平或单项下降"))</x:f>
        <x:v>双指标下降</x:v>
      </x:c>
    </x:row>
    <x:row r="11" ht="24" customHeight="1">
      <x:c r="A11" s="2" t="str">
        <x:v>Agriculture</x:v>
      </x:c>
      <x:c r="B11" s="2" t="n">
        <x:v>8</x:v>
      </x:c>
      <x:c r="C11" s="2" t="str">
        <x:v>TaTS</x:v>
      </x:c>
      <x:c r="D11" s="15" t="n">
        <x:v>0.4841925676786266</x:v>
      </x:c>
      <x:c r="E11" s="16" t="n">
        <x:v>0.45103549373708196</x:v>
      </x:c>
      <x:c r="F11" s="17" t="n">
        <x:f>(D11-E11)/D11</x:f>
        <x:v>0.0684791055354489</x:v>
      </x:c>
      <x:c r="G11" s="15" t="n">
        <x:v>0.572499158265798</x:v>
      </x:c>
      <x:c r="H11" s="16" t="n">
        <x:v>0.5400300400628559</x:v>
      </x:c>
      <x:c r="I11" s="17" t="n">
        <x:f>(G11-H11)/G11</x:f>
        <x:v>0.05671470033475126</x:v>
      </x:c>
      <x:c r="J11" s="14" t="n">
        <x:v>3</x:v>
      </x:c>
      <x:c r="K11" s="2" t="str">
        <x:f>IF(AND(F11&gt;0.0000001,I11&gt;0.0000001),"双指标下降",IF(OR(F11&lt;-0.0000001,I11&lt;-0.0000001),"至少一项增加","持平或单项下降"))</x:f>
        <x:v>双指标下降</x:v>
      </x:c>
    </x:row>
    <x:row r="12" ht="24" customHeight="1">
      <x:c r="A12" s="2" t="str">
        <x:v>Agriculture</x:v>
      </x:c>
      <x:c r="B12" s="2" t="n">
        <x:v>8</x:v>
      </x:c>
      <x:c r="C12" s="2" t="str">
        <x:v>MM-TSFlib</x:v>
      </x:c>
      <x:c r="D12" s="15" t="n">
        <x:v>3.1082829187258283</x:v>
      </x:c>
      <x:c r="E12" s="16" t="n">
        <x:v>2.4707100831047852</x:v>
      </x:c>
      <x:c r="F12" s="17" t="n">
        <x:f>(D12-E12)/D12</x:f>
        <x:v>0.20512059303868063</x:v>
      </x:c>
      <x:c r="G12" s="15" t="n">
        <x:v>1.2896458072506862</x:v>
      </x:c>
      <x:c r="H12" s="16" t="n">
        <x:v>1.1351139883956183</x:v>
      </x:c>
      <x:c r="I12" s="17" t="n">
        <x:f>(G12-H12)/G12</x:f>
        <x:v>0.11982500775503972</x:v>
      </x:c>
      <x:c r="J12" s="14" t="n">
        <x:v>3</x:v>
      </x:c>
      <x:c r="K12" s="2" t="str">
        <x:f>IF(AND(F12&gt;0.0000001,I12&gt;0.0000001),"双指标下降",IF(OR(F12&lt;-0.0000001,I12&lt;-0.0000001),"至少一项增加","持平或单项下降"))</x:f>
        <x:v>双指标下降</x:v>
      </x:c>
    </x:row>
    <x:row r="13" ht="24" customHeight="1">
      <x:c r="A13" s="2" t="str">
        <x:v>Agriculture</x:v>
      </x:c>
      <x:c r="B13" s="2" t="n">
        <x:v>8</x:v>
      </x:c>
      <x:c r="C13" s="2" t="str">
        <x:v>SpecTF</x:v>
      </x:c>
      <x:c r="D13" s="15" t="n">
        <x:v>0.285905947009229</x:v>
      </x:c>
      <x:c r="E13" s="16" t="n">
        <x:v>0.285905947009229</x:v>
      </x:c>
      <x:c r="F13" s="17" t="n">
        <x:f>(D13-E13)/D13</x:f>
        <x:v>0</x:v>
      </x:c>
      <x:c r="G13" s="15" t="n">
        <x:v>0.37219004835123604</x:v>
      </x:c>
      <x:c r="H13" s="16" t="n">
        <x:v>0.372190048351236</x:v>
      </x:c>
      <x:c r="I13" s="17" t="n">
        <x:f>(G13-H13)/G13</x:f>
        <x:v>1.491473280308449e-16</x:v>
      </x:c>
      <x:c r="J13" s="14" t="n">
        <x:v>0</x:v>
      </x:c>
      <x:c r="K13" s="2" t="str">
        <x:f>IF(AND(F13&gt;0.0000001,I13&gt;0.0000001),"双指标下降",IF(OR(F13&lt;-0.0000001,I13&lt;-0.0000001),"至少一项增加","持平或单项下降"))</x:f>
        <x:v>持平或单项下降</x:v>
      </x:c>
    </x:row>
    <x:row r="14" ht="24" customHeight="1">
      <x:c r="A14" s="2" t="str">
        <x:v>Agriculture</x:v>
      </x:c>
      <x:c r="B14" s="2" t="n">
        <x:v>8</x:v>
      </x:c>
      <x:c r="C14" s="2" t="str">
        <x:v>CFA</x:v>
      </x:c>
      <x:c r="D14" s="15" t="n">
        <x:v>0.2135153200313922</x:v>
      </x:c>
      <x:c r="E14" s="16" t="n">
        <x:v>0.2135153200313922</x:v>
      </x:c>
      <x:c r="F14" s="17" t="n">
        <x:f>(D14-E14)/D14</x:f>
        <x:v>0</x:v>
      </x:c>
      <x:c r="G14" s="15" t="n">
        <x:v>0.3195646000297173</x:v>
      </x:c>
      <x:c r="H14" s="16" t="n">
        <x:v>0.3195646000297173</x:v>
      </x:c>
      <x:c r="I14" s="17" t="n">
        <x:f>(G14-H14)/G14</x:f>
        <x:v>0</x:v>
      </x:c>
      <x:c r="J14" s="14" t="n">
        <x:v>0</x:v>
      </x:c>
      <x:c r="K14" s="2" t="str">
        <x:f>IF(AND(F14&gt;0.0000001,I14&gt;0.0000001),"双指标下降",IF(OR(F14&lt;-0.0000001,I14&lt;-0.0000001),"至少一项增加","持平或单项下降"))</x:f>
        <x:v>持平或单项下降</x:v>
      </x:c>
    </x:row>
    <x:row r="15" ht="24" customHeight="1">
      <x:c r="A15" s="2" t="str">
        <x:v>Agriculture</x:v>
      </x:c>
      <x:c r="B15" s="2" t="n">
        <x:v>8</x:v>
      </x:c>
      <x:c r="C15" s="2" t="str">
        <x:v>Aurora</x:v>
      </x:c>
      <x:c r="D15" s="15" t="n">
        <x:v>1.000703602706396</x:v>
      </x:c>
      <x:c r="E15" s="16" t="n">
        <x:v>0.6984608144350771</x:v>
      </x:c>
      <x:c r="F15" s="17" t="n">
        <x:f>(D15-E15)/D15</x:f>
        <x:v>0.3020302789496364</x:v>
      </x:c>
      <x:c r="G15" s="15" t="n">
        <x:v>0.7222759692889192</x:v>
      </x:c>
      <x:c r="H15" s="16" t="n">
        <x:v>0.6232505263085815</x:v>
      </x:c>
      <x:c r="I15" s="17" t="n">
        <x:f>(G15-H15)/G15</x:f>
        <x:v>0.13710194882688445</x:v>
      </x:c>
      <x:c r="J15" s="14" t="n">
        <x:v>3</x:v>
      </x:c>
      <x:c r="K15" s="2" t="str">
        <x:f>IF(AND(F15&gt;0.0000001,I15&gt;0.0000001),"双指标下降",IF(OR(F15&lt;-0.0000001,I15&lt;-0.0000001),"至少一项增加","持平或单项下降"))</x:f>
        <x:v>双指标下降</x:v>
      </x:c>
    </x:row>
    <x:row r="16" ht="24" customHeight="1">
      <x:c r="A16" s="2" t="str">
        <x:v>Agriculture</x:v>
      </x:c>
      <x:c r="B16" s="2" t="n">
        <x:v>10</x:v>
      </x:c>
      <x:c r="C16" s="2" t="str">
        <x:v>TaTS</x:v>
      </x:c>
      <x:c r="D16" s="15" t="n">
        <x:v>0.6602757535858196</x:v>
      </x:c>
      <x:c r="E16" s="16" t="n">
        <x:v>0.5670861724352844</x:v>
      </x:c>
      <x:c r="F16" s="17" t="n">
        <x:f>(D16-E16)/D16</x:f>
        <x:v>0.14113736669026855</x:v>
      </x:c>
      <x:c r="G16" s="15" t="n">
        <x:v>0.6446413748794132</x:v>
      </x:c>
      <x:c r="H16" s="16" t="n">
        <x:v>0.5842176467842526</x:v>
      </x:c>
      <x:c r="I16" s="17" t="n">
        <x:f>(G16-H16)/G16</x:f>
        <x:v>0.0937323145081457</x:v>
      </x:c>
      <x:c r="J16" s="14" t="n">
        <x:v>3</x:v>
      </x:c>
      <x:c r="K16" s="2" t="str">
        <x:f>IF(AND(F16&gt;0.0000001,I16&gt;0.0000001),"双指标下降",IF(OR(F16&lt;-0.0000001,I16&lt;-0.0000001),"至少一项增加","持平或单项下降"))</x:f>
        <x:v>双指标下降</x:v>
      </x:c>
    </x:row>
    <x:row r="17" ht="24" customHeight="1">
      <x:c r="A17" s="2" t="str">
        <x:v>Agriculture</x:v>
      </x:c>
      <x:c r="B17" s="2" t="n">
        <x:v>10</x:v>
      </x:c>
      <x:c r="C17" s="2" t="str">
        <x:v>MM-TSFlib</x:v>
      </x:c>
      <x:c r="D17" s="15" t="n">
        <x:v>3.1341403583348333</x:v>
      </x:c>
      <x:c r="E17" s="16" t="n">
        <x:v>2.4678484897208213</x:v>
      </x:c>
      <x:c r="F17" s="17" t="n">
        <x:f>(D17-E17)/D17</x:f>
        <x:v>0.21259158570933065</x:v>
      </x:c>
      <x:c r="G17" s="15" t="n">
        <x:v>1.297273069355223</x:v>
      </x:c>
      <x:c r="H17" s="16" t="n">
        <x:v>1.1355818620434512</x:v>
      </x:c>
      <x:c r="I17" s="17" t="n">
        <x:f>(G17-H17)/G17</x:f>
        <x:v>0.12463930002966633</x:v>
      </x:c>
      <x:c r="J17" s="14" t="n">
        <x:v>3</x:v>
      </x:c>
      <x:c r="K17" s="2" t="str">
        <x:f>IF(AND(F17&gt;0.0000001,I17&gt;0.0000001),"双指标下降",IF(OR(F17&lt;-0.0000001,I17&lt;-0.0000001),"至少一项增加","持平或单项下降"))</x:f>
        <x:v>双指标下降</x:v>
      </x:c>
    </x:row>
    <x:row r="18" ht="24" customHeight="1">
      <x:c r="A18" s="2" t="str">
        <x:v>Agriculture</x:v>
      </x:c>
      <x:c r="B18" s="2" t="n">
        <x:v>10</x:v>
      </x:c>
      <x:c r="C18" s="2" t="str">
        <x:v>SpecTF</x:v>
      </x:c>
      <x:c r="D18" s="15" t="n">
        <x:v>0.3745156939748262</x:v>
      </x:c>
      <x:c r="E18" s="16" t="n">
        <x:v>0.35625884358332033</x:v>
      </x:c>
      <x:c r="F18" s="17" t="n">
        <x:f>(D18-E18)/D18</x:f>
        <x:v>0.04874789143744947</x:v>
      </x:c>
      <x:c r="G18" s="15" t="n">
        <x:v>0.44496886783176</x:v>
      </x:c>
      <x:c r="H18" s="16" t="n">
        <x:v>0.44052134906804125</x:v>
      </x:c>
      <x:c r="I18" s="17" t="n">
        <x:f>(G18-H18)/G18</x:f>
        <x:v>0.009995123446254937</x:v>
      </x:c>
      <x:c r="J18" s="14" t="n">
        <x:v>3</x:v>
      </x:c>
      <x:c r="K18" s="2" t="str">
        <x:f>IF(AND(F18&gt;0.0000001,I18&gt;0.0000001),"双指标下降",IF(OR(F18&lt;-0.0000001,I18&lt;-0.0000001),"至少一项增加","持平或单项下降"))</x:f>
        <x:v>双指标下降</x:v>
      </x:c>
    </x:row>
    <x:row r="19" ht="24" customHeight="1">
      <x:c r="A19" s="2" t="str">
        <x:v>Agriculture</x:v>
      </x:c>
      <x:c r="B19" s="2" t="n">
        <x:v>10</x:v>
      </x:c>
      <x:c r="C19" s="2" t="str">
        <x:v>CFA</x:v>
      </x:c>
      <x:c r="D19" s="15" t="n">
        <x:v>0.29576657031370107</x:v>
      </x:c>
      <x:c r="E19" s="16" t="n">
        <x:v>0.29576657031370107</x:v>
      </x:c>
      <x:c r="F19" s="17" t="n">
        <x:f>(D19-E19)/D19</x:f>
        <x:v>0</x:v>
      </x:c>
      <x:c r="G19" s="15" t="n">
        <x:v>0.37098269012239243</x:v>
      </x:c>
      <x:c r="H19" s="16" t="n">
        <x:v>0.37098269012239243</x:v>
      </x:c>
      <x:c r="I19" s="17" t="n">
        <x:f>(G19-H19)/G19</x:f>
        <x:v>0</x:v>
      </x:c>
      <x:c r="J19" s="14" t="n">
        <x:v>0</x:v>
      </x:c>
      <x:c r="K19" s="2" t="str">
        <x:f>IF(AND(F19&gt;0.0000001,I19&gt;0.0000001),"双指标下降",IF(OR(F19&lt;-0.0000001,I19&lt;-0.0000001),"至少一项增加","持平或单项下降"))</x:f>
        <x:v>持平或单项下降</x:v>
      </x:c>
    </x:row>
    <x:row r="20" ht="24" customHeight="1">
      <x:c r="A20" s="2" t="str">
        <x:v>Agriculture</x:v>
      </x:c>
      <x:c r="B20" s="2" t="n">
        <x:v>10</x:v>
      </x:c>
      <x:c r="C20" s="2" t="str">
        <x:v>Aurora</x:v>
      </x:c>
      <x:c r="D20" s="15" t="n">
        <x:v>1.0489926219606276</x:v>
      </x:c>
      <x:c r="E20" s="16" t="n">
        <x:v>0.7326247429868493</x:v>
      </x:c>
      <x:c r="F20" s="17" t="n">
        <x:f>(D20-E20)/D20</x:f>
        <x:v>0.3015920916416633</x:v>
      </x:c>
      <x:c r="G20" s="15" t="n">
        <x:v>0.7414448785781861</x:v>
      </x:c>
      <x:c r="H20" s="16" t="n">
        <x:v>0.6415935380370529</x:v>
      </x:c>
      <x:c r="I20" s="17" t="n">
        <x:f>(G20-H20)/G20</x:f>
        <x:v>0.13467129307388395</x:v>
      </x:c>
      <x:c r="J20" s="14" t="n">
        <x:v>3</x:v>
      </x:c>
      <x:c r="K20" s="2" t="str">
        <x:f>IF(AND(F20&gt;0.0000001,I20&gt;0.0000001),"双指标下降",IF(OR(F20&lt;-0.0000001,I20&lt;-0.0000001),"至少一项增加","持平或单项下降"))</x:f>
        <x:v>双指标下降</x:v>
      </x:c>
    </x:row>
    <x:row r="21" ht="24" customHeight="1">
      <x:c r="A21" s="2" t="str">
        <x:v>Agriculture</x:v>
      </x:c>
      <x:c r="B21" s="2" t="n">
        <x:v>12</x:v>
      </x:c>
      <x:c r="C21" s="2" t="str">
        <x:v>TaTS</x:v>
      </x:c>
      <x:c r="D21" s="15" t="n">
        <x:v>0.8091895099223382</x:v>
      </x:c>
      <x:c r="E21" s="16" t="n">
        <x:v>0.6913876378728827</x:v>
      </x:c>
      <x:c r="F21" s="17" t="n">
        <x:f>(D21-E21)/D21</x:f>
        <x:v>0.14558007809661483</x:v>
      </x:c>
      <x:c r="G21" s="15" t="n">
        <x:v>0.7172219355901083</x:v>
      </x:c>
      <x:c r="H21" s="16" t="n">
        <x:v>0.6553341360631013</x:v>
      </x:c>
      <x:c r="I21" s="17" t="n">
        <x:f>(G21-H21)/G21</x:f>
        <x:v>0.08628821353056856</x:v>
      </x:c>
      <x:c r="J21" s="14" t="n">
        <x:v>3</x:v>
      </x:c>
      <x:c r="K21" s="2" t="str">
        <x:f>IF(AND(F21&gt;0.0000001,I21&gt;0.0000001),"双指标下降",IF(OR(F21&lt;-0.0000001,I21&lt;-0.0000001),"至少一项增加","持平或单项下降"))</x:f>
        <x:v>双指标下降</x:v>
      </x:c>
    </x:row>
    <x:row r="22" ht="24" customHeight="1">
      <x:c r="A22" s="2" t="str">
        <x:v>Agriculture</x:v>
      </x:c>
      <x:c r="B22" s="2" t="n">
        <x:v>12</x:v>
      </x:c>
      <x:c r="C22" s="2" t="str">
        <x:v>MM-TSFlib</x:v>
      </x:c>
      <x:c r="D22" s="15" t="n">
        <x:v>3.444487867309843</x:v>
      </x:c>
      <x:c r="E22" s="16" t="n">
        <x:v>2.7991756667358154</x:v>
      </x:c>
      <x:c r="F22" s="17" t="n">
        <x:f>(D22-E22)/D22</x:f>
        <x:v>0.1873463415848867</x:v>
      </x:c>
      <x:c r="G22" s="15" t="n">
        <x:v>1.3908870386129075</x:v>
      </x:c>
      <x:c r="H22" s="16" t="n">
        <x:v>1.242949508657359</x:v>
      </x:c>
      <x:c r="I22" s="17" t="n">
        <x:f>(G22-H22)/G22</x:f>
        <x:v>0.10636200198046455</x:v>
      </x:c>
      <x:c r="J22" s="14" t="n">
        <x:v>3</x:v>
      </x:c>
      <x:c r="K22" s="2" t="str">
        <x:f>IF(AND(F22&gt;0.0000001,I22&gt;0.0000001),"双指标下降",IF(OR(F22&lt;-0.0000001,I22&lt;-0.0000001),"至少一项增加","持平或单项下降"))</x:f>
        <x:v>双指标下降</x:v>
      </x:c>
    </x:row>
    <x:row r="23" ht="24" customHeight="1">
      <x:c r="A23" s="2" t="str">
        <x:v>Agriculture</x:v>
      </x:c>
      <x:c r="B23" s="2" t="n">
        <x:v>12</x:v>
      </x:c>
      <x:c r="C23" s="2" t="str">
        <x:v>SpecTF</x:v>
      </x:c>
      <x:c r="D23" s="15" t="n">
        <x:v>0.35785318025578033</x:v>
      </x:c>
      <x:c r="E23" s="16" t="n">
        <x:v>0.35785318025578033</x:v>
      </x:c>
      <x:c r="F23" s="17" t="n">
        <x:f>(D23-E23)/D23</x:f>
        <x:v>0</x:v>
      </x:c>
      <x:c r="G23" s="15" t="n">
        <x:v>0.42091696788415767</x:v>
      </x:c>
      <x:c r="H23" s="16" t="n">
        <x:v>0.4209169678841576</x:v>
      </x:c>
      <x:c r="I23" s="17" t="n">
        <x:f>(G23-H23)/G23</x:f>
        <x:v>1.3188147655414852e-16</x:v>
      </x:c>
      <x:c r="J23" s="14" t="n">
        <x:v>0</x:v>
      </x:c>
      <x:c r="K23" s="2" t="str">
        <x:f>IF(AND(F23&gt;0.0000001,I23&gt;0.0000001),"双指标下降",IF(OR(F23&lt;-0.0000001,I23&lt;-0.0000001),"至少一项增加","持平或单项下降"))</x:f>
        <x:v>持平或单项下降</x:v>
      </x:c>
    </x:row>
    <x:row r="24" ht="24" customHeight="1">
      <x:c r="A24" s="2" t="str">
        <x:v>Agriculture</x:v>
      </x:c>
      <x:c r="B24" s="2" t="n">
        <x:v>12</x:v>
      </x:c>
      <x:c r="C24" s="2" t="str">
        <x:v>CFA</x:v>
      </x:c>
      <x:c r="D24" s="15" t="n">
        <x:v>0.37551116732851375</x:v>
      </x:c>
      <x:c r="E24" s="16" t="n">
        <x:v>0.3341299192220575</x:v>
      </x:c>
      <x:c r="F24" s="17" t="n">
        <x:f>(D24-E24)/D24</x:f>
        <x:v>0.11019978021120774</x:v>
      </x:c>
      <x:c r="G24" s="15" t="n">
        <x:v>0.4144204809810176</x:v>
      </x:c>
      <x:c r="H24" s="16" t="n">
        <x:v>0.39922347905659916</x:v>
      </x:c>
      <x:c r="I24" s="17" t="n">
        <x:f>(G24-H24)/G24</x:f>
        <x:v>0.03667048956761023</x:v>
      </x:c>
      <x:c r="J24" s="14" t="n">
        <x:v>3</x:v>
      </x:c>
      <x:c r="K24" s="2" t="str">
        <x:f>IF(AND(F24&gt;0.0000001,I24&gt;0.0000001),"双指标下降",IF(OR(F24&lt;-0.0000001,I24&lt;-0.0000001),"至少一项增加","持平或单项下降"))</x:f>
        <x:v>双指标下降</x:v>
      </x:c>
    </x:row>
    <x:row r="25" ht="24" customHeight="1">
      <x:c r="A25" s="2" t="str">
        <x:v>Agriculture</x:v>
      </x:c>
      <x:c r="B25" s="2" t="n">
        <x:v>12</x:v>
      </x:c>
      <x:c r="C25" s="2" t="str">
        <x:v>Aurora</x:v>
      </x:c>
      <x:c r="D25" s="15" t="n">
        <x:v>1.0627157999916093</x:v>
      </x:c>
      <x:c r="E25" s="16" t="n">
        <x:v>0.7716000380838873</x:v>
      </x:c>
      <x:c r="F25" s="17" t="n">
        <x:f>(D25-E25)/D25</x:f>
        <x:v>0.2739356673816466</x:v>
      </x:c>
      <x:c r="G25" s="15" t="n">
        <x:v>0.7462488257072188</x:v>
      </x:c>
      <x:c r="H25" s="16" t="n">
        <x:v>0.6556638197390119</x:v>
      </x:c>
      <x:c r="I25" s="17" t="n">
        <x:f>(G25-H25)/G25</x:f>
        <x:v>0.12138713368474609</x:v>
      </x:c>
      <x:c r="J25" s="14" t="n">
        <x:v>3</x:v>
      </x:c>
      <x:c r="K25" s="2" t="str">
        <x:f>IF(AND(F25&gt;0.0000001,I25&gt;0.0000001),"双指标下降",IF(OR(F25&lt;-0.0000001,I25&lt;-0.0000001),"至少一项增加","持平或单项下降"))</x:f>
        <x:v>双指标下降</x:v>
      </x:c>
    </x:row>
    <x:row r="26" ht="24" customHeight="1">
      <x:c r="A26" s="2" t="str">
        <x:v>Climate</x:v>
      </x:c>
      <x:c r="B26" s="2" t="n">
        <x:v>6</x:v>
      </x:c>
      <x:c r="C26" s="2" t="str">
        <x:v>TaTS</x:v>
      </x:c>
      <x:c r="D26" s="15" t="n">
        <x:v>1.1433486550950163</x:v>
      </x:c>
      <x:c r="E26" s="16" t="n">
        <x:v>1.1433486550950163</x:v>
      </x:c>
      <x:c r="F26" s="17" t="n">
        <x:f>(D26-E26)/D26</x:f>
        <x:v>0</x:v>
      </x:c>
      <x:c r="G26" s="15" t="n">
        <x:v>0.8512762332391258</x:v>
      </x:c>
      <x:c r="H26" s="16" t="n">
        <x:v>0.8512762332391258</x:v>
      </x:c>
      <x:c r="I26" s="17" t="n">
        <x:f>(G26-H26)/G26</x:f>
        <x:v>0</x:v>
      </x:c>
      <x:c r="J26" s="14" t="n">
        <x:v>0</x:v>
      </x:c>
      <x:c r="K26" s="2" t="str">
        <x:f>IF(AND(F26&gt;0.0000001,I26&gt;0.0000001),"双指标下降",IF(OR(F26&lt;-0.0000001,I26&lt;-0.0000001),"至少一项增加","持平或单项下降"))</x:f>
        <x:v>持平或单项下降</x:v>
      </x:c>
    </x:row>
    <x:row r="27" ht="24" customHeight="1">
      <x:c r="A27" s="2" t="str">
        <x:v>Climate</x:v>
      </x:c>
      <x:c r="B27" s="2" t="n">
        <x:v>6</x:v>
      </x:c>
      <x:c r="C27" s="2" t="str">
        <x:v>MM-TSFlib</x:v>
      </x:c>
      <x:c r="D27" s="15" t="n">
        <x:v>1.1941477400109357</x:v>
      </x:c>
      <x:c r="E27" s="16" t="n">
        <x:v>1.1941477400109357</x:v>
      </x:c>
      <x:c r="F27" s="17" t="n">
        <x:f>(D27-E27)/D27</x:f>
        <x:v>0</x:v>
      </x:c>
      <x:c r="G27" s="15" t="n">
        <x:v>0.8785688413343399</x:v>
      </x:c>
      <x:c r="H27" s="16" t="n">
        <x:v>0.8785688413343399</x:v>
      </x:c>
      <x:c r="I27" s="17" t="n">
        <x:f>(G27-H27)/G27</x:f>
        <x:v>0</x:v>
      </x:c>
      <x:c r="J27" s="14" t="n">
        <x:v>0</x:v>
      </x:c>
      <x:c r="K27" s="2" t="str">
        <x:f>IF(AND(F27&gt;0.0000001,I27&gt;0.0000001),"双指标下降",IF(OR(F27&lt;-0.0000001,I27&lt;-0.0000001),"至少一项增加","持平或单项下降"))</x:f>
        <x:v>持平或单项下降</x:v>
      </x:c>
    </x:row>
    <x:row r="28" ht="24" customHeight="1">
      <x:c r="A28" s="2" t="str">
        <x:v>Climate</x:v>
      </x:c>
      <x:c r="B28" s="2" t="n">
        <x:v>6</x:v>
      </x:c>
      <x:c r="C28" s="2" t="str">
        <x:v>SpecTF</x:v>
      </x:c>
      <x:c r="D28" s="15" t="n">
        <x:v>1.0572414052259043</x:v>
      </x:c>
      <x:c r="E28" s="16" t="n">
        <x:v>1.0572414052328372</x:v>
      </x:c>
      <x:c r="F28" s="17" t="n">
        <x:f>(D28-E28)/D28</x:f>
        <x:v>-6.557536117394946e-12</x:v>
      </x:c>
      <x:c r="G28" s="15" t="n">
        <x:v>0.8341966694260531</x:v>
      </x:c>
      <x:c r="H28" s="16" t="n">
        <x:v>0.8341966694384378</x:v>
      </x:c>
      <x:c r="I28" s="17" t="n">
        <x:f>(G28-H28)/G28</x:f>
        <x:v>-1.4846331013068598e-11</x:v>
      </x:c>
      <x:c r="J28" s="14" t="n">
        <x:v>0</x:v>
      </x:c>
      <x:c r="K28" s="2" t="str">
        <x:f>IF(AND(F28&gt;0.0000001,I28&gt;0.0000001),"双指标下降",IF(OR(F28&lt;-0.0000001,I28&lt;-0.0000001),"至少一项增加","持平或单项下降"))</x:f>
        <x:v>持平或单项下降</x:v>
      </x:c>
    </x:row>
    <x:row r="29" ht="24" customHeight="1">
      <x:c r="A29" s="2" t="str">
        <x:v>Climate</x:v>
      </x:c>
      <x:c r="B29" s="2" t="n">
        <x:v>6</x:v>
      </x:c>
      <x:c r="C29" s="2" t="str">
        <x:v>CFA</x:v>
      </x:c>
      <x:c r="D29" s="15" t="n">
        <x:v>1.2072524518723515</x:v>
      </x:c>
      <x:c r="E29" s="16" t="n">
        <x:v>1.207252451827332</x:v>
      </x:c>
      <x:c r="F29" s="17" t="n">
        <x:f>(D29-E29)/D29</x:f>
        <x:v>3.729091092648303e-11</x:v>
      </x:c>
      <x:c r="G29" s="15" t="n">
        <x:v>0.8877422128843658</x:v>
      </x:c>
      <x:c r="H29" s="16" t="n">
        <x:v>0.887742212835653</x:v>
      </x:c>
      <x:c r="I29" s="17" t="n">
        <x:f>(G29-H29)/G29</x:f>
        <x:v>5.4872699366176586e-11</x:v>
      </x:c>
      <x:c r="J29" s="14" t="n">
        <x:v>0</x:v>
      </x:c>
      <x:c r="K29" s="2" t="str">
        <x:f>IF(AND(F29&gt;0.0000001,I29&gt;0.0000001),"双指标下降",IF(OR(F29&lt;-0.0000001,I29&lt;-0.0000001),"至少一项增加","持平或单项下降"))</x:f>
        <x:v>持平或单项下降</x:v>
      </x:c>
    </x:row>
    <x:row r="30" ht="24" customHeight="1">
      <x:c r="A30" s="2" t="str">
        <x:v>Climate</x:v>
      </x:c>
      <x:c r="B30" s="2" t="n">
        <x:v>6</x:v>
      </x:c>
      <x:c r="C30" s="2" t="str">
        <x:v>Aurora</x:v>
      </x:c>
      <x:c r="D30" s="15" t="n">
        <x:v>1.1349327105336318</x:v>
      </x:c>
      <x:c r="E30" s="16" t="n">
        <x:v>1.1349327105976588</x:v>
      </x:c>
      <x:c r="F30" s="17" t="n">
        <x:f>(D30-E30)/D30</x:f>
        <x:v>-5.641480356067797e-11</x:v>
      </x:c>
      <x:c r="G30" s="15" t="n">
        <x:v>0.8616187951697127</x:v>
      </x:c>
      <x:c r="H30" s="16" t="n">
        <x:v>0.8616187952014096</x:v>
      </x:c>
      <x:c r="I30" s="17" t="n">
        <x:f>(G30-H30)/G30</x:f>
        <x:v>-3.678757651381653e-11</x:v>
      </x:c>
      <x:c r="J30" s="14" t="n">
        <x:v>0</x:v>
      </x:c>
      <x:c r="K30" s="2" t="str">
        <x:f>IF(AND(F30&gt;0.0000001,I30&gt;0.0000001),"双指标下降",IF(OR(F30&lt;-0.0000001,I30&lt;-0.0000001),"至少一项增加","持平或单项下降"))</x:f>
        <x:v>持平或单项下降</x:v>
      </x:c>
    </x:row>
    <x:row r="31" ht="24" customHeight="1">
      <x:c r="A31" s="2" t="str">
        <x:v>Climate</x:v>
      </x:c>
      <x:c r="B31" s="2" t="n">
        <x:v>8</x:v>
      </x:c>
      <x:c r="C31" s="2" t="str">
        <x:v>TaTS</x:v>
      </x:c>
      <x:c r="D31" s="15" t="n">
        <x:v>1.1675973042594807</x:v>
      </x:c>
      <x:c r="E31" s="16" t="n">
        <x:v>1.1675973043756265</x:v>
      </x:c>
      <x:c r="F31" s="17" t="n">
        <x:f>(D31-E31)/D31</x:f>
        <x:v>-9.947415881558442e-11</x:v>
      </x:c>
      <x:c r="G31" s="15" t="n">
        <x:v>0.8678113940556574</x:v>
      </x:c>
      <x:c r="H31" s="16" t="n">
        <x:v>0.8678113940455342</x:v>
      </x:c>
      <x:c r="I31" s="17" t="n">
        <x:f>(G31-H31)/G31</x:f>
        <x:v>1.1665248523445689e-11</x:v>
      </x:c>
      <x:c r="J31" s="14" t="n">
        <x:v>0</x:v>
      </x:c>
      <x:c r="K31" s="2" t="str">
        <x:f>IF(AND(F31&gt;0.0000001,I31&gt;0.0000001),"双指标下降",IF(OR(F31&lt;-0.0000001,I31&lt;-0.0000001),"至少一项增加","持平或单项下降"))</x:f>
        <x:v>持平或单项下降</x:v>
      </x:c>
    </x:row>
    <x:row r="32" ht="24" customHeight="1">
      <x:c r="A32" s="2" t="str">
        <x:v>Climate</x:v>
      </x:c>
      <x:c r="B32" s="2" t="n">
        <x:v>8</x:v>
      </x:c>
      <x:c r="C32" s="2" t="str">
        <x:v>MM-TSFlib</x:v>
      </x:c>
      <x:c r="D32" s="15" t="n">
        <x:v>1.3202855790609833</x:v>
      </x:c>
      <x:c r="E32" s="16" t="n">
        <x:v>1.3202855790648724</x:v>
      </x:c>
      <x:c r="F32" s="17" t="n">
        <x:f>(D32-E32)/D32</x:f>
        <x:v>-2.945659118709716e-12</x:v>
      </x:c>
      <x:c r="G32" s="15" t="n">
        <x:v>0.9247054916578117</x:v>
      </x:c>
      <x:c r="H32" s="16" t="n">
        <x:v>0.924705491632504</x:v>
      </x:c>
      <x:c r="I32" s="17" t="n">
        <x:f>(G32-H32)/G32</x:f>
        <x:v>2.7368329805483655e-11</x:v>
      </x:c>
      <x:c r="J32" s="14" t="n">
        <x:v>0</x:v>
      </x:c>
      <x:c r="K32" s="2" t="str">
        <x:f>IF(AND(F32&gt;0.0000001,I32&gt;0.0000001),"双指标下降",IF(OR(F32&lt;-0.0000001,I32&lt;-0.0000001),"至少一项增加","持平或单项下降"))</x:f>
        <x:v>持平或单项下降</x:v>
      </x:c>
    </x:row>
    <x:row r="33" ht="24" customHeight="1">
      <x:c r="A33" s="2" t="str">
        <x:v>Climate</x:v>
      </x:c>
      <x:c r="B33" s="2" t="n">
        <x:v>8</x:v>
      </x:c>
      <x:c r="C33" s="2" t="str">
        <x:v>SpecTF</x:v>
      </x:c>
      <x:c r="D33" s="15" t="n">
        <x:v>1.07353160690252</x:v>
      </x:c>
      <x:c r="E33" s="16" t="n">
        <x:v>1.07353160690252</x:v>
      </x:c>
      <x:c r="F33" s="17" t="n">
        <x:f>(D33-E33)/D33</x:f>
        <x:v>0</x:v>
      </x:c>
      <x:c r="G33" s="15" t="n">
        <x:v>0.8403140751279945</x:v>
      </x:c>
      <x:c r="H33" s="16" t="n">
        <x:v>0.8403140751279944</x:v>
      </x:c>
      <x:c r="I33" s="17" t="n">
        <x:f>(G33-H33)/G33</x:f>
        <x:v>1.3212000815957416e-16</x:v>
      </x:c>
      <x:c r="J33" s="14" t="n">
        <x:v>0</x:v>
      </x:c>
      <x:c r="K33" s="2" t="str">
        <x:f>IF(AND(F33&gt;0.0000001,I33&gt;0.0000001),"双指标下降",IF(OR(F33&lt;-0.0000001,I33&lt;-0.0000001),"至少一项增加","持平或单项下降"))</x:f>
        <x:v>持平或单项下降</x:v>
      </x:c>
    </x:row>
    <x:row r="34" ht="24" customHeight="1">
      <x:c r="A34" s="2" t="str">
        <x:v>Climate</x:v>
      </x:c>
      <x:c r="B34" s="2" t="n">
        <x:v>8</x:v>
      </x:c>
      <x:c r="C34" s="2" t="str">
        <x:v>CFA</x:v>
      </x:c>
      <x:c r="D34" s="15" t="n">
        <x:v>1.1615048166871749</x:v>
      </x:c>
      <x:c r="E34" s="16" t="n">
        <x:v>1.1615048166871749</x:v>
      </x:c>
      <x:c r="F34" s="17" t="n">
        <x:f>(D34-E34)/D34</x:f>
        <x:v>0</x:v>
      </x:c>
      <x:c r="G34" s="15" t="n">
        <x:v>0.8794871590760759</x:v>
      </x:c>
      <x:c r="H34" s="16" t="n">
        <x:v>0.8794871590760759</x:v>
      </x:c>
      <x:c r="I34" s="17" t="n">
        <x:f>(G34-H34)/G34</x:f>
        <x:v>0</x:v>
      </x:c>
      <x:c r="J34" s="14" t="n">
        <x:v>0</x:v>
      </x:c>
      <x:c r="K34" s="2" t="str">
        <x:f>IF(AND(F34&gt;0.0000001,I34&gt;0.0000001),"双指标下降",IF(OR(F34&lt;-0.0000001,I34&lt;-0.0000001),"至少一项增加","持平或单项下降"))</x:f>
        <x:v>持平或单项下降</x:v>
      </x:c>
    </x:row>
    <x:row r="35" ht="24" customHeight="1">
      <x:c r="A35" s="2" t="str">
        <x:v>Climate</x:v>
      </x:c>
      <x:c r="B35" s="2" t="n">
        <x:v>8</x:v>
      </x:c>
      <x:c r="C35" s="2" t="str">
        <x:v>Aurora</x:v>
      </x:c>
      <x:c r="D35" s="15" t="n">
        <x:v>1.1448523384243392</x:v>
      </x:c>
      <x:c r="E35" s="16" t="n">
        <x:v>1.1448523384243392</x:v>
      </x:c>
      <x:c r="F35" s="17" t="n">
        <x:f>(D35-E35)/D35</x:f>
        <x:v>0</x:v>
      </x:c>
      <x:c r="G35" s="15" t="n">
        <x:v>0.8674248015116993</x:v>
      </x:c>
      <x:c r="H35" s="16" t="n">
        <x:v>0.8674248015116993</x:v>
      </x:c>
      <x:c r="I35" s="17" t="n">
        <x:f>(G35-H35)/G35</x:f>
        <x:v>0</x:v>
      </x:c>
      <x:c r="J35" s="14" t="n">
        <x:v>0</x:v>
      </x:c>
      <x:c r="K35" s="2" t="str">
        <x:f>IF(AND(F35&gt;0.0000001,I35&gt;0.0000001),"双指标下降",IF(OR(F35&lt;-0.0000001,I35&lt;-0.0000001),"至少一项增加","持平或单项下降"))</x:f>
        <x:v>持平或单项下降</x:v>
      </x:c>
    </x:row>
    <x:row r="36" ht="24" customHeight="1">
      <x:c r="A36" s="2" t="str">
        <x:v>Climate</x:v>
      </x:c>
      <x:c r="B36" s="2" t="n">
        <x:v>10</x:v>
      </x:c>
      <x:c r="C36" s="2" t="str">
        <x:v>TaTS</x:v>
      </x:c>
      <x:c r="D36" s="15" t="n">
        <x:v>1.1619446589645592</x:v>
      </x:c>
      <x:c r="E36" s="16" t="n">
        <x:v>1.1619446589774514</x:v>
      </x:c>
      <x:c r="F36" s="17" t="n">
        <x:f>(D36-E36)/D36</x:f>
        <x:v>-1.1095306223999321e-11</x:v>
      </x:c>
      <x:c r="G36" s="15" t="n">
        <x:v>0.8608195766972171</x:v>
      </x:c>
      <x:c r="H36" s="16" t="n">
        <x:v>0.8608195766846701</x:v>
      </x:c>
      <x:c r="I36" s="17" t="n">
        <x:f>(G36-H36)/G36</x:f>
        <x:v>1.457560191223384e-11</x:v>
      </x:c>
      <x:c r="J36" s="14" t="n">
        <x:v>0</x:v>
      </x:c>
      <x:c r="K36" s="2" t="str">
        <x:f>IF(AND(F36&gt;0.0000001,I36&gt;0.0000001),"双指标下降",IF(OR(F36&lt;-0.0000001,I36&lt;-0.0000001),"至少一项增加","持平或单项下降"))</x:f>
        <x:v>持平或单项下降</x:v>
      </x:c>
    </x:row>
    <x:row r="37" ht="24" customHeight="1">
      <x:c r="A37" s="2" t="str">
        <x:v>Climate</x:v>
      </x:c>
      <x:c r="B37" s="2" t="n">
        <x:v>10</x:v>
      </x:c>
      <x:c r="C37" s="2" t="str">
        <x:v>MM-TSFlib</x:v>
      </x:c>
      <x:c r="D37" s="15" t="n">
        <x:v>1.2405914477230617</x:v>
      </x:c>
      <x:c r="E37" s="16" t="n">
        <x:v>1.2405914477497597</x:v>
      </x:c>
      <x:c r="F37" s="17" t="n">
        <x:f>(D37-E37)/D37</x:f>
        <x:v>-2.1520362091300505e-11</x:v>
      </x:c>
      <x:c r="G37" s="15" t="n">
        <x:v>0.8979152856917224</x:v>
      </x:c>
      <x:c r="H37" s="16" t="n">
        <x:v>0.8979152856996128</x:v>
      </x:c>
      <x:c r="I37" s="17" t="n">
        <x:f>(G37-H37)/G37</x:f>
        <x:v>-8.787415875131845e-12</x:v>
      </x:c>
      <x:c r="J37" s="14" t="n">
        <x:v>0</x:v>
      </x:c>
      <x:c r="K37" s="2" t="str">
        <x:f>IF(AND(F37&gt;0.0000001,I37&gt;0.0000001),"双指标下降",IF(OR(F37&lt;-0.0000001,I37&lt;-0.0000001),"至少一项增加","持平或单项下降"))</x:f>
        <x:v>持平或单项下降</x:v>
      </x:c>
    </x:row>
    <x:row r="38" ht="24" customHeight="1">
      <x:c r="A38" s="2" t="str">
        <x:v>Climate</x:v>
      </x:c>
      <x:c r="B38" s="2" t="n">
        <x:v>10</x:v>
      </x:c>
      <x:c r="C38" s="2" t="str">
        <x:v>SpecTF</x:v>
      </x:c>
      <x:c r="D38" s="15" t="n">
        <x:v>1.1226732238917876</x:v>
      </x:c>
      <x:c r="E38" s="16" t="n">
        <x:v>1.1226732238917876</x:v>
      </x:c>
      <x:c r="F38" s="17" t="n">
        <x:f>(D38-E38)/D38</x:f>
        <x:v>0</x:v>
      </x:c>
      <x:c r="G38" s="15" t="n">
        <x:v>0.8515015271989331</x:v>
      </x:c>
      <x:c r="H38" s="16" t="n">
        <x:v>0.8515015271989331</x:v>
      </x:c>
      <x:c r="I38" s="17" t="n">
        <x:f>(G38-H38)/G38</x:f>
        <x:v>0</x:v>
      </x:c>
      <x:c r="J38" s="14" t="n">
        <x:v>0</x:v>
      </x:c>
      <x:c r="K38" s="2" t="str">
        <x:f>IF(AND(F38&gt;0.0000001,I38&gt;0.0000001),"双指标下降",IF(OR(F38&lt;-0.0000001,I38&lt;-0.0000001),"至少一项增加","持平或单项下降"))</x:f>
        <x:v>持平或单项下降</x:v>
      </x:c>
    </x:row>
    <x:row r="39" ht="24" customHeight="1">
      <x:c r="A39" s="2" t="str">
        <x:v>Climate</x:v>
      </x:c>
      <x:c r="B39" s="2" t="n">
        <x:v>10</x:v>
      </x:c>
      <x:c r="C39" s="2" t="str">
        <x:v>CFA</x:v>
      </x:c>
      <x:c r="D39" s="15" t="n">
        <x:v>1.0921057930035716</x:v>
      </x:c>
      <x:c r="E39" s="16" t="n">
        <x:v>1.0921057930063105</x:v>
      </x:c>
      <x:c r="F39" s="17" t="n">
        <x:f>(D39-E39)/D39</x:f>
        <x:v>-2.5079257149781497e-12</x:v>
      </x:c>
      <x:c r="G39" s="15" t="n">
        <x:v>0.8498655628878623</x:v>
      </x:c>
      <x:c r="H39" s="16" t="n">
        <x:v>0.8498655628920014</x:v>
      </x:c>
      <x:c r="I39" s="17" t="n">
        <x:f>(G39-H39)/G39</x:f>
        <x:v>-4.870339099683766e-12</x:v>
      </x:c>
      <x:c r="J39" s="14" t="n">
        <x:v>0</x:v>
      </x:c>
      <x:c r="K39" s="2" t="str">
        <x:f>IF(AND(F39&gt;0.0000001,I39&gt;0.0000001),"双指标下降",IF(OR(F39&lt;-0.0000001,I39&lt;-0.0000001),"至少一项增加","持平或单项下降"))</x:f>
        <x:v>持平或单项下降</x:v>
      </x:c>
    </x:row>
    <x:row r="40" ht="24" customHeight="1">
      <x:c r="A40" s="2" t="str">
        <x:v>Climate</x:v>
      </x:c>
      <x:c r="B40" s="2" t="n">
        <x:v>10</x:v>
      </x:c>
      <x:c r="C40" s="2" t="str">
        <x:v>Aurora</x:v>
      </x:c>
      <x:c r="D40" s="15" t="n">
        <x:v>1.160987237939077</x:v>
      </x:c>
      <x:c r="E40" s="16" t="n">
        <x:v>1.1609872381995572</x:v>
      </x:c>
      <x:c r="F40" s="17" t="n">
        <x:f>(D40-E40)/D40</x:f>
        <x:v>-2.2436084862632494e-10</x:v>
      </x:c>
      <x:c r="G40" s="15" t="n">
        <x:v>0.8762681714300561</x:v>
      </x:c>
      <x:c r="H40" s="16" t="n">
        <x:v>0.8762681715233095</x:v>
      </x:c>
      <x:c r="I40" s="17" t="n">
        <x:f>(G40-H40)/G40</x:f>
        <x:v>-1.0642107980004207e-10</x:v>
      </x:c>
      <x:c r="J40" s="14" t="n">
        <x:v>0</x:v>
      </x:c>
      <x:c r="K40" s="2" t="str">
        <x:f>IF(AND(F40&gt;0.0000001,I40&gt;0.0000001),"双指标下降",IF(OR(F40&lt;-0.0000001,I40&lt;-0.0000001),"至少一项增加","持平或单项下降"))</x:f>
        <x:v>持平或单项下降</x:v>
      </x:c>
    </x:row>
    <x:row r="41" ht="24" customHeight="1">
      <x:c r="A41" s="2" t="str">
        <x:v>Climate</x:v>
      </x:c>
      <x:c r="B41" s="2" t="n">
        <x:v>12</x:v>
      </x:c>
      <x:c r="C41" s="2" t="str">
        <x:v>TaTS</x:v>
      </x:c>
      <x:c r="D41" s="15" t="n">
        <x:v>1.1409304660185637</x:v>
      </x:c>
      <x:c r="E41" s="16" t="n">
        <x:v>1.1409304659432564</x:v>
      </x:c>
      <x:c r="F41" s="17" t="n">
        <x:f>(D41-E41)/D41</x:f>
        <x:v>6.600517575934269e-11</x:v>
      </x:c>
      <x:c r="G41" s="15" t="n">
        <x:v>0.8553936386050544</x:v>
      </x:c>
      <x:c r="H41" s="16" t="n">
        <x:v>0.8553936385356399</x:v>
      </x:c>
      <x:c r="I41" s="17" t="n">
        <x:f>(G41-H41)/G41</x:f>
        <x:v>8.11491587450163e-11</x:v>
      </x:c>
      <x:c r="J41" s="14" t="n">
        <x:v>0</x:v>
      </x:c>
      <x:c r="K41" s="2" t="str">
        <x:f>IF(AND(F41&gt;0.0000001,I41&gt;0.0000001),"双指标下降",IF(OR(F41&lt;-0.0000001,I41&lt;-0.0000001),"至少一项增加","持平或单项下降"))</x:f>
        <x:v>持平或单项下降</x:v>
      </x:c>
    </x:row>
    <x:row r="42" ht="24" customHeight="1">
      <x:c r="A42" s="2" t="str">
        <x:v>Climate</x:v>
      </x:c>
      <x:c r="B42" s="2" t="n">
        <x:v>12</x:v>
      </x:c>
      <x:c r="C42" s="2" t="str">
        <x:v>MM-TSFlib</x:v>
      </x:c>
      <x:c r="D42" s="15" t="n">
        <x:v>1.216266717246754</x:v>
      </x:c>
      <x:c r="E42" s="16" t="n">
        <x:v>1.2162667169387846</x:v>
      </x:c>
      <x:c r="F42" s="17" t="n">
        <x:f>(D42-E42)/D42</x:f>
        <x:v>2.5320879324447987e-10</x:v>
      </x:c>
      <x:c r="G42" s="15" t="n">
        <x:v>0.8851447826729616</x:v>
      </x:c>
      <x:c r="H42" s="16" t="n">
        <x:v>0.8851447825359621</x:v>
      </x:c>
      <x:c r="I42" s="17" t="n">
        <x:f>(G42-H42)/G42</x:f>
        <x:v>1.547763998829532e-10</x:v>
      </x:c>
      <x:c r="J42" s="14" t="n">
        <x:v>0</x:v>
      </x:c>
      <x:c r="K42" s="2" t="str">
        <x:f>IF(AND(F42&gt;0.0000001,I42&gt;0.0000001),"双指标下降",IF(OR(F42&lt;-0.0000001,I42&lt;-0.0000001),"至少一项增加","持平或单项下降"))</x:f>
        <x:v>持平或单项下降</x:v>
      </x:c>
    </x:row>
    <x:row r="43" ht="24" customHeight="1">
      <x:c r="A43" s="2" t="str">
        <x:v>Climate</x:v>
      </x:c>
      <x:c r="B43" s="2" t="n">
        <x:v>12</x:v>
      </x:c>
      <x:c r="C43" s="2" t="str">
        <x:v>SpecTF</x:v>
      </x:c>
      <x:c r="D43" s="15" t="n">
        <x:v>1.1263081593985549</x:v>
      </x:c>
      <x:c r="E43" s="16" t="n">
        <x:v>1.1263081593985549</x:v>
      </x:c>
      <x:c r="F43" s="17" t="n">
        <x:f>(D43-E43)/D43</x:f>
        <x:v>0</x:v>
      </x:c>
      <x:c r="G43" s="15" t="n">
        <x:v>0.8685202138501953</x:v>
      </x:c>
      <x:c r="H43" s="16" t="n">
        <x:v>0.8685202138501952</x:v>
      </x:c>
      <x:c r="I43" s="17" t="n">
        <x:f>(G43-H43)/G43</x:f>
        <x:v>1.2782926717427567e-16</x:v>
      </x:c>
      <x:c r="J43" s="14" t="n">
        <x:v>0</x:v>
      </x:c>
      <x:c r="K43" s="2" t="str">
        <x:f>IF(AND(F43&gt;0.0000001,I43&gt;0.0000001),"双指标下降",IF(OR(F43&lt;-0.0000001,I43&lt;-0.0000001),"至少一项增加","持平或单项下降"))</x:f>
        <x:v>持平或单项下降</x:v>
      </x:c>
    </x:row>
    <x:row r="44" ht="24" customHeight="1">
      <x:c r="A44" s="2" t="str">
        <x:v>Climate</x:v>
      </x:c>
      <x:c r="B44" s="2" t="n">
        <x:v>12</x:v>
      </x:c>
      <x:c r="C44" s="2" t="str">
        <x:v>CFA</x:v>
      </x:c>
      <x:c r="D44" s="15" t="n">
        <x:v>1.116828027737457</x:v>
      </x:c>
      <x:c r="E44" s="16" t="n">
        <x:v>1.1168280277392026</x:v>
      </x:c>
      <x:c r="F44" s="17" t="n">
        <x:f>(D44-E44)/D44</x:f>
        <x:v>-1.5631007107308892e-12</x:v>
      </x:c>
      <x:c r="G44" s="15" t="n">
        <x:v>0.8532134292084569</x:v>
      </x:c>
      <x:c r="H44" s="16" t="n">
        <x:v>0.8532134292290721</x:v>
      </x:c>
      <x:c r="I44" s="17" t="n">
        <x:f>(G44-H44)/G44</x:f>
        <x:v>-2.4161804686873398e-11</x:v>
      </x:c>
      <x:c r="J44" s="14" t="n">
        <x:v>0</x:v>
      </x:c>
      <x:c r="K44" s="2" t="str">
        <x:f>IF(AND(F44&gt;0.0000001,I44&gt;0.0000001),"双指标下降",IF(OR(F44&lt;-0.0000001,I44&lt;-0.0000001),"至少一项增加","持平或单项下降"))</x:f>
        <x:v>持平或单项下降</x:v>
      </x:c>
    </x:row>
    <x:row r="45" ht="24" customHeight="1">
      <x:c r="A45" s="2" t="str">
        <x:v>Climate</x:v>
      </x:c>
      <x:c r="B45" s="2" t="n">
        <x:v>12</x:v>
      </x:c>
      <x:c r="C45" s="2" t="str">
        <x:v>Aurora</x:v>
      </x:c>
      <x:c r="D45" s="15" t="n">
        <x:v>1.1706371855200317</x:v>
      </x:c>
      <x:c r="E45" s="16" t="n">
        <x:v>1.1706371855200317</x:v>
      </x:c>
      <x:c r="F45" s="17" t="n">
        <x:f>(D45-E45)/D45</x:f>
        <x:v>0</x:v>
      </x:c>
      <x:c r="G45" s="15" t="n">
        <x:v>0.8838027416239914</x:v>
      </x:c>
      <x:c r="H45" s="16" t="n">
        <x:v>0.8838027416239914</x:v>
      </x:c>
      <x:c r="I45" s="17" t="n">
        <x:f>(G45-H45)/G45</x:f>
        <x:v>0</x:v>
      </x:c>
      <x:c r="J45" s="14" t="n">
        <x:v>0</x:v>
      </x:c>
      <x:c r="K45" s="2" t="str">
        <x:f>IF(AND(F45&gt;0.0000001,I45&gt;0.0000001),"双指标下降",IF(OR(F45&lt;-0.0000001,I45&lt;-0.0000001),"至少一项增加","持平或单项下降"))</x:f>
        <x:v>持平或单项下降</x:v>
      </x:c>
    </x:row>
    <x:row r="46" ht="24" customHeight="1">
      <x:c r="A46" s="2" t="str">
        <x:v>Economy</x:v>
      </x:c>
      <x:c r="B46" s="2" t="n">
        <x:v>6</x:v>
      </x:c>
      <x:c r="C46" s="2" t="str">
        <x:v>TaTS</x:v>
      </x:c>
      <x:c r="D46" s="15" t="n">
        <x:v>0.16271074981363087</x:v>
      </x:c>
      <x:c r="E46" s="16" t="n">
        <x:v>0.15969326996280628</x:v>
      </x:c>
      <x:c r="F46" s="17" t="n">
        <x:f>(D46-E46)/D46</x:f>
        <x:v>0.018545055285411817</x:v>
      </x:c>
      <x:c r="G46" s="15" t="n">
        <x:v>0.32147399156908446</x:v>
      </x:c>
      <x:c r="H46" s="16" t="n">
        <x:v>0.3190586781535303</x:v>
      </x:c>
      <x:c r="I46" s="17" t="n">
        <x:f>(G46-H46)/G46</x:f>
        <x:v>0.007513246728810806</x:v>
      </x:c>
      <x:c r="J46" s="14" t="n">
        <x:v>3</x:v>
      </x:c>
      <x:c r="K46" s="2" t="str">
        <x:f>IF(AND(F46&gt;0.0000001,I46&gt;0.0000001),"双指标下降",IF(OR(F46&lt;-0.0000001,I46&lt;-0.0000001),"至少一项增加","持平或单项下降"))</x:f>
        <x:v>双指标下降</x:v>
      </x:c>
    </x:row>
    <x:row r="47" ht="24" customHeight="1">
      <x:c r="A47" s="2" t="str">
        <x:v>Economy</x:v>
      </x:c>
      <x:c r="B47" s="2" t="n">
        <x:v>6</x:v>
      </x:c>
      <x:c r="C47" s="2" t="str">
        <x:v>MM-TSFlib</x:v>
      </x:c>
      <x:c r="D47" s="15" t="n">
        <x:v>0.8565175914521214</x:v>
      </x:c>
      <x:c r="E47" s="16" t="n">
        <x:v>0.8565175914521214</x:v>
      </x:c>
      <x:c r="F47" s="17" t="n">
        <x:f>(D47-E47)/D47</x:f>
        <x:v>0</x:v>
      </x:c>
      <x:c r="G47" s="15" t="n">
        <x:v>0.7756360827116021</x:v>
      </x:c>
      <x:c r="H47" s="16" t="n">
        <x:v>0.7756360827116021</x:v>
      </x:c>
      <x:c r="I47" s="17" t="n">
        <x:f>(G47-H47)/G47</x:f>
        <x:v>0</x:v>
      </x:c>
      <x:c r="J47" s="14" t="n">
        <x:v>0</x:v>
      </x:c>
      <x:c r="K47" s="2" t="str">
        <x:f>IF(AND(F47&gt;0.0000001,I47&gt;0.0000001),"双指标下降",IF(OR(F47&lt;-0.0000001,I47&lt;-0.0000001),"至少一项增加","持平或单项下降"))</x:f>
        <x:v>持平或单项下降</x:v>
      </x:c>
    </x:row>
    <x:row r="48" ht="24" customHeight="1">
      <x:c r="A48" s="2" t="str">
        <x:v>Economy</x:v>
      </x:c>
      <x:c r="B48" s="2" t="n">
        <x:v>6</x:v>
      </x:c>
      <x:c r="C48" s="2" t="str">
        <x:v>SpecTF</x:v>
      </x:c>
      <x:c r="D48" s="15" t="n">
        <x:v>0.15398558090161274</x:v>
      </x:c>
      <x:c r="E48" s="16" t="n">
        <x:v>0.15398558090161274</x:v>
      </x:c>
      <x:c r="F48" s="17" t="n">
        <x:f>(D48-E48)/D48</x:f>
        <x:v>0</x:v>
      </x:c>
      <x:c r="G48" s="15" t="n">
        <x:v>0.3086953954103124</x:v>
      </x:c>
      <x:c r="H48" s="16" t="n">
        <x:v>0.3086953954103124</x:v>
      </x:c>
      <x:c r="I48" s="17" t="n">
        <x:f>(G48-H48)/G48</x:f>
        <x:v>0</x:v>
      </x:c>
      <x:c r="J48" s="14" t="n">
        <x:v>0</x:v>
      </x:c>
      <x:c r="K48" s="2" t="str">
        <x:f>IF(AND(F48&gt;0.0000001,I48&gt;0.0000001),"双指标下降",IF(OR(F48&lt;-0.0000001,I48&lt;-0.0000001),"至少一项增加","持平或单项下降"))</x:f>
        <x:v>持平或单项下降</x:v>
      </x:c>
    </x:row>
    <x:row r="49" ht="24" customHeight="1">
      <x:c r="A49" s="2" t="str">
        <x:v>Economy</x:v>
      </x:c>
      <x:c r="B49" s="2" t="n">
        <x:v>6</x:v>
      </x:c>
      <x:c r="C49" s="2" t="str">
        <x:v>CFA</x:v>
      </x:c>
      <x:c r="D49" s="15" t="n">
        <x:v>0.17158745546126114</x:v>
      </x:c>
      <x:c r="E49" s="16" t="n">
        <x:v>0.17138097061577887</x:v>
      </x:c>
      <x:c r="F49" s="17" t="n">
        <x:f>(D49-E49)/D49</x:f>
        <x:v>0.0012033796114477137</x:v>
      </x:c>
      <x:c r="G49" s="15" t="n">
        <x:v>0.3179805547879215</x:v>
      </x:c>
      <x:c r="H49" s="16" t="n">
        <x:v>0.3177821508775113</x:v>
      </x:c>
      <x:c r="I49" s="17" t="n">
        <x:f>(G49-H49)/G49</x:f>
        <x:v>0.0006239498215306787</x:v>
      </x:c>
      <x:c r="J49" s="14" t="n">
        <x:v>1</x:v>
      </x:c>
      <x:c r="K49" s="2" t="str">
        <x:f>IF(AND(F49&gt;0.0000001,I49&gt;0.0000001),"双指标下降",IF(OR(F49&lt;-0.0000001,I49&lt;-0.0000001),"至少一项增加","持平或单项下降"))</x:f>
        <x:v>双指标下降</x:v>
      </x:c>
    </x:row>
    <x:row r="50" ht="24" customHeight="1">
      <x:c r="A50" s="2" t="str">
        <x:v>Economy</x:v>
      </x:c>
      <x:c r="B50" s="2" t="n">
        <x:v>6</x:v>
      </x:c>
      <x:c r="C50" s="2" t="str">
        <x:v>Aurora</x:v>
      </x:c>
      <x:c r="D50" s="15" t="n">
        <x:v>0.276509449314873</x:v>
      </x:c>
      <x:c r="E50" s="16" t="n">
        <x:v>0.276509449314873</x:v>
      </x:c>
      <x:c r="F50" s="17" t="n">
        <x:f>(D50-E50)/D50</x:f>
        <x:v>0</x:v>
      </x:c>
      <x:c r="G50" s="15" t="n">
        <x:v>0.39027200293440356</x:v>
      </x:c>
      <x:c r="H50" s="16" t="n">
        <x:v>0.39027200293440356</x:v>
      </x:c>
      <x:c r="I50" s="17" t="n">
        <x:f>(G50-H50)/G50</x:f>
        <x:v>0</x:v>
      </x:c>
      <x:c r="J50" s="14" t="n">
        <x:v>0</x:v>
      </x:c>
      <x:c r="K50" s="2" t="str">
        <x:f>IF(AND(F50&gt;0.0000001,I50&gt;0.0000001),"双指标下降",IF(OR(F50&lt;-0.0000001,I50&lt;-0.0000001),"至少一项增加","持平或单项下降"))</x:f>
        <x:v>持平或单项下降</x:v>
      </x:c>
    </x:row>
    <x:row r="51" ht="24" customHeight="1">
      <x:c r="A51" s="2" t="str">
        <x:v>Economy</x:v>
      </x:c>
      <x:c r="B51" s="2" t="n">
        <x:v>8</x:v>
      </x:c>
      <x:c r="C51" s="2" t="str">
        <x:v>TaTS</x:v>
      </x:c>
      <x:c r="D51" s="15" t="n">
        <x:v>0.17193530537689122</x:v>
      </x:c>
      <x:c r="E51" s="16" t="n">
        <x:v>0.17437181315140884</x:v>
      </x:c>
      <x:c r="F51" s="17" t="n">
        <x:f>(D51-E51)/D51</x:f>
        <x:v>-0.014171073062490965</x:v>
      </x:c>
      <x:c r="G51" s="15" t="n">
        <x:v>0.3322616248065001</x:v>
      </x:c>
      <x:c r="H51" s="16" t="n">
        <x:v>0.3317389051183994</x:v>
      </x:c>
      <x:c r="I51" s="17" t="n">
        <x:f>(G51-H51)/G51</x:f>
        <x:v>0.0015732171550210325</x:v>
      </x:c>
      <x:c r="J51" s="14" t="n">
        <x:v>3</x:v>
      </x:c>
      <x:c r="K51" s="2" t="str">
        <x:f>IF(AND(F51&gt;0.0000001,I51&gt;0.0000001),"双指标下降",IF(OR(F51&lt;-0.0000001,I51&lt;-0.0000001),"至少一项增加","持平或单项下降"))</x:f>
        <x:v>至少一项增加</x:v>
      </x:c>
    </x:row>
    <x:row r="52" ht="24" customHeight="1">
      <x:c r="A52" s="2" t="str">
        <x:v>Economy</x:v>
      </x:c>
      <x:c r="B52" s="2" t="n">
        <x:v>8</x:v>
      </x:c>
      <x:c r="C52" s="2" t="str">
        <x:v>MM-TSFlib</x:v>
      </x:c>
      <x:c r="D52" s="15" t="n">
        <x:v>0.9900096828286012</x:v>
      </x:c>
      <x:c r="E52" s="16" t="n">
        <x:v>0.8182179346546891</x:v>
      </x:c>
      <x:c r="F52" s="17" t="n">
        <x:f>(D52-E52)/D52</x:f>
        <x:v>0.17352532116966599</x:v>
      </x:c>
      <x:c r="G52" s="15" t="n">
        <x:v>0.8452098264129131</x:v>
      </x:c>
      <x:c r="H52" s="16" t="n">
        <x:v>0.7572756396421106</x:v>
      </x:c>
      <x:c r="I52" s="17" t="n">
        <x:f>(G52-H52)/G52</x:f>
        <x:v>0.1040382920581944</x:v>
      </x:c>
      <x:c r="J52" s="14" t="n">
        <x:v>3</x:v>
      </x:c>
      <x:c r="K52" s="2" t="str">
        <x:f>IF(AND(F52&gt;0.0000001,I52&gt;0.0000001),"双指标下降",IF(OR(F52&lt;-0.0000001,I52&lt;-0.0000001),"至少一项增加","持平或单项下降"))</x:f>
        <x:v>双指标下降</x:v>
      </x:c>
    </x:row>
    <x:row r="53" ht="24" customHeight="1">
      <x:c r="A53" s="2" t="str">
        <x:v>Economy</x:v>
      </x:c>
      <x:c r="B53" s="2" t="n">
        <x:v>8</x:v>
      </x:c>
      <x:c r="C53" s="2" t="str">
        <x:v>SpecTF</x:v>
      </x:c>
      <x:c r="D53" s="15" t="n">
        <x:v>0.20794032049325598</x:v>
      </x:c>
      <x:c r="E53" s="16" t="n">
        <x:v>0.19871709179462593</x:v>
      </x:c>
      <x:c r="F53" s="17" t="n">
        <x:f>(D53-E53)/D53</x:f>
        <x:v>0.044355172083757444</x:v>
      </x:c>
      <x:c r="G53" s="15" t="n">
        <x:v>0.3618400586502893</x:v>
      </x:c>
      <x:c r="H53" s="16" t="n">
        <x:v>0.3531802278576475</x:v>
      </x:c>
      <x:c r="I53" s="17" t="n">
        <x:f>(G53-H53)/G53</x:f>
        <x:v>0.023932758647409205</x:v>
      </x:c>
      <x:c r="J53" s="14" t="n">
        <x:v>3</x:v>
      </x:c>
      <x:c r="K53" s="2" t="str">
        <x:f>IF(AND(F53&gt;0.0000001,I53&gt;0.0000001),"双指标下降",IF(OR(F53&lt;-0.0000001,I53&lt;-0.0000001),"至少一项增加","持平或单项下降"))</x:f>
        <x:v>双指标下降</x:v>
      </x:c>
    </x:row>
    <x:row r="54" ht="24" customHeight="1">
      <x:c r="A54" s="2" t="str">
        <x:v>Economy</x:v>
      </x:c>
      <x:c r="B54" s="2" t="n">
        <x:v>8</x:v>
      </x:c>
      <x:c r="C54" s="2" t="str">
        <x:v>CFA</x:v>
      </x:c>
      <x:c r="D54" s="15" t="n">
        <x:v>0.19030338745728353</x:v>
      </x:c>
      <x:c r="E54" s="16" t="n">
        <x:v>0.18486033380818037</x:v>
      </x:c>
      <x:c r="F54" s="17" t="n">
        <x:f>(D54-E54)/D54</x:f>
        <x:v>0.028601979827211108</x:v>
      </x:c>
      <x:c r="G54" s="15" t="n">
        <x:v>0.3428347496823831</x:v>
      </x:c>
      <x:c r="H54" s="16" t="n">
        <x:v>0.3344385871639499</x:v>
      </x:c>
      <x:c r="I54" s="17" t="n">
        <x:f>(G54-H54)/G54</x:f>
        <x:v>0.024490406897818083</x:v>
      </x:c>
      <x:c r="J54" s="14" t="n">
        <x:v>3</x:v>
      </x:c>
      <x:c r="K54" s="2" t="str">
        <x:f>IF(AND(F54&gt;0.0000001,I54&gt;0.0000001),"双指标下降",IF(OR(F54&lt;-0.0000001,I54&lt;-0.0000001),"至少一项增加","持平或单项下降"))</x:f>
        <x:v>双指标下降</x:v>
      </x:c>
    </x:row>
    <x:row r="55" ht="24" customHeight="1">
      <x:c r="A55" s="2" t="str">
        <x:v>Economy</x:v>
      </x:c>
      <x:c r="B55" s="2" t="n">
        <x:v>8</x:v>
      </x:c>
      <x:c r="C55" s="2" t="str">
        <x:v>Aurora</x:v>
      </x:c>
      <x:c r="D55" s="15" t="n">
        <x:v>0.30134888800131915</x:v>
      </x:c>
      <x:c r="E55" s="16" t="n">
        <x:v>0.30134888800131915</x:v>
      </x:c>
      <x:c r="F55" s="17" t="n">
        <x:f>(D55-E55)/D55</x:f>
        <x:v>0</x:v>
      </x:c>
      <x:c r="G55" s="15" t="n">
        <x:v>0.40555489189051963</x:v>
      </x:c>
      <x:c r="H55" s="16" t="n">
        <x:v>0.40555489189051963</x:v>
      </x:c>
      <x:c r="I55" s="17" t="n">
        <x:f>(G55-H55)/G55</x:f>
        <x:v>0</x:v>
      </x:c>
      <x:c r="J55" s="14" t="n">
        <x:v>0</x:v>
      </x:c>
      <x:c r="K55" s="2" t="str">
        <x:f>IF(AND(F55&gt;0.0000001,I55&gt;0.0000001),"双指标下降",IF(OR(F55&lt;-0.0000001,I55&lt;-0.0000001),"至少一项增加","持平或单项下降"))</x:f>
        <x:v>持平或单项下降</x:v>
      </x:c>
    </x:row>
    <x:row r="56" ht="24" customHeight="1">
      <x:c r="A56" s="2" t="str">
        <x:v>Economy</x:v>
      </x:c>
      <x:c r="B56" s="2" t="n">
        <x:v>10</x:v>
      </x:c>
      <x:c r="C56" s="2" t="str">
        <x:v>TaTS</x:v>
      </x:c>
      <x:c r="D56" s="15" t="n">
        <x:v>0.18058548881660597</x:v>
      </x:c>
      <x:c r="E56" s="16" t="n">
        <x:v>0.17938204131914834</x:v>
      </x:c>
      <x:c r="F56" s="17" t="n">
        <x:f>(D56-E56)/D56</x:f>
        <x:v>0.006664142868532427</x:v>
      </x:c>
      <x:c r="G56" s="15" t="n">
        <x:v>0.3368168587684631</x:v>
      </x:c>
      <x:c r="H56" s="16" t="n">
        <x:v>0.33586652625931634</x:v>
      </x:c>
      <x:c r="I56" s="17" t="n">
        <x:f>(G56-H56)/G56</x:f>
        <x:v>0.0028215111102857897</x:v>
      </x:c>
      <x:c r="J56" s="14" t="n">
        <x:v>1</x:v>
      </x:c>
      <x:c r="K56" s="2" t="str">
        <x:f>IF(AND(F56&gt;0.0000001,I56&gt;0.0000001),"双指标下降",IF(OR(F56&lt;-0.0000001,I56&lt;-0.0000001),"至少一项增加","持平或单项下降"))</x:f>
        <x:v>双指标下降</x:v>
      </x:c>
    </x:row>
    <x:row r="57" ht="24" customHeight="1">
      <x:c r="A57" s="2" t="str">
        <x:v>Economy</x:v>
      </x:c>
      <x:c r="B57" s="2" t="n">
        <x:v>10</x:v>
      </x:c>
      <x:c r="C57" s="2" t="str">
        <x:v>MM-TSFlib</x:v>
      </x:c>
      <x:c r="D57" s="15" t="n">
        <x:v>0.9352328334071817</x:v>
      </x:c>
      <x:c r="E57" s="16" t="n">
        <x:v>0.8757472603098329</x:v>
      </x:c>
      <x:c r="F57" s="17" t="n">
        <x:f>(D57-E57)/D57</x:f>
        <x:v>0.06360509487315014</x:v>
      </x:c>
      <x:c r="G57" s="15" t="n">
        <x:v>0.8021725076436996</x:v>
      </x:c>
      <x:c r="H57" s="16" t="n">
        <x:v>0.7759798287153243</x:v>
      </x:c>
      <x:c r="I57" s="17" t="n">
        <x:f>(G57-H57)/G57</x:f>
        <x:v>0.032652177279565</x:v>
      </x:c>
      <x:c r="J57" s="14" t="n">
        <x:v>3</x:v>
      </x:c>
      <x:c r="K57" s="2" t="str">
        <x:f>IF(AND(F57&gt;0.0000001,I57&gt;0.0000001),"双指标下降",IF(OR(F57&lt;-0.0000001,I57&lt;-0.0000001),"至少一项增加","持平或单项下降"))</x:f>
        <x:v>双指标下降</x:v>
      </x:c>
    </x:row>
    <x:row r="58" ht="24" customHeight="1">
      <x:c r="A58" s="2" t="str">
        <x:v>Economy</x:v>
      </x:c>
      <x:c r="B58" s="2" t="n">
        <x:v>10</x:v>
      </x:c>
      <x:c r="C58" s="2" t="str">
        <x:v>SpecTF</x:v>
      </x:c>
      <x:c r="D58" s="15" t="n">
        <x:v>0.19822602470059905</x:v>
      </x:c>
      <x:c r="E58" s="16" t="n">
        <x:v>0.19822602470059905</x:v>
      </x:c>
      <x:c r="F58" s="17" t="n">
        <x:f>(D58-E58)/D58</x:f>
        <x:v>0</x:v>
      </x:c>
      <x:c r="G58" s="15" t="n">
        <x:v>0.3472177498340607</x:v>
      </x:c>
      <x:c r="H58" s="16" t="n">
        <x:v>0.3472177498340607</x:v>
      </x:c>
      <x:c r="I58" s="17" t="n">
        <x:f>(G58-H58)/G58</x:f>
        <x:v>0</x:v>
      </x:c>
      <x:c r="J58" s="14" t="n">
        <x:v>0</x:v>
      </x:c>
      <x:c r="K58" s="2" t="str">
        <x:f>IF(AND(F58&gt;0.0000001,I58&gt;0.0000001),"双指标下降",IF(OR(F58&lt;-0.0000001,I58&lt;-0.0000001),"至少一项增加","持平或单项下降"))</x:f>
        <x:v>持平或单项下降</x:v>
      </x:c>
    </x:row>
    <x:row r="59" ht="24" customHeight="1">
      <x:c r="A59" s="2" t="str">
        <x:v>Economy</x:v>
      </x:c>
      <x:c r="B59" s="2" t="n">
        <x:v>10</x:v>
      </x:c>
      <x:c r="C59" s="2" t="str">
        <x:v>CFA</x:v>
      </x:c>
      <x:c r="D59" s="15" t="n">
        <x:v>0.23586643317586922</x:v>
      </x:c>
      <x:c r="E59" s="16" t="n">
        <x:v>0.23586643317586922</x:v>
      </x:c>
      <x:c r="F59" s="17" t="n">
        <x:f>(D59-E59)/D59</x:f>
        <x:v>0</x:v>
      </x:c>
      <x:c r="G59" s="15" t="n">
        <x:v>0.38637976241111754</x:v>
      </x:c>
      <x:c r="H59" s="16" t="n">
        <x:v>0.38637976241111754</x:v>
      </x:c>
      <x:c r="I59" s="17" t="n">
        <x:f>(G59-H59)/G59</x:f>
        <x:v>0</x:v>
      </x:c>
      <x:c r="J59" s="14" t="n">
        <x:v>0</x:v>
      </x:c>
      <x:c r="K59" s="2" t="str">
        <x:f>IF(AND(F59&gt;0.0000001,I59&gt;0.0000001),"双指标下降",IF(OR(F59&lt;-0.0000001,I59&lt;-0.0000001),"至少一项增加","持平或单项下降"))</x:f>
        <x:v>持平或单项下降</x:v>
      </x:c>
    </x:row>
    <x:row r="60" ht="24" customHeight="1">
      <x:c r="A60" s="2" t="str">
        <x:v>Economy</x:v>
      </x:c>
      <x:c r="B60" s="2" t="n">
        <x:v>10</x:v>
      </x:c>
      <x:c r="C60" s="2" t="str">
        <x:v>Aurora</x:v>
      </x:c>
      <x:c r="D60" s="15" t="n">
        <x:v>0.31950637541484384</x:v>
      </x:c>
      <x:c r="E60" s="16" t="n">
        <x:v>0.31950637541484384</x:v>
      </x:c>
      <x:c r="F60" s="17" t="n">
        <x:f>(D60-E60)/D60</x:f>
        <x:v>0</x:v>
      </x:c>
      <x:c r="G60" s="15" t="n">
        <x:v>0.41544849816958107</x:v>
      </x:c>
      <x:c r="H60" s="16" t="n">
        <x:v>0.415448498169581</x:v>
      </x:c>
      <x:c r="I60" s="17" t="n">
        <x:f>(G60-H60)/G60</x:f>
        <x:v>1.3361740739425863e-16</x:v>
      </x:c>
      <x:c r="J60" s="14" t="n">
        <x:v>0</x:v>
      </x:c>
      <x:c r="K60" s="2" t="str">
        <x:f>IF(AND(F60&gt;0.0000001,I60&gt;0.0000001),"双指标下降",IF(OR(F60&lt;-0.0000001,I60&lt;-0.0000001),"至少一项增加","持平或单项下降"))</x:f>
        <x:v>持平或单项下降</x:v>
      </x:c>
    </x:row>
    <x:row r="61" ht="24" customHeight="1">
      <x:c r="A61" s="2" t="str">
        <x:v>Economy</x:v>
      </x:c>
      <x:c r="B61" s="2" t="n">
        <x:v>12</x:v>
      </x:c>
      <x:c r="C61" s="2" t="str">
        <x:v>TaTS</x:v>
      </x:c>
      <x:c r="D61" s="15" t="n">
        <x:v>0.20261828458814246</x:v>
      </x:c>
      <x:c r="E61" s="16" t="n">
        <x:v>0.20261828458814246</x:v>
      </x:c>
      <x:c r="F61" s="17" t="n">
        <x:f>(D61-E61)/D61</x:f>
        <x:v>0</x:v>
      </x:c>
      <x:c r="G61" s="15" t="n">
        <x:v>0.3596185334196918</x:v>
      </x:c>
      <x:c r="H61" s="16" t="n">
        <x:v>0.3596185334196918</x:v>
      </x:c>
      <x:c r="I61" s="17" t="n">
        <x:f>(G61-H61)/G61</x:f>
        <x:v>0</x:v>
      </x:c>
      <x:c r="J61" s="14" t="n">
        <x:v>0</x:v>
      </x:c>
      <x:c r="K61" s="2" t="str">
        <x:f>IF(AND(F61&gt;0.0000001,I61&gt;0.0000001),"双指标下降",IF(OR(F61&lt;-0.0000001,I61&lt;-0.0000001),"至少一项增加","持平或单项下降"))</x:f>
        <x:v>持平或单项下降</x:v>
      </x:c>
    </x:row>
    <x:row r="62" ht="24" customHeight="1">
      <x:c r="A62" s="2" t="str">
        <x:v>Economy</x:v>
      </x:c>
      <x:c r="B62" s="2" t="n">
        <x:v>12</x:v>
      </x:c>
      <x:c r="C62" s="2" t="str">
        <x:v>MM-TSFlib</x:v>
      </x:c>
      <x:c r="D62" s="15" t="n">
        <x:v>0.9899457956350605</x:v>
      </x:c>
      <x:c r="E62" s="16" t="n">
        <x:v>0.9607698598134546</x:v>
      </x:c>
      <x:c r="F62" s="17" t="n">
        <x:f>(D62-E62)/D62</x:f>
        <x:v>0.029472255905576287</x:v>
      </x:c>
      <x:c r="G62" s="15" t="n">
        <x:v>0.8279729322551592</x:v>
      </x:c>
      <x:c r="H62" s="16" t="n">
        <x:v>0.8153691193261828</x:v>
      </x:c>
      <x:c r="I62" s="17" t="n">
        <x:f>(G62-H62)/G62</x:f>
        <x:v>0.015222493922171152</x:v>
      </x:c>
      <x:c r="J62" s="14" t="n">
        <x:v>3</x:v>
      </x:c>
      <x:c r="K62" s="2" t="str">
        <x:f>IF(AND(F62&gt;0.0000001,I62&gt;0.0000001),"双指标下降",IF(OR(F62&lt;-0.0000001,I62&lt;-0.0000001),"至少一项增加","持平或单项下降"))</x:f>
        <x:v>双指标下降</x:v>
      </x:c>
    </x:row>
    <x:row r="63" ht="24" customHeight="1">
      <x:c r="A63" s="2" t="str">
        <x:v>Economy</x:v>
      </x:c>
      <x:c r="B63" s="2" t="n">
        <x:v>12</x:v>
      </x:c>
      <x:c r="C63" s="2" t="str">
        <x:v>SpecTF</x:v>
      </x:c>
      <x:c r="D63" s="15" t="n">
        <x:v>0.22845241864998087</x:v>
      </x:c>
      <x:c r="E63" s="16" t="n">
        <x:v>0.22845241864998087</x:v>
      </x:c>
      <x:c r="F63" s="17" t="n">
        <x:f>(D63-E63)/D63</x:f>
        <x:v>0</x:v>
      </x:c>
      <x:c r="G63" s="15" t="n">
        <x:v>0.37327661572798204</x:v>
      </x:c>
      <x:c r="H63" s="16" t="n">
        <x:v>0.37327661572798204</x:v>
      </x:c>
      <x:c r="I63" s="17" t="n">
        <x:f>(G63-H63)/G63</x:f>
        <x:v>0</x:v>
      </x:c>
      <x:c r="J63" s="14" t="n">
        <x:v>0</x:v>
      </x:c>
      <x:c r="K63" s="2" t="str">
        <x:f>IF(AND(F63&gt;0.0000001,I63&gt;0.0000001),"双指标下降",IF(OR(F63&lt;-0.0000001,I63&lt;-0.0000001),"至少一项增加","持平或单项下降"))</x:f>
        <x:v>持平或单项下降</x:v>
      </x:c>
    </x:row>
    <x:row r="64" ht="24" customHeight="1">
      <x:c r="A64" s="2" t="str">
        <x:v>Economy</x:v>
      </x:c>
      <x:c r="B64" s="2" t="n">
        <x:v>12</x:v>
      </x:c>
      <x:c r="C64" s="2" t="str">
        <x:v>CFA</x:v>
      </x:c>
      <x:c r="D64" s="15" t="n">
        <x:v>0.23668466176642305</x:v>
      </x:c>
      <x:c r="E64" s="16" t="n">
        <x:v>0.23668466176642303</x:v>
      </x:c>
      <x:c r="F64" s="17" t="n">
        <x:f>(D64-E64)/D64</x:f>
        <x:v>1.1726816350702122e-16</x:v>
      </x:c>
      <x:c r="G64" s="15" t="n">
        <x:v>0.3859899857817175</x:v>
      </x:c>
      <x:c r="H64" s="16" t="n">
        <x:v>0.3859899857817175</x:v>
      </x:c>
      <x:c r="I64" s="17" t="n">
        <x:f>(G64-H64)/G64</x:f>
        <x:v>0</x:v>
      </x:c>
      <x:c r="J64" s="14" t="n">
        <x:v>0</x:v>
      </x:c>
      <x:c r="K64" s="2" t="str">
        <x:f>IF(AND(F64&gt;0.0000001,I64&gt;0.0000001),"双指标下降",IF(OR(F64&lt;-0.0000001,I64&lt;-0.0000001),"至少一项增加","持平或单项下降"))</x:f>
        <x:v>持平或单项下降</x:v>
      </x:c>
    </x:row>
    <x:row r="65" ht="24" customHeight="1">
      <x:c r="A65" s="2" t="str">
        <x:v>Economy</x:v>
      </x:c>
      <x:c r="B65" s="2" t="n">
        <x:v>12</x:v>
      </x:c>
      <x:c r="C65" s="2" t="str">
        <x:v>Aurora</x:v>
      </x:c>
      <x:c r="D65" s="15" t="n">
        <x:v>0.3338778963764754</x:v>
      </x:c>
      <x:c r="E65" s="16" t="n">
        <x:v>0.3338778963764754</x:v>
      </x:c>
      <x:c r="F65" s="17" t="n">
        <x:f>(D65-E65)/D65</x:f>
        <x:v>0</x:v>
      </x:c>
      <x:c r="G65" s="15" t="n">
        <x:v>0.42529069703735717</x:v>
      </x:c>
      <x:c r="H65" s="16" t="n">
        <x:v>0.42529069703735717</x:v>
      </x:c>
      <x:c r="I65" s="17" t="n">
        <x:f>(G65-H65)/G65</x:f>
        <x:v>0</x:v>
      </x:c>
      <x:c r="J65" s="14" t="n">
        <x:v>0</x:v>
      </x:c>
      <x:c r="K65" s="2" t="str">
        <x:f>IF(AND(F65&gt;0.0000001,I65&gt;0.0000001),"双指标下降",IF(OR(F65&lt;-0.0000001,I65&lt;-0.0000001),"至少一项增加","持平或单项下降"))</x:f>
        <x:v>持平或单项下降</x:v>
      </x:c>
    </x:row>
    <x:row r="66" ht="24" customHeight="1">
      <x:c r="A66" s="2" t="str">
        <x:v>Energy</x:v>
      </x:c>
      <x:c r="B66" s="2" t="n">
        <x:v>12</x:v>
      </x:c>
      <x:c r="C66" s="2" t="str">
        <x:v>TaTS</x:v>
      </x:c>
      <x:c r="D66" s="15" t="n">
        <x:v>0.1838611601559035</x:v>
      </x:c>
      <x:c r="E66" s="16" t="n">
        <x:v>0.16561305549078897</x:v>
      </x:c>
      <x:c r="F66" s="17" t="n">
        <x:f>(D66-E66)/D66</x:f>
        <x:v>0.09924937191542361</x:v>
      </x:c>
      <x:c r="G66" s="15" t="n">
        <x:v>0.3366886945189952</x:v>
      </x:c>
      <x:c r="H66" s="16" t="n">
        <x:v>0.30934245455776904</x:v>
      </x:c>
      <x:c r="I66" s="17" t="n">
        <x:f>(G66-H66)/G66</x:f>
        <x:v>0.08122114109086409</x:v>
      </x:c>
      <x:c r="J66" s="14" t="n">
        <x:v>3</x:v>
      </x:c>
      <x:c r="K66" s="2" t="str">
        <x:f>IF(AND(F66&gt;0.0000001,I66&gt;0.0000001),"双指标下降",IF(OR(F66&lt;-0.0000001,I66&lt;-0.0000001),"至少一项增加","持平或单项下降"))</x:f>
        <x:v>双指标下降</x:v>
      </x:c>
    </x:row>
    <x:row r="67" ht="24" customHeight="1">
      <x:c r="A67" s="2" t="str">
        <x:v>Energy</x:v>
      </x:c>
      <x:c r="B67" s="2" t="n">
        <x:v>12</x:v>
      </x:c>
      <x:c r="C67" s="2" t="str">
        <x:v>MM-TSFlib</x:v>
      </x:c>
      <x:c r="D67" s="15" t="n">
        <x:v>0.1333271211084098</x:v>
      </x:c>
      <x:c r="E67" s="16" t="n">
        <x:v>0.13018652740496547</x:v>
      </x:c>
      <x:c r="F67" s="17" t="n">
        <x:f>(D67-E67)/D67</x:f>
        <x:v>0.023555550268655957</x:v>
      </x:c>
      <x:c r="G67" s="15" t="n">
        <x:v>0.2584491496857998</x:v>
      </x:c>
      <x:c r="H67" s="16" t="n">
        <x:v>0.2555645449660993</x:v>
      </x:c>
      <x:c r="I67" s="17" t="n">
        <x:f>(G67-H67)/G67</x:f>
        <x:v>0.011161208010192073</x:v>
      </x:c>
      <x:c r="J67" s="14" t="n">
        <x:v>1</x:v>
      </x:c>
      <x:c r="K67" s="2" t="str">
        <x:f>IF(AND(F67&gt;0.0000001,I67&gt;0.0000001),"双指标下降",IF(OR(F67&lt;-0.0000001,I67&lt;-0.0000001),"至少一项增加","持平或单项下降"))</x:f>
        <x:v>双指标下降</x:v>
      </x:c>
    </x:row>
    <x:row r="68" ht="24" customHeight="1">
      <x:c r="A68" s="2" t="str">
        <x:v>Energy</x:v>
      </x:c>
      <x:c r="B68" s="2" t="n">
        <x:v>12</x:v>
      </x:c>
      <x:c r="C68" s="2" t="str">
        <x:v>SpecTF</x:v>
      </x:c>
      <x:c r="D68" s="15" t="n">
        <x:v>0.09577729990129709</x:v>
      </x:c>
      <x:c r="E68" s="16" t="n">
        <x:v>0.09623937005355043</x:v>
      </x:c>
      <x:c r="F68" s="17" t="n">
        <x:f>(D68-E68)/D68</x:f>
        <x:v>-0.00482442241250827</x:v>
      </x:c>
      <x:c r="G68" s="15" t="n">
        <x:v>0.21743078956868556</x:v>
      </x:c>
      <x:c r="H68" s="16" t="n">
        <x:v>0.21902737614872878</x:v>
      </x:c>
      <x:c r="I68" s="17" t="n">
        <x:f>(G68-H68)/G68</x:f>
        <x:v>-0.007342964550744379</x:v>
      </x:c>
      <x:c r="J68" s="14" t="n">
        <x:v>1</x:v>
      </x:c>
      <x:c r="K68" s="2" t="str">
        <x:f>IF(AND(F68&gt;0.0000001,I68&gt;0.0000001),"双指标下降",IF(OR(F68&lt;-0.0000001,I68&lt;-0.0000001),"至少一项增加","持平或单项下降"))</x:f>
        <x:v>至少一项增加</x:v>
      </x:c>
    </x:row>
    <x:row r="69" ht="24" customHeight="1">
      <x:c r="A69" s="2" t="str">
        <x:v>Energy</x:v>
      </x:c>
      <x:c r="B69" s="2" t="n">
        <x:v>12</x:v>
      </x:c>
      <x:c r="C69" s="2" t="str">
        <x:v>CFA</x:v>
      </x:c>
      <x:c r="D69" s="15" t="n">
        <x:v>0.10983223824033</x:v>
      </x:c>
      <x:c r="E69" s="16" t="n">
        <x:v>0.10983223824033</x:v>
      </x:c>
      <x:c r="F69" s="17" t="n">
        <x:f>(D69-E69)/D69</x:f>
        <x:v>0</x:v>
      </x:c>
      <x:c r="G69" s="15" t="n">
        <x:v>0.23965344102473868</x:v>
      </x:c>
      <x:c r="H69" s="16" t="n">
        <x:v>0.2396534410247387</x:v>
      </x:c>
      <x:c r="I69" s="17" t="n">
        <x:f>(G69-H69)/G69</x:f>
        <x:v>-1.1581546877419461e-16</x:v>
      </x:c>
      <x:c r="J69" s="14" t="n">
        <x:v>0</x:v>
      </x:c>
      <x:c r="K69" s="2" t="str">
        <x:f>IF(AND(F69&gt;0.0000001,I69&gt;0.0000001),"双指标下降",IF(OR(F69&lt;-0.0000001,I69&lt;-0.0000001),"至少一项增加","持平或单项下降"))</x:f>
        <x:v>持平或单项下降</x:v>
      </x:c>
    </x:row>
    <x:row r="70" ht="24" customHeight="1">
      <x:c r="A70" s="2" t="str">
        <x:v>Energy</x:v>
      </x:c>
      <x:c r="B70" s="2" t="n">
        <x:v>12</x:v>
      </x:c>
      <x:c r="C70" s="2" t="str">
        <x:v>Aurora</x:v>
      </x:c>
      <x:c r="D70" s="15" t="n">
        <x:v>0.2606396293829479</x:v>
      </x:c>
      <x:c r="E70" s="16" t="n">
        <x:v>0.2358359186150466</x:v>
      </x:c>
      <x:c r="F70" s="17" t="n">
        <x:f>(D70-E70)/D70</x:f>
        <x:v>0.09516477147632116</x:v>
      </x:c>
      <x:c r="G70" s="15" t="n">
        <x:v>0.39671037994479935</x:v>
      </x:c>
      <x:c r="H70" s="16" t="n">
        <x:v>0.37178405583166324</x:v>
      </x:c>
      <x:c r="I70" s="17" t="n">
        <x:f>(G70-H70)/G70</x:f>
        <x:v>0.06283254831044378</x:v>
      </x:c>
      <x:c r="J70" s="14" t="n">
        <x:v>2</x:v>
      </x:c>
      <x:c r="K70" s="2" t="str">
        <x:f>IF(AND(F70&gt;0.0000001,I70&gt;0.0000001),"双指标下降",IF(OR(F70&lt;-0.0000001,I70&lt;-0.0000001),"至少一项增加","持平或单项下降"))</x:f>
        <x:v>双指标下降</x:v>
      </x:c>
    </x:row>
    <x:row r="71" ht="24" customHeight="1">
      <x:c r="A71" s="2" t="str">
        <x:v>Energy</x:v>
      </x:c>
      <x:c r="B71" s="2" t="n">
        <x:v>24</x:v>
      </x:c>
      <x:c r="C71" s="2" t="str">
        <x:v>TaTS</x:v>
      </x:c>
      <x:c r="D71" s="15" t="n">
        <x:v>0.2679513517190791</x:v>
      </x:c>
      <x:c r="E71" s="16" t="n">
        <x:v>0.2679513517190791</x:v>
      </x:c>
      <x:c r="F71" s="17" t="n">
        <x:f>(D71-E71)/D71</x:f>
        <x:v>0</x:v>
      </x:c>
      <x:c r="G71" s="15" t="n">
        <x:v>0.3922856409649374</x:v>
      </x:c>
      <x:c r="H71" s="16" t="n">
        <x:v>0.3922856409649374</x:v>
      </x:c>
      <x:c r="I71" s="17" t="n">
        <x:f>(G71-H71)/G71</x:f>
        <x:v>0</x:v>
      </x:c>
      <x:c r="J71" s="14" t="n">
        <x:v>0</x:v>
      </x:c>
      <x:c r="K71" s="2" t="str">
        <x:f>IF(AND(F71&gt;0.0000001,I71&gt;0.0000001),"双指标下降",IF(OR(F71&lt;-0.0000001,I71&lt;-0.0000001),"至少一项增加","持平或单项下降"))</x:f>
        <x:v>持平或单项下降</x:v>
      </x:c>
    </x:row>
    <x:row r="72" ht="24" customHeight="1">
      <x:c r="A72" s="2" t="str">
        <x:v>Energy</x:v>
      </x:c>
      <x:c r="B72" s="2" t="n">
        <x:v>24</x:v>
      </x:c>
      <x:c r="C72" s="2" t="str">
        <x:v>MM-TSFlib</x:v>
      </x:c>
      <x:c r="D72" s="15" t="n">
        <x:v>0.19196059548900862</x:v>
      </x:c>
      <x:c r="E72" s="16" t="n">
        <x:v>0.19163905523322186</x:v>
      </x:c>
      <x:c r="F72" s="17" t="n">
        <x:f>(D72-E72)/D72</x:f>
        <x:v>0.001675032602225767</x:v>
      </x:c>
      <x:c r="G72" s="15" t="n">
        <x:v>0.32605822162112613</x:v>
      </x:c>
      <x:c r="H72" s="16" t="n">
        <x:v>0.3254207578523884</x:v>
      </x:c>
      <x:c r="I72" s="17" t="n">
        <x:f>(G72-H72)/G72</x:f>
        <x:v>0.0019550611714936805</x:v>
      </x:c>
      <x:c r="J72" s="14" t="n">
        <x:v>1</x:v>
      </x:c>
      <x:c r="K72" s="2" t="str">
        <x:f>IF(AND(F72&gt;0.0000001,I72&gt;0.0000001),"双指标下降",IF(OR(F72&lt;-0.0000001,I72&lt;-0.0000001),"至少一项增加","持平或单项下降"))</x:f>
        <x:v>双指标下降</x:v>
      </x:c>
    </x:row>
    <x:row r="73" ht="24" customHeight="1">
      <x:c r="A73" s="2" t="str">
        <x:v>Energy</x:v>
      </x:c>
      <x:c r="B73" s="2" t="n">
        <x:v>24</x:v>
      </x:c>
      <x:c r="C73" s="2" t="str">
        <x:v>SpecTF</x:v>
      </x:c>
      <x:c r="D73" s="15" t="n">
        <x:v>0.2114401345279641</x:v>
      </x:c>
      <x:c r="E73" s="16" t="n">
        <x:v>0.2114401345279641</x:v>
      </x:c>
      <x:c r="F73" s="17" t="n">
        <x:f>(D73-E73)/D73</x:f>
        <x:v>0</x:v>
      </x:c>
      <x:c r="G73" s="15" t="n">
        <x:v>0.3374395836808171</x:v>
      </x:c>
      <x:c r="H73" s="16" t="n">
        <x:v>0.3374395836808171</x:v>
      </x:c>
      <x:c r="I73" s="17" t="n">
        <x:f>(G73-H73)/G73</x:f>
        <x:v>0</x:v>
      </x:c>
      <x:c r="J73" s="14" t="n">
        <x:v>0</x:v>
      </x:c>
      <x:c r="K73" s="2" t="str">
        <x:f>IF(AND(F73&gt;0.0000001,I73&gt;0.0000001),"双指标下降",IF(OR(F73&lt;-0.0000001,I73&lt;-0.0000001),"至少一项增加","持平或单项下降"))</x:f>
        <x:v>持平或单项下降</x:v>
      </x:c>
    </x:row>
    <x:row r="74" ht="24" customHeight="1">
      <x:c r="A74" s="2" t="str">
        <x:v>Energy</x:v>
      </x:c>
      <x:c r="B74" s="2" t="n">
        <x:v>24</x:v>
      </x:c>
      <x:c r="C74" s="2" t="str">
        <x:v>CFA</x:v>
      </x:c>
      <x:c r="D74" s="15" t="n">
        <x:v>0.22252381884649639</x:v>
      </x:c>
      <x:c r="E74" s="16" t="n">
        <x:v>0.22252381884649639</x:v>
      </x:c>
      <x:c r="F74" s="17" t="n">
        <x:f>(D74-E74)/D74</x:f>
        <x:v>0</x:v>
      </x:c>
      <x:c r="G74" s="15" t="n">
        <x:v>0.3491063232834801</x:v>
      </x:c>
      <x:c r="H74" s="16" t="n">
        <x:v>0.3491063232834801</x:v>
      </x:c>
      <x:c r="I74" s="17" t="n">
        <x:f>(G74-H74)/G74</x:f>
        <x:v>0</x:v>
      </x:c>
      <x:c r="J74" s="14" t="n">
        <x:v>0</x:v>
      </x:c>
      <x:c r="K74" s="2" t="str">
        <x:f>IF(AND(F74&gt;0.0000001,I74&gt;0.0000001),"双指标下降",IF(OR(F74&lt;-0.0000001,I74&lt;-0.0000001),"至少一项增加","持平或单项下降"))</x:f>
        <x:v>持平或单项下降</x:v>
      </x:c>
    </x:row>
    <x:row r="75" ht="24" customHeight="1">
      <x:c r="A75" s="2" t="str">
        <x:v>Energy</x:v>
      </x:c>
      <x:c r="B75" s="2" t="n">
        <x:v>24</x:v>
      </x:c>
      <x:c r="C75" s="2" t="str">
        <x:v>Aurora</x:v>
      </x:c>
      <x:c r="D75" s="15" t="n">
        <x:v>0.3169472024030514</x:v>
      </x:c>
      <x:c r="E75" s="16" t="n">
        <x:v>0.3169472024030514</x:v>
      </x:c>
      <x:c r="F75" s="17" t="n">
        <x:f>(D75-E75)/D75</x:f>
        <x:v>0</x:v>
      </x:c>
      <x:c r="G75" s="15" t="n">
        <x:v>0.4405978372586386</x:v>
      </x:c>
      <x:c r="H75" s="16" t="n">
        <x:v>0.4405978372586386</x:v>
      </x:c>
      <x:c r="I75" s="17" t="n">
        <x:f>(G75-H75)/G75</x:f>
        <x:v>0</x:v>
      </x:c>
      <x:c r="J75" s="14" t="n">
        <x:v>0</x:v>
      </x:c>
      <x:c r="K75" s="2" t="str">
        <x:f>IF(AND(F75&gt;0.0000001,I75&gt;0.0000001),"双指标下降",IF(OR(F75&lt;-0.0000001,I75&lt;-0.0000001),"至少一项增加","持平或单项下降"))</x:f>
        <x:v>持平或单项下降</x:v>
      </x:c>
    </x:row>
    <x:row r="76" ht="24" customHeight="1">
      <x:c r="A76" s="2" t="str">
        <x:v>Energy</x:v>
      </x:c>
      <x:c r="B76" s="2" t="n">
        <x:v>36</x:v>
      </x:c>
      <x:c r="C76" s="2" t="str">
        <x:v>TaTS</x:v>
      </x:c>
      <x:c r="D76" s="15" t="n">
        <x:v>0.3669344975156553</x:v>
      </x:c>
      <x:c r="E76" s="16" t="n">
        <x:v>0.36693449751565527</x:v>
      </x:c>
      <x:c r="F76" s="17" t="n">
        <x:f>(D76-E76)/D76</x:f>
        <x:v>1.5128354408511136e-16</x:v>
      </x:c>
      <x:c r="G76" s="15" t="n">
        <x:v>0.4573445645811705</x:v>
      </x:c>
      <x:c r="H76" s="16" t="n">
        <x:v>0.4573445645811705</x:v>
      </x:c>
      <x:c r="I76" s="17" t="n">
        <x:f>(G76-H76)/G76</x:f>
        <x:v>0</x:v>
      </x:c>
      <x:c r="J76" s="14" t="n">
        <x:v>0</x:v>
      </x:c>
      <x:c r="K76" s="2" t="str">
        <x:f>IF(AND(F76&gt;0.0000001,I76&gt;0.0000001),"双指标下降",IF(OR(F76&lt;-0.0000001,I76&lt;-0.0000001),"至少一项增加","持平或单项下降"))</x:f>
        <x:v>持平或单项下降</x:v>
      </x:c>
    </x:row>
    <x:row r="77" ht="24" customHeight="1">
      <x:c r="A77" s="2" t="str">
        <x:v>Energy</x:v>
      </x:c>
      <x:c r="B77" s="2" t="n">
        <x:v>36</x:v>
      </x:c>
      <x:c r="C77" s="2" t="str">
        <x:v>MM-TSFlib</x:v>
      </x:c>
      <x:c r="D77" s="15" t="n">
        <x:v>0.33496724056529875</x:v>
      </x:c>
      <x:c r="E77" s="16" t="n">
        <x:v>0.3349672405660706</x:v>
      </x:c>
      <x:c r="F77" s="17" t="n">
        <x:f>(D77-E77)/D77</x:f>
        <x:v>-2.3041866584232385e-12</x:v>
      </x:c>
      <x:c r="G77" s="15" t="n">
        <x:v>0.44573690237898556</x:v>
      </x:c>
      <x:c r="H77" s="16" t="n">
        <x:v>0.44573690237907887</x:v>
      </x:c>
      <x:c r="I77" s="17" t="n">
        <x:f>(G77-H77)/G77</x:f>
        <x:v>-2.093482606481714e-13</x:v>
      </x:c>
      <x:c r="J77" s="14" t="n">
        <x:v>0</x:v>
      </x:c>
      <x:c r="K77" s="2" t="str">
        <x:f>IF(AND(F77&gt;0.0000001,I77&gt;0.0000001),"双指标下降",IF(OR(F77&lt;-0.0000001,I77&lt;-0.0000001),"至少一项增加","持平或单项下降"))</x:f>
        <x:v>持平或单项下降</x:v>
      </x:c>
    </x:row>
    <x:row r="78" ht="24" customHeight="1">
      <x:c r="A78" s="2" t="str">
        <x:v>Energy</x:v>
      </x:c>
      <x:c r="B78" s="2" t="n">
        <x:v>36</x:v>
      </x:c>
      <x:c r="C78" s="2" t="str">
        <x:v>SpecTF</x:v>
      </x:c>
      <x:c r="D78" s="15" t="n">
        <x:v>0.30615976416374785</x:v>
      </x:c>
      <x:c r="E78" s="16" t="n">
        <x:v>0.30615976416374785</x:v>
      </x:c>
      <x:c r="F78" s="17" t="n">
        <x:f>(D78-E78)/D78</x:f>
        <x:v>0</x:v>
      </x:c>
      <x:c r="G78" s="15" t="n">
        <x:v>0.40837087819876555</x:v>
      </x:c>
      <x:c r="H78" s="16" t="n">
        <x:v>0.40837087819876555</x:v>
      </x:c>
      <x:c r="I78" s="17" t="n">
        <x:f>(G78-H78)/G78</x:f>
        <x:v>0</x:v>
      </x:c>
      <x:c r="J78" s="14" t="n">
        <x:v>0</x:v>
      </x:c>
      <x:c r="K78" s="2" t="str">
        <x:f>IF(AND(F78&gt;0.0000001,I78&gt;0.0000001),"双指标下降",IF(OR(F78&lt;-0.0000001,I78&lt;-0.0000001),"至少一项增加","持平或单项下降"))</x:f>
        <x:v>持平或单项下降</x:v>
      </x:c>
    </x:row>
    <x:row r="79" ht="24" customHeight="1">
      <x:c r="A79" s="2" t="str">
        <x:v>Energy</x:v>
      </x:c>
      <x:c r="B79" s="2" t="n">
        <x:v>36</x:v>
      </x:c>
      <x:c r="C79" s="2" t="str">
        <x:v>CFA</x:v>
      </x:c>
      <x:c r="D79" s="15" t="n">
        <x:v>0.3763866597826456</x:v>
      </x:c>
      <x:c r="E79" s="16" t="n">
        <x:v>0.3763866597826457</x:v>
      </x:c>
      <x:c r="F79" s="17" t="n">
        <x:f>(D79-E79)/D79</x:f>
        <x:v>-1.474843748801145e-16</x:v>
      </x:c>
      <x:c r="G79" s="15" t="n">
        <x:v>0.45662996356005375</x:v>
      </x:c>
      <x:c r="H79" s="16" t="n">
        <x:v>0.45662996356005375</x:v>
      </x:c>
      <x:c r="I79" s="17" t="n">
        <x:f>(G79-H79)/G79</x:f>
        <x:v>0</x:v>
      </x:c>
      <x:c r="J79" s="14" t="n">
        <x:v>0</x:v>
      </x:c>
      <x:c r="K79" s="2" t="str">
        <x:f>IF(AND(F79&gt;0.0000001,I79&gt;0.0000001),"双指标下降",IF(OR(F79&lt;-0.0000001,I79&lt;-0.0000001),"至少一项增加","持平或单项下降"))</x:f>
        <x:v>持平或单项下降</x:v>
      </x:c>
    </x:row>
    <x:row r="80" ht="24" customHeight="1">
      <x:c r="A80" s="2" t="str">
        <x:v>Energy</x:v>
      </x:c>
      <x:c r="B80" s="2" t="n">
        <x:v>36</x:v>
      </x:c>
      <x:c r="C80" s="2" t="str">
        <x:v>Aurora</x:v>
      </x:c>
      <x:c r="D80" s="15" t="n">
        <x:v>0.3960474992539366</x:v>
      </x:c>
      <x:c r="E80" s="16" t="n">
        <x:v>0.3960474992539366</x:v>
      </x:c>
      <x:c r="F80" s="17" t="n">
        <x:f>(D80-E80)/D80</x:f>
        <x:v>0</x:v>
      </x:c>
      <x:c r="G80" s="15" t="n">
        <x:v>0.4908856648867456</x:v>
      </x:c>
      <x:c r="H80" s="16" t="n">
        <x:v>0.4908856648867456</x:v>
      </x:c>
      <x:c r="I80" s="17" t="n">
        <x:f>(G80-H80)/G80</x:f>
        <x:v>0</x:v>
      </x:c>
      <x:c r="J80" s="14" t="n">
        <x:v>0</x:v>
      </x:c>
      <x:c r="K80" s="2" t="str">
        <x:f>IF(AND(F80&gt;0.0000001,I80&gt;0.0000001),"双指标下降",IF(OR(F80&lt;-0.0000001,I80&lt;-0.0000001),"至少一项增加","持平或单项下降"))</x:f>
        <x:v>持平或单项下降</x:v>
      </x:c>
    </x:row>
    <x:row r="81" ht="24" customHeight="1">
      <x:c r="A81" s="2" t="str">
        <x:v>Energy</x:v>
      </x:c>
      <x:c r="B81" s="2" t="n">
        <x:v>48</x:v>
      </x:c>
      <x:c r="C81" s="2" t="str">
        <x:v>TaTS</x:v>
      </x:c>
      <x:c r="D81" s="15" t="n">
        <x:v>0.40905897884304054</x:v>
      </x:c>
      <x:c r="E81" s="16" t="n">
        <x:v>0.40905897884304054</x:v>
      </x:c>
      <x:c r="F81" s="17" t="n">
        <x:f>(D81-E81)/D81</x:f>
        <x:v>0</x:v>
      </x:c>
      <x:c r="G81" s="15" t="n">
        <x:v>0.4906507633676219</x:v>
      </x:c>
      <x:c r="H81" s="16" t="n">
        <x:v>0.49065076336762187</x:v>
      </x:c>
      <x:c r="I81" s="17" t="n">
        <x:f>(G81-H81)/G81</x:f>
        <x:v>1.131378067166399e-16</x:v>
      </x:c>
      <x:c r="J81" s="14" t="n">
        <x:v>0</x:v>
      </x:c>
      <x:c r="K81" s="2" t="str">
        <x:f>IF(AND(F81&gt;0.0000001,I81&gt;0.0000001),"双指标下降",IF(OR(F81&lt;-0.0000001,I81&lt;-0.0000001),"至少一项增加","持平或单项下降"))</x:f>
        <x:v>持平或单项下降</x:v>
      </x:c>
    </x:row>
    <x:row r="82" ht="24" customHeight="1">
      <x:c r="A82" s="2" t="str">
        <x:v>Energy</x:v>
      </x:c>
      <x:c r="B82" s="2" t="n">
        <x:v>48</x:v>
      </x:c>
      <x:c r="C82" s="2" t="str">
        <x:v>MM-TSFlib</x:v>
      </x:c>
      <x:c r="D82" s="15" t="n">
        <x:v>0.47098583846107467</x:v>
      </x:c>
      <x:c r="E82" s="16" t="n">
        <x:v>0.4709858384610747</x:v>
      </x:c>
      <x:c r="F82" s="17" t="n">
        <x:f>(D82-E82)/D82</x:f>
        <x:v>-1.178616142953216e-16</x:v>
      </x:c>
      <x:c r="G82" s="15" t="n">
        <x:v>0.5479251636393152</x:v>
      </x:c>
      <x:c r="H82" s="16" t="n">
        <x:v>0.5479251636393152</x:v>
      </x:c>
      <x:c r="I82" s="17" t="n">
        <x:f>(G82-H82)/G82</x:f>
        <x:v>0</x:v>
      </x:c>
      <x:c r="J82" s="14" t="n">
        <x:v>0</x:v>
      </x:c>
      <x:c r="K82" s="2" t="str">
        <x:f>IF(AND(F82&gt;0.0000001,I82&gt;0.0000001),"双指标下降",IF(OR(F82&lt;-0.0000001,I82&lt;-0.0000001),"至少一项增加","持平或单项下降"))</x:f>
        <x:v>持平或单项下降</x:v>
      </x:c>
    </x:row>
    <x:row r="83" ht="24" customHeight="1">
      <x:c r="A83" s="2" t="str">
        <x:v>Energy</x:v>
      </x:c>
      <x:c r="B83" s="2" t="n">
        <x:v>48</x:v>
      </x:c>
      <x:c r="C83" s="2" t="str">
        <x:v>SpecTF</x:v>
      </x:c>
      <x:c r="D83" s="15" t="n">
        <x:v>0.3815823420985617</x:v>
      </x:c>
      <x:c r="E83" s="16" t="n">
        <x:v>0.3815823420985616</x:v>
      </x:c>
      <x:c r="F83" s="17" t="n">
        <x:f>(D83-E83)/D83</x:f>
        <x:v>1.4547620554443646e-16</x:v>
      </x:c>
      <x:c r="G83" s="15" t="n">
        <x:v>0.47182108019779095</x:v>
      </x:c>
      <x:c r="H83" s="16" t="n">
        <x:v>0.47182108019779095</x:v>
      </x:c>
      <x:c r="I83" s="17" t="n">
        <x:f>(G83-H83)/G83</x:f>
        <x:v>0</x:v>
      </x:c>
      <x:c r="J83" s="14" t="n">
        <x:v>0</x:v>
      </x:c>
      <x:c r="K83" s="2" t="str">
        <x:f>IF(AND(F83&gt;0.0000001,I83&gt;0.0000001),"双指标下降",IF(OR(F83&lt;-0.0000001,I83&lt;-0.0000001),"至少一项增加","持平或单项下降"))</x:f>
        <x:v>持平或单项下降</x:v>
      </x:c>
    </x:row>
    <x:row r="84" ht="24" customHeight="1">
      <x:c r="A84" s="2" t="str">
        <x:v>Energy</x:v>
      </x:c>
      <x:c r="B84" s="2" t="n">
        <x:v>48</x:v>
      </x:c>
      <x:c r="C84" s="2" t="str">
        <x:v>CFA</x:v>
      </x:c>
      <x:c r="D84" s="15" t="n">
        <x:v>0.3953827732857235</x:v>
      </x:c>
      <x:c r="E84" s="16" t="n">
        <x:v>0.3953827732857235</x:v>
      </x:c>
      <x:c r="F84" s="17" t="n">
        <x:f>(D84-E84)/D84</x:f>
        <x:v>0</x:v>
      </x:c>
      <x:c r="G84" s="15" t="n">
        <x:v>0.4816293025588268</x:v>
      </x:c>
      <x:c r="H84" s="16" t="n">
        <x:v>0.4816293025588268</x:v>
      </x:c>
      <x:c r="I84" s="17" t="n">
        <x:f>(G84-H84)/G84</x:f>
        <x:v>0</x:v>
      </x:c>
      <x:c r="J84" s="14" t="n">
        <x:v>0</x:v>
      </x:c>
      <x:c r="K84" s="2" t="str">
        <x:f>IF(AND(F84&gt;0.0000001,I84&gt;0.0000001),"双指标下降",IF(OR(F84&lt;-0.0000001,I84&lt;-0.0000001),"至少一项增加","持平或单项下降"))</x:f>
        <x:v>持平或单项下降</x:v>
      </x:c>
    </x:row>
    <x:row r="85" ht="24" customHeight="1">
      <x:c r="A85" s="2" t="str">
        <x:v>Energy</x:v>
      </x:c>
      <x:c r="B85" s="2" t="n">
        <x:v>48</x:v>
      </x:c>
      <x:c r="C85" s="2" t="str">
        <x:v>Aurora</x:v>
      </x:c>
      <x:c r="D85" s="15" t="n">
        <x:v>0.4675554391113816</x:v>
      </x:c>
      <x:c r="E85" s="16" t="n">
        <x:v>0.46755543909884273</x:v>
      </x:c>
      <x:c r="F85" s="17" t="n">
        <x:f>(D85-E85)/D85</x:f>
        <x:v>2.6817908190625276e-11</x:v>
      </x:c>
      <x:c r="G85" s="15" t="n">
        <x:v>0.536317047074805</x:v>
      </x:c>
      <x:c r="H85" s="16" t="n">
        <x:v>0.5363170470703638</x:v>
      </x:c>
      <x:c r="I85" s="17" t="n">
        <x:f>(G85-H85)/G85</x:f>
        <x:v>8.280969604884768e-12</x:v>
      </x:c>
      <x:c r="J85" s="14" t="n">
        <x:v>0</x:v>
      </x:c>
      <x:c r="K85" s="2" t="str">
        <x:f>IF(AND(F85&gt;0.0000001,I85&gt;0.0000001),"双指标下降",IF(OR(F85&lt;-0.0000001,I85&lt;-0.0000001),"至少一项增加","持平或单项下降"))</x:f>
        <x:v>持平或单项下降</x:v>
      </x:c>
    </x:row>
    <x:row r="86" ht="24" customHeight="1">
      <x:c r="A86" s="2" t="str">
        <x:v>Environment</x:v>
      </x:c>
      <x:c r="B86" s="2" t="n">
        <x:v>48</x:v>
      </x:c>
      <x:c r="C86" s="2" t="str">
        <x:v>TaTS</x:v>
      </x:c>
      <x:c r="D86" s="15" t="n">
        <x:v>0.3035071647381012</x:v>
      </x:c>
      <x:c r="E86" s="16" t="n">
        <x:v>0.283623268985057</x:v>
      </x:c>
      <x:c r="F86" s="17" t="n">
        <x:f>(D86-E86)/D86</x:f>
        <x:v>0.06551376067251045</x:v>
      </x:c>
      <x:c r="G86" s="15" t="n">
        <x:v>0.4307871740492354</x:v>
      </x:c>
      <x:c r="H86" s="16" t="n">
        <x:v>0.4052449495148784</x:v>
      </x:c>
      <x:c r="I86" s="17" t="n">
        <x:f>(G86-H86)/G86</x:f>
        <x:v>0.059291980061221</x:v>
      </x:c>
      <x:c r="J86" s="14" t="n">
        <x:v>3</x:v>
      </x:c>
      <x:c r="K86" s="2" t="str">
        <x:f>IF(AND(F86&gt;0.0000001,I86&gt;0.0000001),"双指标下降",IF(OR(F86&lt;-0.0000001,I86&lt;-0.0000001),"至少一项增加","持平或单项下降"))</x:f>
        <x:v>双指标下降</x:v>
      </x:c>
    </x:row>
    <x:row r="87" ht="24" customHeight="1">
      <x:c r="A87" s="2" t="str">
        <x:v>Environment</x:v>
      </x:c>
      <x:c r="B87" s="2" t="n">
        <x:v>48</x:v>
      </x:c>
      <x:c r="C87" s="2" t="str">
        <x:v>MM-TSFlib</x:v>
      </x:c>
      <x:c r="D87" s="15" t="n">
        <x:v>0.29596647508290747</x:v>
      </x:c>
      <x:c r="E87" s="16" t="n">
        <x:v>0.2808008880065244</x:v>
      </x:c>
      <x:c r="F87" s="17" t="n">
        <x:f>(D87-E87)/D87</x:f>
        <x:v>0.05124089501060819</x:v>
      </x:c>
      <x:c r="G87" s="15" t="n">
        <x:v>0.4276555868102547</x:v>
      </x:c>
      <x:c r="H87" s="16" t="n">
        <x:v>0.40242002861410775</x:v>
      </x:c>
      <x:c r="I87" s="17" t="n">
        <x:f>(G87-H87)/G87</x:f>
        <x:v>0.05900906938775389</x:v>
      </x:c>
      <x:c r="J87" s="14" t="n">
        <x:v>3</x:v>
      </x:c>
      <x:c r="K87" s="2" t="str">
        <x:f>IF(AND(F87&gt;0.0000001,I87&gt;0.0000001),"双指标下降",IF(OR(F87&lt;-0.0000001,I87&lt;-0.0000001),"至少一项增加","持平或单项下降"))</x:f>
        <x:v>双指标下降</x:v>
      </x:c>
    </x:row>
    <x:row r="88" ht="24" customHeight="1">
      <x:c r="A88" s="2" t="str">
        <x:v>Environment</x:v>
      </x:c>
      <x:c r="B88" s="2" t="n">
        <x:v>48</x:v>
      </x:c>
      <x:c r="C88" s="2" t="str">
        <x:v>SpecTF</x:v>
      </x:c>
      <x:c r="D88" s="15" t="n">
        <x:v>0.30443698331933344</x:v>
      </x:c>
      <x:c r="E88" s="16" t="n">
        <x:v>0.29870367880875903</x:v>
      </x:c>
      <x:c r="F88" s="17" t="n">
        <x:f>(D88-E88)/D88</x:f>
        <x:v>0.01883248364920424</x:v>
      </x:c>
      <x:c r="G88" s="15" t="n">
        <x:v>0.40447161256809344</x:v>
      </x:c>
      <x:c r="H88" s="16" t="n">
        <x:v>0.3912893882668318</x:v>
      </x:c>
      <x:c r="I88" s="17" t="n">
        <x:f>(G88-H88)/G88</x:f>
        <x:v>0.03259122245332458</x:v>
      </x:c>
      <x:c r="J88" s="14" t="n">
        <x:v>3</x:v>
      </x:c>
      <x:c r="K88" s="2" t="str">
        <x:f>IF(AND(F88&gt;0.0000001,I88&gt;0.0000001),"双指标下降",IF(OR(F88&lt;-0.0000001,I88&lt;-0.0000001),"至少一项增加","持平或单项下降"))</x:f>
        <x:v>双指标下降</x:v>
      </x:c>
    </x:row>
    <x:row r="89" ht="24" customHeight="1">
      <x:c r="A89" s="2" t="str">
        <x:v>Environment</x:v>
      </x:c>
      <x:c r="B89" s="2" t="n">
        <x:v>48</x:v>
      </x:c>
      <x:c r="C89" s="2" t="str">
        <x:v>CFA</x:v>
      </x:c>
      <x:c r="D89" s="15" t="n">
        <x:v>0.31664634101683053</x:v>
      </x:c>
      <x:c r="E89" s="16" t="n">
        <x:v>0.31675574694978575</x:v>
      </x:c>
      <x:c r="F89" s="17" t="n">
        <x:f>(D89-E89)/D89</x:f>
        <x:v>-0.000345514597149268</x:v>
      </x:c>
      <x:c r="G89" s="15" t="n">
        <x:v>0.39642162561096983</x:v>
      </x:c>
      <x:c r="H89" s="16" t="n">
        <x:v>0.3933156949113001</x:v>
      </x:c>
      <x:c r="I89" s="17" t="n">
        <x:f>(G89-H89)/G89</x:f>
        <x:v>0.007834917418752944</x:v>
      </x:c>
      <x:c r="J89" s="14" t="n">
        <x:v>3</x:v>
      </x:c>
      <x:c r="K89" s="2" t="str">
        <x:f>IF(AND(F89&gt;0.0000001,I89&gt;0.0000001),"双指标下降",IF(OR(F89&lt;-0.0000001,I89&lt;-0.0000001),"至少一项增加","持平或单项下降"))</x:f>
        <x:v>至少一项增加</x:v>
      </x:c>
    </x:row>
    <x:row r="90" ht="24" customHeight="1">
      <x:c r="A90" s="2" t="str">
        <x:v>Environment</x:v>
      </x:c>
      <x:c r="B90" s="2" t="n">
        <x:v>48</x:v>
      </x:c>
      <x:c r="C90" s="2" t="str">
        <x:v>Aurora</x:v>
      </x:c>
      <x:c r="D90" s="15" t="n">
        <x:v>0.39488863757207215</x:v>
      </x:c>
      <x:c r="E90" s="16" t="n">
        <x:v>0.3937494760086843</x:v>
      </x:c>
      <x:c r="F90" s="17" t="n">
        <x:f>(D90-E90)/D90</x:f>
        <x:v>0.002884766627857011</x:v>
      </x:c>
      <x:c r="G90" s="15" t="n">
        <x:v>0.4438528716551231</x:v>
      </x:c>
      <x:c r="H90" s="16" t="n">
        <x:v>0.4382074831869606</x:v>
      </x:c>
      <x:c r="I90" s="17" t="n">
        <x:f>(G90-H90)/G90</x:f>
        <x:v>0.012719053606910061</x:v>
      </x:c>
      <x:c r="J90" s="14" t="n">
        <x:v>3</x:v>
      </x:c>
      <x:c r="K90" s="2" t="str">
        <x:f>IF(AND(F90&gt;0.0000001,I90&gt;0.0000001),"双指标下降",IF(OR(F90&lt;-0.0000001,I90&lt;-0.0000001),"至少一项增加","持平或单项下降"))</x:f>
        <x:v>双指标下降</x:v>
      </x:c>
    </x:row>
    <x:row r="91" ht="24" customHeight="1">
      <x:c r="A91" s="2" t="str">
        <x:v>Environment</x:v>
      </x:c>
      <x:c r="B91" s="2" t="n">
        <x:v>96</x:v>
      </x:c>
      <x:c r="C91" s="2" t="str">
        <x:v>TaTS</x:v>
      </x:c>
      <x:c r="D91" s="15" t="n">
        <x:v>0.29697008480248327</x:v>
      </x:c>
      <x:c r="E91" s="16" t="n">
        <x:v>0.2806170543719286</x:v>
      </x:c>
      <x:c r="F91" s="17" t="n">
        <x:f>(D91-E91)/D91</x:f>
        <x:v>0.055066255045289156</x:v>
      </x:c>
      <x:c r="G91" s="15" t="n">
        <x:v>0.42227596902034753</x:v>
      </x:c>
      <x:c r="H91" s="16" t="n">
        <x:v>0.4008713325166989</x:v>
      </x:c>
      <x:c r="I91" s="17" t="n">
        <x:f>(G91-H91)/G91</x:f>
        <x:v>0.050688739293656714</x:v>
      </x:c>
      <x:c r="J91" s="14" t="n">
        <x:v>3</x:v>
      </x:c>
      <x:c r="K91" s="2" t="str">
        <x:f>IF(AND(F91&gt;0.0000001,I91&gt;0.0000001),"双指标下降",IF(OR(F91&lt;-0.0000001,I91&lt;-0.0000001),"至少一项增加","持平或单项下降"))</x:f>
        <x:v>双指标下降</x:v>
      </x:c>
    </x:row>
    <x:row r="92" ht="24" customHeight="1">
      <x:c r="A92" s="2" t="str">
        <x:v>Environment</x:v>
      </x:c>
      <x:c r="B92" s="2" t="n">
        <x:v>96</x:v>
      </x:c>
      <x:c r="C92" s="2" t="str">
        <x:v>MM-TSFlib</x:v>
      </x:c>
      <x:c r="D92" s="15" t="n">
        <x:v>0.3455599921922928</x:v>
      </x:c>
      <x:c r="E92" s="16" t="n">
        <x:v>0.31269658357292807</x:v>
      </x:c>
      <x:c r="F92" s="17" t="n">
        <x:f>(D92-E92)/D92</x:f>
        <x:v>0.09510189073356994</x:v>
      </x:c>
      <x:c r="G92" s="15" t="n">
        <x:v>0.46330808294714176</x:v>
      </x:c>
      <x:c r="H92" s="16" t="n">
        <x:v>0.4309434446531684</x:v>
      </x:c>
      <x:c r="I92" s="17" t="n">
        <x:f>(G92-H92)/G92</x:f>
        <x:v>0.0698555442592306</x:v>
      </x:c>
      <x:c r="J92" s="14" t="n">
        <x:v>3</x:v>
      </x:c>
      <x:c r="K92" s="2" t="str">
        <x:f>IF(AND(F92&gt;0.0000001,I92&gt;0.0000001),"双指标下降",IF(OR(F92&lt;-0.0000001,I92&lt;-0.0000001),"至少一项增加","持平或单项下降"))</x:f>
        <x:v>双指标下降</x:v>
      </x:c>
    </x:row>
    <x:row r="93" ht="24" customHeight="1">
      <x:c r="A93" s="2" t="str">
        <x:v>Environment</x:v>
      </x:c>
      <x:c r="B93" s="2" t="n">
        <x:v>96</x:v>
      </x:c>
      <x:c r="C93" s="2" t="str">
        <x:v>SpecTF</x:v>
      </x:c>
      <x:c r="D93" s="15" t="n">
        <x:v>0.3294876408245237</x:v>
      </x:c>
      <x:c r="E93" s="16" t="n">
        <x:v>0.32958199471503863</x:v>
      </x:c>
      <x:c r="F93" s="17" t="n">
        <x:f>(D93-E93)/D93</x:f>
        <x:v>-0.0002863654924318736</x:v>
      </x:c>
      <x:c r="G93" s="15" t="n">
        <x:v>0.41301379467768784</x:v>
      </x:c>
      <x:c r="H93" s="16" t="n">
        <x:v>0.412556736979806</x:v>
      </x:c>
      <x:c r="I93" s="17" t="n">
        <x:f>(G93-H93)/G93</x:f>
        <x:v>0.0011066402715157009</x:v>
      </x:c>
      <x:c r="J93" s="14" t="n">
        <x:v>1</x:v>
      </x:c>
      <x:c r="K93" s="2" t="str">
        <x:f>IF(AND(F93&gt;0.0000001,I93&gt;0.0000001),"双指标下降",IF(OR(F93&lt;-0.0000001,I93&lt;-0.0000001),"至少一项增加","持平或单项下降"))</x:f>
        <x:v>至少一项增加</x:v>
      </x:c>
    </x:row>
    <x:row r="94" ht="24" customHeight="1">
      <x:c r="A94" s="2" t="str">
        <x:v>Environment</x:v>
      </x:c>
      <x:c r="B94" s="2" t="n">
        <x:v>96</x:v>
      </x:c>
      <x:c r="C94" s="2" t="str">
        <x:v>CFA</x:v>
      </x:c>
      <x:c r="D94" s="15" t="n">
        <x:v>0.35261779682305505</x:v>
      </x:c>
      <x:c r="E94" s="16" t="n">
        <x:v>0.35660974252944483</x:v>
      </x:c>
      <x:c r="F94" s="17" t="n">
        <x:f>(D94-E94)/D94</x:f>
        <x:v>-0.011320885509340727</x:v>
      </x:c>
      <x:c r="G94" s="15" t="n">
        <x:v>0.4128519849329427</x:v>
      </x:c>
      <x:c r="H94" s="16" t="n">
        <x:v>0.41227047544623935</x:v>
      </x:c>
      <x:c r="I94" s="17" t="n">
        <x:f>(G94-H94)/G94</x:f>
        <x:v>0.0014085180837819535</x:v>
      </x:c>
      <x:c r="J94" s="14" t="n">
        <x:v>3</x:v>
      </x:c>
      <x:c r="K94" s="2" t="str">
        <x:f>IF(AND(F94&gt;0.0000001,I94&gt;0.0000001),"双指标下降",IF(OR(F94&lt;-0.0000001,I94&lt;-0.0000001),"至少一项增加","持平或单项下降"))</x:f>
        <x:v>至少一项增加</x:v>
      </x:c>
    </x:row>
    <x:row r="95" ht="24" customHeight="1">
      <x:c r="A95" s="2" t="str">
        <x:v>Environment</x:v>
      </x:c>
      <x:c r="B95" s="2" t="n">
        <x:v>96</x:v>
      </x:c>
      <x:c r="C95" s="2" t="str">
        <x:v>Aurora</x:v>
      </x:c>
      <x:c r="D95" s="15" t="n">
        <x:v>0.43624974417127504</x:v>
      </x:c>
      <x:c r="E95" s="16" t="n">
        <x:v>0.4322944462143441</x:v>
      </x:c>
      <x:c r="F95" s="17" t="n">
        <x:f>(D95-E95)/D95</x:f>
        <x:v>0.009066590891519392</x:v>
      </x:c>
      <x:c r="G95" s="15" t="n">
        <x:v>0.4676209816556689</x:v>
      </x:c>
      <x:c r="H95" s="16" t="n">
        <x:v>0.46270266393406034</x:v>
      </x:c>
      <x:c r="I95" s="17" t="n">
        <x:f>(G95-H95)/G95</x:f>
        <x:v>0.010517743887784193</x:v>
      </x:c>
      <x:c r="J95" s="14" t="n">
        <x:v>3</x:v>
      </x:c>
      <x:c r="K95" s="2" t="str">
        <x:f>IF(AND(F95&gt;0.0000001,I95&gt;0.0000001),"双指标下降",IF(OR(F95&lt;-0.0000001,I95&lt;-0.0000001),"至少一项增加","持平或单项下降"))</x:f>
        <x:v>双指标下降</x:v>
      </x:c>
    </x:row>
    <x:row r="96" ht="24" customHeight="1">
      <x:c r="A96" s="2" t="str">
        <x:v>Environment</x:v>
      </x:c>
      <x:c r="B96" s="2" t="n">
        <x:v>192</x:v>
      </x:c>
      <x:c r="C96" s="2" t="str">
        <x:v>TaTS</x:v>
      </x:c>
      <x:c r="D96" s="15" t="n">
        <x:v>0.2819047584851864</x:v>
      </x:c>
      <x:c r="E96" s="16" t="n">
        <x:v>0.2667371722775416</x:v>
      </x:c>
      <x:c r="F96" s="17" t="n">
        <x:f>(D96-E96)/D96</x:f>
        <x:v>0.05380393821355743</x:v>
      </x:c>
      <x:c r="G96" s="15" t="n">
        <x:v>0.4112357700426708</x:v>
      </x:c>
      <x:c r="H96" s="16" t="n">
        <x:v>0.3924587173963839</x:v>
      </x:c>
      <x:c r="I96" s="17" t="n">
        <x:f>(G96-H96)/G96</x:f>
        <x:v>0.04566006659473853</x:v>
      </x:c>
      <x:c r="J96" s="14" t="n">
        <x:v>3</x:v>
      </x:c>
      <x:c r="K96" s="2" t="str">
        <x:f>IF(AND(F96&gt;0.0000001,I96&gt;0.0000001),"双指标下降",IF(OR(F96&lt;-0.0000001,I96&lt;-0.0000001),"至少一项增加","持平或单项下降"))</x:f>
        <x:v>双指标下降</x:v>
      </x:c>
    </x:row>
    <x:row r="97" ht="24" customHeight="1">
      <x:c r="A97" s="2" t="str">
        <x:v>Environment</x:v>
      </x:c>
      <x:c r="B97" s="2" t="n">
        <x:v>192</x:v>
      </x:c>
      <x:c r="C97" s="2" t="str">
        <x:v>MM-TSFlib</x:v>
      </x:c>
      <x:c r="D97" s="15" t="n">
        <x:v>0.424233536785341</x:v>
      </x:c>
      <x:c r="E97" s="16" t="n">
        <x:v>0.36644029475768014</x:v>
      </x:c>
      <x:c r="F97" s="17" t="n">
        <x:f>(D97-E97)/D97</x:f>
        <x:v>0.136229781515137</x:v>
      </x:c>
      <x:c r="G97" s="15" t="n">
        <x:v>0.5187985242389241</x:v>
      </x:c>
      <x:c r="H97" s="16" t="n">
        <x:v>0.47572935245935977</x:v>
      </x:c>
      <x:c r="I97" s="17" t="n">
        <x:f>(G97-H97)/G97</x:f>
        <x:v>0.08301714397269483</x:v>
      </x:c>
      <x:c r="J97" s="14" t="n">
        <x:v>3</x:v>
      </x:c>
      <x:c r="K97" s="2" t="str">
        <x:f>IF(AND(F97&gt;0.0000001,I97&gt;0.0000001),"双指标下降",IF(OR(F97&lt;-0.0000001,I97&lt;-0.0000001),"至少一项增加","持平或单项下降"))</x:f>
        <x:v>双指标下降</x:v>
      </x:c>
    </x:row>
    <x:row r="98" ht="24" customHeight="1">
      <x:c r="A98" s="2" t="str">
        <x:v>Environment</x:v>
      </x:c>
      <x:c r="B98" s="2" t="n">
        <x:v>192</x:v>
      </x:c>
      <x:c r="C98" s="2" t="str">
        <x:v>SpecTF</x:v>
      </x:c>
      <x:c r="D98" s="15" t="n">
        <x:v>0.3021611736934637</x:v>
      </x:c>
      <x:c r="E98" s="16" t="n">
        <x:v>0.2891511643617107</x:v>
      </x:c>
      <x:c r="F98" s="17" t="n">
        <x:f>(D98-E98)/D98</x:f>
        <x:v>0.0430565223609814</x:v>
      </x:c>
      <x:c r="G98" s="15" t="n">
        <x:v>0.4118383073853191</x:v>
      </x:c>
      <x:c r="H98" s="16" t="n">
        <x:v>0.3936132813156726</x:v>
      </x:c>
      <x:c r="I98" s="17" t="n">
        <x:f>(G98-H98)/G98</x:f>
        <x:v>0.04425286755220433</x:v>
      </x:c>
      <x:c r="J98" s="14" t="n">
        <x:v>3</x:v>
      </x:c>
      <x:c r="K98" s="2" t="str">
        <x:f>IF(AND(F98&gt;0.0000001,I98&gt;0.0000001),"双指标下降",IF(OR(F98&lt;-0.0000001,I98&lt;-0.0000001),"至少一项增加","持平或单项下降"))</x:f>
        <x:v>双指标下降</x:v>
      </x:c>
    </x:row>
    <x:row r="99" ht="24" customHeight="1">
      <x:c r="A99" s="2" t="str">
        <x:v>Environment</x:v>
      </x:c>
      <x:c r="B99" s="2" t="n">
        <x:v>192</x:v>
      </x:c>
      <x:c r="C99" s="2" t="str">
        <x:v>CFA</x:v>
      </x:c>
      <x:c r="D99" s="15" t="n">
        <x:v>0.35717743889884385</x:v>
      </x:c>
      <x:c r="E99" s="16" t="n">
        <x:v>0.35336967838925476</x:v>
      </x:c>
      <x:c r="F99" s="17" t="n">
        <x:f>(D99-E99)/D99</x:f>
        <x:v>0.010660697163091204</x:v>
      </x:c>
      <x:c r="G99" s="15" t="n">
        <x:v>0.41298422695429216</x:v>
      </x:c>
      <x:c r="H99" s="16" t="n">
        <x:v>0.41334870642372995</x:v>
      </x:c>
      <x:c r="I99" s="17" t="n">
        <x:f>(G99-H99)/G99</x:f>
        <x:v>-0.0008825505809889794</x:v>
      </x:c>
      <x:c r="J99" s="14" t="n">
        <x:v>3</x:v>
      </x:c>
      <x:c r="K99" s="2" t="str">
        <x:f>IF(AND(F99&gt;0.0000001,I99&gt;0.0000001),"双指标下降",IF(OR(F99&lt;-0.0000001,I99&lt;-0.0000001),"至少一项增加","持平或单项下降"))</x:f>
        <x:v>至少一项增加</x:v>
      </x:c>
    </x:row>
    <x:row r="100" ht="24" customHeight="1">
      <x:c r="A100" s="2" t="str">
        <x:v>Environment</x:v>
      </x:c>
      <x:c r="B100" s="2" t="n">
        <x:v>192</x:v>
      </x:c>
      <x:c r="C100" s="2" t="str">
        <x:v>Aurora</x:v>
      </x:c>
      <x:c r="D100" s="15" t="n">
        <x:v>0.4248413094029132</x:v>
      </x:c>
      <x:c r="E100" s="16" t="n">
        <x:v>0.4240099846343492</x:v>
      </x:c>
      <x:c r="F100" s="17" t="n">
        <x:f>(D100-E100)/D100</x:f>
        <x:v>0.0019567889236863176</x:v>
      </x:c>
      <x:c r="G100" s="15" t="n">
        <x:v>0.46477970030512444</x:v>
      </x:c>
      <x:c r="H100" s="16" t="n">
        <x:v>0.4639839533409633</x:v>
      </x:c>
      <x:c r="I100" s="17" t="n">
        <x:f>(G100-H100)/G100</x:f>
        <x:v>0.001712094920752184</x:v>
      </x:c>
      <x:c r="J100" s="14" t="n">
        <x:v>2</x:v>
      </x:c>
      <x:c r="K100" s="2" t="str">
        <x:f>IF(AND(F100&gt;0.0000001,I100&gt;0.0000001),"双指标下降",IF(OR(F100&lt;-0.0000001,I100&lt;-0.0000001),"至少一项增加","持平或单项下降"))</x:f>
        <x:v>双指标下降</x:v>
      </x:c>
    </x:row>
    <x:row r="101" ht="24" customHeight="1">
      <x:c r="A101" s="2" t="str">
        <x:v>Environment</x:v>
      </x:c>
      <x:c r="B101" s="2" t="n">
        <x:v>336</x:v>
      </x:c>
      <x:c r="C101" s="2" t="str">
        <x:v>TaTS</x:v>
      </x:c>
      <x:c r="D101" s="15" t="n">
        <x:v>0.3033101027995199</x:v>
      </x:c>
      <x:c r="E101" s="16" t="n">
        <x:v>0.28313161818097915</x:v>
      </x:c>
      <x:c r="F101" s="17" t="n">
        <x:f>(D101-E101)/D101</x:f>
        <x:v>0.06652757172377546</x:v>
      </x:c>
      <x:c r="G101" s="15" t="n">
        <x:v>0.4324199708525749</x:v>
      </x:c>
      <x:c r="H101" s="16" t="n">
        <x:v>0.4112644508898946</x:v>
      </x:c>
      <x:c r="I101" s="17" t="n">
        <x:f>(G101-H101)/G101</x:f>
        <x:v>0.04892354976336845</x:v>
      </x:c>
      <x:c r="J101" s="14" t="n">
        <x:v>3</x:v>
      </x:c>
      <x:c r="K101" s="2" t="str">
        <x:f>IF(AND(F101&gt;0.0000001,I101&gt;0.0000001),"双指标下降",IF(OR(F101&lt;-0.0000001,I101&lt;-0.0000001),"至少一项增加","持平或单项下降"))</x:f>
        <x:v>双指标下降</x:v>
      </x:c>
    </x:row>
    <x:row r="102" ht="24" customHeight="1">
      <x:c r="A102" s="2" t="str">
        <x:v>Environment</x:v>
      </x:c>
      <x:c r="B102" s="2" t="n">
        <x:v>336</x:v>
      </x:c>
      <x:c r="C102" s="2" t="str">
        <x:v>MM-TSFlib</x:v>
      </x:c>
      <x:c r="D102" s="15" t="n">
        <x:v>0.4371093961378358</x:v>
      </x:c>
      <x:c r="E102" s="16" t="n">
        <x:v>0.38029177471394976</x:v>
      </x:c>
      <x:c r="F102" s="17" t="n">
        <x:f>(D102-E102)/D102</x:f>
        <x:v>0.12998490063565107</x:v>
      </x:c>
      <x:c r="G102" s="15" t="n">
        <x:v>0.5207986573842119</x:v>
      </x:c>
      <x:c r="H102" s="16" t="n">
        <x:v>0.4780659443915983</x:v>
      </x:c>
      <x:c r="I102" s="17" t="n">
        <x:f>(G102-H102)/G102</x:f>
        <x:v>0.08205227180739101</x:v>
      </x:c>
      <x:c r="J102" s="14" t="n">
        <x:v>3</x:v>
      </x:c>
      <x:c r="K102" s="2" t="str">
        <x:f>IF(AND(F102&gt;0.0000001,I102&gt;0.0000001),"双指标下降",IF(OR(F102&lt;-0.0000001,I102&lt;-0.0000001),"至少一项增加","持平或单项下降"))</x:f>
        <x:v>双指标下降</x:v>
      </x:c>
    </x:row>
    <x:row r="103" ht="24" customHeight="1">
      <x:c r="A103" s="2" t="str">
        <x:v>Environment</x:v>
      </x:c>
      <x:c r="B103" s="2" t="n">
        <x:v>336</x:v>
      </x:c>
      <x:c r="C103" s="2" t="str">
        <x:v>SpecTF</x:v>
      </x:c>
      <x:c r="D103" s="15" t="n">
        <x:v>0.3039387794760956</x:v>
      </x:c>
      <x:c r="E103" s="16" t="n">
        <x:v>0.30100612584665193</x:v>
      </x:c>
      <x:c r="F103" s="17" t="n">
        <x:f>(D103-E103)/D103</x:f>
        <x:v>0.009648830052218857</x:v>
      </x:c>
      <x:c r="G103" s="15" t="n">
        <x:v>0.4100298751343203</x:v>
      </x:c>
      <x:c r="H103" s="16" t="n">
        <x:v>0.4011375162502194</x:v>
      </x:c>
      <x:c r="I103" s="17" t="n">
        <x:f>(G103-H103)/G103</x:f>
        <x:v>0.021687099948968183</x:v>
      </x:c>
      <x:c r="J103" s="14" t="n">
        <x:v>3</x:v>
      </x:c>
      <x:c r="K103" s="2" t="str">
        <x:f>IF(AND(F103&gt;0.0000001,I103&gt;0.0000001),"双指标下降",IF(OR(F103&lt;-0.0000001,I103&lt;-0.0000001),"至少一项增加","持平或单项下降"))</x:f>
        <x:v>双指标下降</x:v>
      </x:c>
    </x:row>
    <x:row r="104" ht="24" customHeight="1">
      <x:c r="A104" s="2" t="str">
        <x:v>Environment</x:v>
      </x:c>
      <x:c r="B104" s="2" t="n">
        <x:v>336</x:v>
      </x:c>
      <x:c r="C104" s="2" t="str">
        <x:v>CFA</x:v>
      </x:c>
      <x:c r="D104" s="15" t="n">
        <x:v>0.34801837631476107</x:v>
      </x:c>
      <x:c r="E104" s="16" t="n">
        <x:v>0.3478094772492087</x:v>
      </x:c>
      <x:c r="F104" s="17" t="n">
        <x:f>(D104-E104)/D104</x:f>
        <x:v>0.000600252974467777</x:v>
      </x:c>
      <x:c r="G104" s="15" t="n">
        <x:v>0.4114714629534046</x:v>
      </x:c>
      <x:c r="H104" s="16" t="n">
        <x:v>0.41253768672395313</x:v>
      </x:c>
      <x:c r="I104" s="17" t="n">
        <x:f>(G104-H104)/G104</x:f>
        <x:v>-0.0025912459709734157</x:v>
      </x:c>
      <x:c r="J104" s="14" t="n">
        <x:v>2</x:v>
      </x:c>
      <x:c r="K104" s="2" t="str">
        <x:f>IF(AND(F104&gt;0.0000001,I104&gt;0.0000001),"双指标下降",IF(OR(F104&lt;-0.0000001,I104&lt;-0.0000001),"至少一项增加","持平或单项下降"))</x:f>
        <x:v>至少一项增加</x:v>
      </x:c>
    </x:row>
    <x:row r="105" ht="24" customHeight="1">
      <x:c r="A105" s="2" t="str">
        <x:v>Environment</x:v>
      </x:c>
      <x:c r="B105" s="2" t="n">
        <x:v>336</x:v>
      </x:c>
      <x:c r="C105" s="2" t="str">
        <x:v>Aurora</x:v>
      </x:c>
      <x:c r="D105" s="15" t="n">
        <x:v>0.4190524482224486</x:v>
      </x:c>
      <x:c r="E105" s="16" t="n">
        <x:v>0.4197502191908395</x:v>
      </x:c>
      <x:c r="F105" s="17" t="n">
        <x:f>(D105-E105)/D105</x:f>
        <x:v>-0.0016651160764022234</x:v>
      </x:c>
      <x:c r="G105" s="15" t="n">
        <x:v>0.46566729071656165</x:v>
      </x:c>
      <x:c r="H105" s="16" t="n">
        <x:v>0.4660784117123014</x:v>
      </x:c>
      <x:c r="I105" s="17" t="n">
        <x:f>(G105-H105)/G105</x:f>
        <x:v>-0.0008828642336186611</x:v>
      </x:c>
      <x:c r="J105" s="14" t="n">
        <x:v>1</x:v>
      </x:c>
      <x:c r="K105" s="2" t="str">
        <x:f>IF(AND(F105&gt;0.0000001,I105&gt;0.0000001),"双指标下降",IF(OR(F105&lt;-0.0000001,I105&lt;-0.0000001),"至少一项增加","持平或单项下降"))</x:f>
        <x:v>至少一项增加</x:v>
      </x:c>
    </x:row>
    <x:row r="106" ht="24" customHeight="1">
      <x:c r="A106" s="2" t="str">
        <x:v>Health</x:v>
      </x:c>
      <x:c r="B106" s="2" t="n">
        <x:v>12</x:v>
      </x:c>
      <x:c r="C106" s="2" t="str">
        <x:v>TaTS</x:v>
      </x:c>
      <x:c r="D106" s="15" t="n">
        <x:v>1.1624856639502126</x:v>
      </x:c>
      <x:c r="E106" s="16" t="n">
        <x:v>1.1624856639502126</x:v>
      </x:c>
      <x:c r="F106" s="17" t="n">
        <x:f>(D106-E106)/D106</x:f>
        <x:v>0</x:v>
      </x:c>
      <x:c r="G106" s="15" t="n">
        <x:v>0.6905360692734764</x:v>
      </x:c>
      <x:c r="H106" s="16" t="n">
        <x:v>0.6905360692734764</x:v>
      </x:c>
      <x:c r="I106" s="17" t="n">
        <x:f>(G106-H106)/G106</x:f>
        <x:v>0</x:v>
      </x:c>
      <x:c r="J106" s="14" t="n">
        <x:v>0</x:v>
      </x:c>
      <x:c r="K106" s="2" t="str">
        <x:f>IF(AND(F106&gt;0.0000001,I106&gt;0.0000001),"双指标下降",IF(OR(F106&lt;-0.0000001,I106&lt;-0.0000001),"至少一项增加","持平或单项下降"))</x:f>
        <x:v>持平或单项下降</x:v>
      </x:c>
    </x:row>
    <x:row r="107" ht="24" customHeight="1">
      <x:c r="A107" s="2" t="str">
        <x:v>Health</x:v>
      </x:c>
      <x:c r="B107" s="2" t="n">
        <x:v>12</x:v>
      </x:c>
      <x:c r="C107" s="2" t="str">
        <x:v>MM-TSFlib</x:v>
      </x:c>
      <x:c r="D107" s="15" t="n">
        <x:v>1.1136970518834708</x:v>
      </x:c>
      <x:c r="E107" s="16" t="n">
        <x:v>1.1136970518834708</x:v>
      </x:c>
      <x:c r="F107" s="17" t="n">
        <x:f>(D107-E107)/D107</x:f>
        <x:v>0</x:v>
      </x:c>
      <x:c r="G107" s="15" t="n">
        <x:v>0.7451287619688394</x:v>
      </x:c>
      <x:c r="H107" s="16" t="n">
        <x:v>0.7451287619688394</x:v>
      </x:c>
      <x:c r="I107" s="17" t="n">
        <x:f>(G107-H107)/G107</x:f>
        <x:v>0</x:v>
      </x:c>
      <x:c r="J107" s="14" t="n">
        <x:v>0</x:v>
      </x:c>
      <x:c r="K107" s="2" t="str">
        <x:f>IF(AND(F107&gt;0.0000001,I107&gt;0.0000001),"双指标下降",IF(OR(F107&lt;-0.0000001,I107&lt;-0.0000001),"至少一项增加","持平或单项下降"))</x:f>
        <x:v>持平或单项下降</x:v>
      </x:c>
    </x:row>
    <x:row r="108" ht="24" customHeight="1">
      <x:c r="A108" s="2" t="str">
        <x:v>Health</x:v>
      </x:c>
      <x:c r="B108" s="2" t="n">
        <x:v>12</x:v>
      </x:c>
      <x:c r="C108" s="2" t="str">
        <x:v>SpecTF</x:v>
      </x:c>
      <x:c r="D108" s="15" t="n">
        <x:v>1.4038450804546994</x:v>
      </x:c>
      <x:c r="E108" s="16" t="n">
        <x:v>1.4038450804546994</x:v>
      </x:c>
      <x:c r="F108" s="17" t="n">
        <x:f>(D108-E108)/D108</x:f>
        <x:v>0</x:v>
      </x:c>
      <x:c r="G108" s="15" t="n">
        <x:v>0.7974180852255333</x:v>
      </x:c>
      <x:c r="H108" s="16" t="n">
        <x:v>0.7974180852255333</x:v>
      </x:c>
      <x:c r="I108" s="17" t="n">
        <x:f>(G108-H108)/G108</x:f>
        <x:v>0</x:v>
      </x:c>
      <x:c r="J108" s="14" t="n">
        <x:v>0</x:v>
      </x:c>
      <x:c r="K108" s="2" t="str">
        <x:f>IF(AND(F108&gt;0.0000001,I108&gt;0.0000001),"双指标下降",IF(OR(F108&lt;-0.0000001,I108&lt;-0.0000001),"至少一项增加","持平或单项下降"))</x:f>
        <x:v>持平或单项下降</x:v>
      </x:c>
    </x:row>
    <x:row r="109" ht="24" customHeight="1">
      <x:c r="A109" s="2" t="str">
        <x:v>Health</x:v>
      </x:c>
      <x:c r="B109" s="2" t="n">
        <x:v>12</x:v>
      </x:c>
      <x:c r="C109" s="2" t="str">
        <x:v>CFA</x:v>
      </x:c>
      <x:c r="D109" s="15" t="n">
        <x:v>1.2511063849645137</x:v>
      </x:c>
      <x:c r="E109" s="16" t="n">
        <x:v>1.2511063849645137</x:v>
      </x:c>
      <x:c r="F109" s="17" t="n">
        <x:f>(D109-E109)/D109</x:f>
        <x:v>0</x:v>
      </x:c>
      <x:c r="G109" s="15" t="n">
        <x:v>0.7273466204651196</x:v>
      </x:c>
      <x:c r="H109" s="16" t="n">
        <x:v>0.7273466204651196</x:v>
      </x:c>
      <x:c r="I109" s="17" t="n">
        <x:f>(G109-H109)/G109</x:f>
        <x:v>0</x:v>
      </x:c>
      <x:c r="J109" s="14" t="n">
        <x:v>0</x:v>
      </x:c>
      <x:c r="K109" s="2" t="str">
        <x:f>IF(AND(F109&gt;0.0000001,I109&gt;0.0000001),"双指标下降",IF(OR(F109&lt;-0.0000001,I109&lt;-0.0000001),"至少一项增加","持平或单项下降"))</x:f>
        <x:v>持平或单项下降</x:v>
      </x:c>
    </x:row>
    <x:row r="110" ht="24" customHeight="1">
      <x:c r="A110" s="2" t="str">
        <x:v>Health</x:v>
      </x:c>
      <x:c r="B110" s="2" t="n">
        <x:v>12</x:v>
      </x:c>
      <x:c r="C110" s="2" t="str">
        <x:v>Aurora</x:v>
      </x:c>
      <x:c r="D110" s="15" t="n">
        <x:v>2.9515839192135953</x:v>
      </x:c>
      <x:c r="E110" s="16" t="n">
        <x:v>2.417123139523158</x:v>
      </x:c>
      <x:c r="F110" s="17" t="n">
        <x:f>(D110-E110)/D110</x:f>
        <x:v>0.1810759220536871</x:v>
      </x:c>
      <x:c r="G110" s="15" t="n">
        <x:v>1.2123253232125963</x:v>
      </x:c>
      <x:c r="H110" s="16" t="n">
        <x:v>1.08611870865049</x:v>
      </x:c>
      <x:c r="I110" s="17" t="n">
        <x:f>(G110-H110)/G110</x:f>
        <x:v>0.10410292695005799</x:v>
      </x:c>
      <x:c r="J110" s="14" t="n">
        <x:v>3</x:v>
      </x:c>
      <x:c r="K110" s="2" t="str">
        <x:f>IF(AND(F110&gt;0.0000001,I110&gt;0.0000001),"双指标下降",IF(OR(F110&lt;-0.0000001,I110&lt;-0.0000001),"至少一项增加","持平或单项下降"))</x:f>
        <x:v>双指标下降</x:v>
      </x:c>
    </x:row>
    <x:row r="111" ht="24" customHeight="1">
      <x:c r="A111" s="2" t="str">
        <x:v>Health</x:v>
      </x:c>
      <x:c r="B111" s="2" t="n">
        <x:v>24</x:v>
      </x:c>
      <x:c r="C111" s="2" t="str">
        <x:v>TaTS</x:v>
      </x:c>
      <x:c r="D111" s="15" t="n">
        <x:v>1.9588399705676387</x:v>
      </x:c>
      <x:c r="E111" s="16" t="n">
        <x:v>1.9588399705676387</x:v>
      </x:c>
      <x:c r="F111" s="17" t="n">
        <x:f>(D111-E111)/D111</x:f>
        <x:v>0</x:v>
      </x:c>
      <x:c r="G111" s="15" t="n">
        <x:v>0.8594140174078031</x:v>
      </x:c>
      <x:c r="H111" s="16" t="n">
        <x:v>0.859414017407803</x:v>
      </x:c>
      <x:c r="I111" s="17" t="n">
        <x:f>(G111-H111)/G111</x:f>
        <x:v>1.291837231109929e-16</x:v>
      </x:c>
      <x:c r="J111" s="14" t="n">
        <x:v>0</x:v>
      </x:c>
      <x:c r="K111" s="2" t="str">
        <x:f>IF(AND(F111&gt;0.0000001,I111&gt;0.0000001),"双指标下降",IF(OR(F111&lt;-0.0000001,I111&lt;-0.0000001),"至少一项增加","持平或单项下降"))</x:f>
        <x:v>持平或单项下降</x:v>
      </x:c>
    </x:row>
    <x:row r="112" ht="24" customHeight="1">
      <x:c r="A112" s="2" t="str">
        <x:v>Health</x:v>
      </x:c>
      <x:c r="B112" s="2" t="n">
        <x:v>24</x:v>
      </x:c>
      <x:c r="C112" s="2" t="str">
        <x:v>MM-TSFlib</x:v>
      </x:c>
      <x:c r="D112" s="15" t="n">
        <x:v>1.2781150498056244</x:v>
      </x:c>
      <x:c r="E112" s="16" t="n">
        <x:v>1.2781150498056244</x:v>
      </x:c>
      <x:c r="F112" s="17" t="n">
        <x:f>(D112-E112)/D112</x:f>
        <x:v>0</x:v>
      </x:c>
      <x:c r="G112" s="15" t="n">
        <x:v>0.7995671803353506</x:v>
      </x:c>
      <x:c r="H112" s="16" t="n">
        <x:v>0.7995671803353505</x:v>
      </x:c>
      <x:c r="I112" s="17" t="n">
        <x:f>(G112-H112)/G112</x:f>
        <x:v>1.38853000964786e-16</x:v>
      </x:c>
      <x:c r="J112" s="14" t="n">
        <x:v>0</x:v>
      </x:c>
      <x:c r="K112" s="2" t="str">
        <x:f>IF(AND(F112&gt;0.0000001,I112&gt;0.0000001),"双指标下降",IF(OR(F112&lt;-0.0000001,I112&lt;-0.0000001),"至少一项增加","持平或单项下降"))</x:f>
        <x:v>持平或单项下降</x:v>
      </x:c>
    </x:row>
    <x:row r="113" ht="24" customHeight="1">
      <x:c r="A113" s="2" t="str">
        <x:v>Health</x:v>
      </x:c>
      <x:c r="B113" s="2" t="n">
        <x:v>24</x:v>
      </x:c>
      <x:c r="C113" s="2" t="str">
        <x:v>SpecTF</x:v>
      </x:c>
      <x:c r="D113" s="15" t="n">
        <x:v>1.8081685181614635</x:v>
      </x:c>
      <x:c r="E113" s="16" t="n">
        <x:v>1.8081685181614635</x:v>
      </x:c>
      <x:c r="F113" s="17" t="n">
        <x:f>(D113-E113)/D113</x:f>
        <x:v>0</x:v>
      </x:c>
      <x:c r="G113" s="15" t="n">
        <x:v>0.91779143712086</x:v>
      </x:c>
      <x:c r="H113" s="16" t="n">
        <x:v>0.9177914371208601</x:v>
      </x:c>
      <x:c r="I113" s="17" t="n">
        <x:f>(G113-H113)/G113</x:f>
        <x:v>-1.2096681007484232e-16</x:v>
      </x:c>
      <x:c r="J113" s="14" t="n">
        <x:v>0</x:v>
      </x:c>
      <x:c r="K113" s="2" t="str">
        <x:f>IF(AND(F113&gt;0.0000001,I113&gt;0.0000001),"双指标下降",IF(OR(F113&lt;-0.0000001,I113&lt;-0.0000001),"至少一项增加","持平或单项下降"))</x:f>
        <x:v>持平或单项下降</x:v>
      </x:c>
    </x:row>
    <x:row r="114" ht="24" customHeight="1">
      <x:c r="A114" s="2" t="str">
        <x:v>Health</x:v>
      </x:c>
      <x:c r="B114" s="2" t="n">
        <x:v>24</x:v>
      </x:c>
      <x:c r="C114" s="2" t="str">
        <x:v>CFA</x:v>
      </x:c>
      <x:c r="D114" s="15" t="n">
        <x:v>2.2477706654605583</x:v>
      </x:c>
      <x:c r="E114" s="16" t="n">
        <x:v>2.2477706654605583</x:v>
      </x:c>
      <x:c r="F114" s="17" t="n">
        <x:f>(D114-E114)/D114</x:f>
        <x:v>0</x:v>
      </x:c>
      <x:c r="G114" s="15" t="n">
        <x:v>0.9273627421712928</x:v>
      </x:c>
      <x:c r="H114" s="16" t="n">
        <x:v>0.9273627421712928</x:v>
      </x:c>
      <x:c r="I114" s="17" t="n">
        <x:f>(G114-H114)/G114</x:f>
        <x:v>0</x:v>
      </x:c>
      <x:c r="J114" s="14" t="n">
        <x:v>0</x:v>
      </x:c>
      <x:c r="K114" s="2" t="str">
        <x:f>IF(AND(F114&gt;0.0000001,I114&gt;0.0000001),"双指标下降",IF(OR(F114&lt;-0.0000001,I114&lt;-0.0000001),"至少一项增加","持平或单项下降"))</x:f>
        <x:v>持平或单项下降</x:v>
      </x:c>
    </x:row>
    <x:row r="115" ht="24" customHeight="1">
      <x:c r="A115" s="2" t="str">
        <x:v>Health</x:v>
      </x:c>
      <x:c r="B115" s="2" t="n">
        <x:v>24</x:v>
      </x:c>
      <x:c r="C115" s="2" t="str">
        <x:v>Aurora</x:v>
      </x:c>
      <x:c r="D115" s="15" t="n">
        <x:v>3.68080986261969</x:v>
      </x:c>
      <x:c r="E115" s="16" t="n">
        <x:v>3.2134414974460923</x:v>
      </x:c>
      <x:c r="F115" s="17" t="n">
        <x:f>(D115-E115)/D115</x:f>
        <x:v>0.12697432973105657</x:v>
      </x:c>
      <x:c r="G115" s="15" t="n">
        <x:v>1.3722074656193801</x:v>
      </x:c>
      <x:c r="H115" s="16" t="n">
        <x:v>1.2786682020801556</x:v>
      </x:c>
      <x:c r="I115" s="17" t="n">
        <x:f>(G115-H115)/G115</x:f>
        <x:v>0.06816699798160857</x:v>
      </x:c>
      <x:c r="J115" s="14" t="n">
        <x:v>3</x:v>
      </x:c>
      <x:c r="K115" s="2" t="str">
        <x:f>IF(AND(F115&gt;0.0000001,I115&gt;0.0000001),"双指标下降",IF(OR(F115&lt;-0.0000001,I115&lt;-0.0000001),"至少一项增加","持平或单项下降"))</x:f>
        <x:v>双指标下降</x:v>
      </x:c>
    </x:row>
    <x:row r="116" ht="24" customHeight="1">
      <x:c r="A116" s="2" t="str">
        <x:v>Health</x:v>
      </x:c>
      <x:c r="B116" s="2" t="n">
        <x:v>36</x:v>
      </x:c>
      <x:c r="C116" s="2" t="str">
        <x:v>TaTS</x:v>
      </x:c>
      <x:c r="D116" s="15" t="n">
        <x:v>2.6637995198269984</x:v>
      </x:c>
      <x:c r="E116" s="16" t="n">
        <x:v>2.7079933443752933</x:v>
      </x:c>
      <x:c r="F116" s="17" t="n">
        <x:f>(D116-E116)/D116</x:f>
        <x:v>-0.016590522004135314</x:v>
      </x:c>
      <x:c r="G116" s="15" t="n">
        <x:v>0.9724688034767643</x:v>
      </x:c>
      <x:c r="H116" s="16" t="n">
        <x:v>0.9680561475420683</x:v>
      </x:c>
      <x:c r="I116" s="17" t="n">
        <x:f>(G116-H116)/G116</x:f>
        <x:v>0.004537580968068062</x:v>
      </x:c>
      <x:c r="J116" s="14" t="n">
        <x:v>3</x:v>
      </x:c>
      <x:c r="K116" s="2" t="str">
        <x:f>IF(AND(F116&gt;0.0000001,I116&gt;0.0000001),"双指标下降",IF(OR(F116&lt;-0.0000001,I116&lt;-0.0000001),"至少一项增加","持平或单项下降"))</x:f>
        <x:v>至少一项增加</x:v>
      </x:c>
    </x:row>
    <x:row r="117" ht="24" customHeight="1">
      <x:c r="A117" s="2" t="str">
        <x:v>Health</x:v>
      </x:c>
      <x:c r="B117" s="2" t="n">
        <x:v>36</x:v>
      </x:c>
      <x:c r="C117" s="2" t="str">
        <x:v>MM-TSFlib</x:v>
      </x:c>
      <x:c r="D117" s="15" t="n">
        <x:v>1.3416884662270774</x:v>
      </x:c>
      <x:c r="E117" s="16" t="n">
        <x:v>1.3416884662270772</x:v>
      </x:c>
      <x:c r="F117" s="17" t="n">
        <x:f>(D117-E117)/D117</x:f>
        <x:v>1.6549639541095288e-16</x:v>
      </x:c>
      <x:c r="G117" s="15" t="n">
        <x:v>0.7957999698718254</x:v>
      </x:c>
      <x:c r="H117" s="16" t="n">
        <x:v>0.7957999698718256</x:v>
      </x:c>
      <x:c r="I117" s="17" t="n">
        <x:f>(G117-H117)/G117</x:f>
        <x:v>-1.395103124726146e-16</x:v>
      </x:c>
      <x:c r="J117" s="14" t="n">
        <x:v>0</x:v>
      </x:c>
      <x:c r="K117" s="2" t="str">
        <x:f>IF(AND(F117&gt;0.0000001,I117&gt;0.0000001),"双指标下降",IF(OR(F117&lt;-0.0000001,I117&lt;-0.0000001),"至少一项增加","持平或单项下降"))</x:f>
        <x:v>持平或单项下降</x:v>
      </x:c>
    </x:row>
    <x:row r="118" ht="24" customHeight="1">
      <x:c r="A118" s="2" t="str">
        <x:v>Health</x:v>
      </x:c>
      <x:c r="B118" s="2" t="n">
        <x:v>36</x:v>
      </x:c>
      <x:c r="C118" s="2" t="str">
        <x:v>SpecTF</x:v>
      </x:c>
      <x:c r="D118" s="15" t="n">
        <x:v>1.9760118218181606</x:v>
      </x:c>
      <x:c r="E118" s="16" t="n">
        <x:v>1.9760118218181606</x:v>
      </x:c>
      <x:c r="F118" s="17" t="n">
        <x:f>(D118-E118)/D118</x:f>
        <x:v>0</x:v>
      </x:c>
      <x:c r="G118" s="15" t="n">
        <x:v>0.9709013853879775</x:v>
      </x:c>
      <x:c r="H118" s="16" t="n">
        <x:v>0.9709013853879775</x:v>
      </x:c>
      <x:c r="I118" s="17" t="n">
        <x:f>(G118-H118)/G118</x:f>
        <x:v>0</x:v>
      </x:c>
      <x:c r="J118" s="14" t="n">
        <x:v>0</x:v>
      </x:c>
      <x:c r="K118" s="2" t="str">
        <x:f>IF(AND(F118&gt;0.0000001,I118&gt;0.0000001),"双指标下降",IF(OR(F118&lt;-0.0000001,I118&lt;-0.0000001),"至少一项增加","持平或单项下降"))</x:f>
        <x:v>持平或单项下降</x:v>
      </x:c>
    </x:row>
    <x:row r="119" ht="24" customHeight="1">
      <x:c r="A119" s="2" t="str">
        <x:v>Health</x:v>
      </x:c>
      <x:c r="B119" s="2" t="n">
        <x:v>36</x:v>
      </x:c>
      <x:c r="C119" s="2" t="str">
        <x:v>CFA</x:v>
      </x:c>
      <x:c r="D119" s="15" t="n">
        <x:v>3.2615469383600995</x:v>
      </x:c>
      <x:c r="E119" s="16" t="n">
        <x:v>3.2615469383600995</x:v>
      </x:c>
      <x:c r="F119" s="17" t="n">
        <x:f>(D119-E119)/D119</x:f>
        <x:v>0</x:v>
      </x:c>
      <x:c r="G119" s="15" t="n">
        <x:v>1.0605147466558817</x:v>
      </x:c>
      <x:c r="H119" s="16" t="n">
        <x:v>1.0605147466558817</x:v>
      </x:c>
      <x:c r="I119" s="17" t="n">
        <x:f>(G119-H119)/G119</x:f>
        <x:v>0</x:v>
      </x:c>
      <x:c r="J119" s="14" t="n">
        <x:v>0</x:v>
      </x:c>
      <x:c r="K119" s="2" t="str">
        <x:f>IF(AND(F119&gt;0.0000001,I119&gt;0.0000001),"双指标下降",IF(OR(F119&lt;-0.0000001,I119&lt;-0.0000001),"至少一项增加","持平或单项下降"))</x:f>
        <x:v>持平或单项下降</x:v>
      </x:c>
    </x:row>
    <x:row r="120" ht="24" customHeight="1">
      <x:c r="A120" s="2" t="str">
        <x:v>Health</x:v>
      </x:c>
      <x:c r="B120" s="2" t="n">
        <x:v>36</x:v>
      </x:c>
      <x:c r="C120" s="2" t="str">
        <x:v>Aurora</x:v>
      </x:c>
      <x:c r="D120" s="15" t="n">
        <x:v>3.2140425584838486</x:v>
      </x:c>
      <x:c r="E120" s="16" t="n">
        <x:v>3.2140425584838486</x:v>
      </x:c>
      <x:c r="F120" s="17" t="n">
        <x:f>(D120-E120)/D120</x:f>
        <x:v>0</x:v>
      </x:c>
      <x:c r="G120" s="15" t="n">
        <x:v>1.2744120766422784</x:v>
      </x:c>
      <x:c r="H120" s="16" t="n">
        <x:v>1.2744120766422784</x:v>
      </x:c>
      <x:c r="I120" s="17" t="n">
        <x:f>(G120-H120)/G120</x:f>
        <x:v>0</x:v>
      </x:c>
      <x:c r="J120" s="14" t="n">
        <x:v>0</x:v>
      </x:c>
      <x:c r="K120" s="2" t="str">
        <x:f>IF(AND(F120&gt;0.0000001,I120&gt;0.0000001),"双指标下降",IF(OR(F120&lt;-0.0000001,I120&lt;-0.0000001),"至少一项增加","持平或单项下降"))</x:f>
        <x:v>持平或单项下降</x:v>
      </x:c>
    </x:row>
    <x:row r="121" ht="24" customHeight="1">
      <x:c r="A121" s="2" t="str">
        <x:v>Health</x:v>
      </x:c>
      <x:c r="B121" s="2" t="n">
        <x:v>48</x:v>
      </x:c>
      <x:c r="C121" s="2" t="str">
        <x:v>TaTS</x:v>
      </x:c>
      <x:c r="D121" s="15" t="n">
        <x:v>2.4391529485784003</x:v>
      </x:c>
      <x:c r="E121" s="16" t="n">
        <x:v>2.4335363870040436</x:v>
      </x:c>
      <x:c r="F121" s="17" t="n">
        <x:f>(D121-E121)/D121</x:f>
        <x:v>0.0023026688743033154</x:v>
      </x:c>
      <x:c r="G121" s="15" t="n">
        <x:v>0.9848521591679822</x:v>
      </x:c>
      <x:c r="H121" s="16" t="n">
        <x:v>0.9773306906047621</x:v>
      </x:c>
      <x:c r="I121" s="17" t="n">
        <x:f>(G121-H121)/G121</x:f>
        <x:v>0.007637154971132278</x:v>
      </x:c>
      <x:c r="J121" s="14" t="n">
        <x:v>2</x:v>
      </x:c>
      <x:c r="K121" s="2" t="str">
        <x:f>IF(AND(F121&gt;0.0000001,I121&gt;0.0000001),"双指标下降",IF(OR(F121&lt;-0.0000001,I121&lt;-0.0000001),"至少一项增加","持平或单项下降"))</x:f>
        <x:v>双指标下降</x:v>
      </x:c>
    </x:row>
    <x:row r="122" ht="24" customHeight="1">
      <x:c r="A122" s="2" t="str">
        <x:v>Health</x:v>
      </x:c>
      <x:c r="B122" s="2" t="n">
        <x:v>48</x:v>
      </x:c>
      <x:c r="C122" s="2" t="str">
        <x:v>MM-TSFlib</x:v>
      </x:c>
      <x:c r="D122" s="15" t="n">
        <x:v>1.5206820696563101</x:v>
      </x:c>
      <x:c r="E122" s="16" t="n">
        <x:v>1.5039559594161893</x:v>
      </x:c>
      <x:c r="F122" s="17" t="n">
        <x:f>(D122-E122)/D122</x:f>
        <x:v>0.010999084275321995</x:v>
      </x:c>
      <x:c r="G122" s="15" t="n">
        <x:v>0.8628716780061357</x:v>
      </x:c>
      <x:c r="H122" s="16" t="n">
        <x:v>0.8571131806823074</x:v>
      </x:c>
      <x:c r="I122" s="17" t="n">
        <x:f>(G122-H122)/G122</x:f>
        <x:v>0.006673642756631809</x:v>
      </x:c>
      <x:c r="J122" s="14" t="n">
        <x:v>1</x:v>
      </x:c>
      <x:c r="K122" s="2" t="str">
        <x:f>IF(AND(F122&gt;0.0000001,I122&gt;0.0000001),"双指标下降",IF(OR(F122&lt;-0.0000001,I122&lt;-0.0000001),"至少一项增加","持平或单项下降"))</x:f>
        <x:v>双指标下降</x:v>
      </x:c>
    </x:row>
    <x:row r="123" ht="24" customHeight="1">
      <x:c r="A123" s="2" t="str">
        <x:v>Health</x:v>
      </x:c>
      <x:c r="B123" s="2" t="n">
        <x:v>48</x:v>
      </x:c>
      <x:c r="C123" s="2" t="str">
        <x:v>SpecTF</x:v>
      </x:c>
      <x:c r="D123" s="15" t="n">
        <x:v>1.8182009804632495</x:v>
      </x:c>
      <x:c r="E123" s="16" t="n">
        <x:v>1.8182009804611994</x:v>
      </x:c>
      <x:c r="F123" s="17" t="n">
        <x:f>(D123-E123)/D123</x:f>
        <x:v>1.1275639268165342e-12</x:v>
      </x:c>
      <x:c r="G123" s="15" t="n">
        <x:v>0.9114058267188971</x:v>
      </x:c>
      <x:c r="H123" s="16" t="n">
        <x:v>0.9114058267171222</x:v>
      </x:c>
      <x:c r="I123" s="17" t="n">
        <x:f>(G123-H123)/G123</x:f>
        <x:v>1.947445909862139e-12</x:v>
      </x:c>
      <x:c r="J123" s="14" t="n">
        <x:v>0</x:v>
      </x:c>
      <x:c r="K123" s="2" t="str">
        <x:f>IF(AND(F123&gt;0.0000001,I123&gt;0.0000001),"双指标下降",IF(OR(F123&lt;-0.0000001,I123&lt;-0.0000001),"至少一项增加","持平或单项下降"))</x:f>
        <x:v>持平或单项下降</x:v>
      </x:c>
    </x:row>
    <x:row r="124" ht="24" customHeight="1">
      <x:c r="A124" s="2" t="str">
        <x:v>Health</x:v>
      </x:c>
      <x:c r="B124" s="2" t="n">
        <x:v>48</x:v>
      </x:c>
      <x:c r="C124" s="2" t="str">
        <x:v>CFA</x:v>
      </x:c>
      <x:c r="D124" s="15" t="n">
        <x:v>2.486236831301244</x:v>
      </x:c>
      <x:c r="E124" s="16" t="n">
        <x:v>2.486236831301244</x:v>
      </x:c>
      <x:c r="F124" s="17" t="n">
        <x:f>(D124-E124)/D124</x:f>
        <x:v>0</x:v>
      </x:c>
      <x:c r="G124" s="15" t="n">
        <x:v>1.0196322224856413</x:v>
      </x:c>
      <x:c r="H124" s="16" t="n">
        <x:v>1.0196322224856413</x:v>
      </x:c>
      <x:c r="I124" s="17" t="n">
        <x:f>(G124-H124)/G124</x:f>
        <x:v>0</x:v>
      </x:c>
      <x:c r="J124" s="14" t="n">
        <x:v>0</x:v>
      </x:c>
      <x:c r="K124" s="2" t="str">
        <x:f>IF(AND(F124&gt;0.0000001,I124&gt;0.0000001),"双指标下降",IF(OR(F124&lt;-0.0000001,I124&lt;-0.0000001),"至少一项增加","持平或单项下降"))</x:f>
        <x:v>持平或单项下降</x:v>
      </x:c>
    </x:row>
    <x:row r="125" ht="24" customHeight="1">
      <x:c r="A125" s="2" t="str">
        <x:v>Health</x:v>
      </x:c>
      <x:c r="B125" s="2" t="n">
        <x:v>48</x:v>
      </x:c>
      <x:c r="C125" s="2" t="str">
        <x:v>Aurora</x:v>
      </x:c>
      <x:c r="D125" s="15" t="n">
        <x:v>3.04441356828496</x:v>
      </x:c>
      <x:c r="E125" s="16" t="n">
        <x:v>3.0444135682849605</x:v>
      </x:c>
      <x:c r="F125" s="17" t="n">
        <x:f>(D125-E125)/D125</x:f>
        <x:v>-1.458701979508769e-16</x:v>
      </x:c>
      <x:c r="G125" s="15" t="n">
        <x:v>1.2394286782701736</x:v>
      </x:c>
      <x:c r="H125" s="16" t="n">
        <x:v>1.2394286782701736</x:v>
      </x:c>
      <x:c r="I125" s="17" t="n">
        <x:f>(G125-H125)/G125</x:f>
        <x:v>0</x:v>
      </x:c>
      <x:c r="J125" s="14" t="n">
        <x:v>0</x:v>
      </x:c>
      <x:c r="K125" s="2" t="str">
        <x:f>IF(AND(F125&gt;0.0000001,I125&gt;0.0000001),"双指标下降",IF(OR(F125&lt;-0.0000001,I125&lt;-0.0000001),"至少一项增加","持平或单项下降"))</x:f>
        <x:v>持平或单项下降</x:v>
      </x:c>
    </x:row>
    <x:row r="126" ht="24" customHeight="1">
      <x:c r="A126" s="2" t="str">
        <x:v>Security</x:v>
      </x:c>
      <x:c r="B126" s="2" t="n">
        <x:v>6</x:v>
      </x:c>
      <x:c r="C126" s="2" t="str">
        <x:v>TaTS</x:v>
      </x:c>
      <x:c r="D126" s="15" t="n">
        <x:v>72.6991374139132</x:v>
      </x:c>
      <x:c r="E126" s="16" t="n">
        <x:v>72.6991374139132</x:v>
      </x:c>
      <x:c r="F126" s="17" t="n">
        <x:f>(D126-E126)/D126</x:f>
        <x:v>0</x:v>
      </x:c>
      <x:c r="G126" s="15" t="n">
        <x:v>4.382157450728693</x:v>
      </x:c>
      <x:c r="H126" s="16" t="n">
        <x:v>4.382157450728693</x:v>
      </x:c>
      <x:c r="I126" s="17" t="n">
        <x:f>(G126-H126)/G126</x:f>
        <x:v>0</x:v>
      </x:c>
      <x:c r="J126" s="14" t="n">
        <x:v>0</x:v>
      </x:c>
      <x:c r="K126" s="2" t="str">
        <x:f>IF(AND(F126&gt;0.0000001,I126&gt;0.0000001),"双指标下降",IF(OR(F126&lt;-0.0000001,I126&lt;-0.0000001),"至少一项增加","持平或单项下降"))</x:f>
        <x:v>持平或单项下降</x:v>
      </x:c>
    </x:row>
    <x:row r="127" ht="24" customHeight="1">
      <x:c r="A127" s="2" t="str">
        <x:v>Security</x:v>
      </x:c>
      <x:c r="B127" s="2" t="n">
        <x:v>6</x:v>
      </x:c>
      <x:c r="C127" s="2" t="str">
        <x:v>MM-TSFlib</x:v>
      </x:c>
      <x:c r="D127" s="15" t="n">
        <x:v>93.2256797838897</x:v>
      </x:c>
      <x:c r="E127" s="16" t="n">
        <x:v>78.76997251695026</x:v>
      </x:c>
      <x:c r="F127" s="17" t="n">
        <x:f>(D127-E127)/D127</x:f>
        <x:v>0.15506143050337431</x:v>
      </x:c>
      <x:c r="G127" s="15" t="n">
        <x:v>6.123006931733179</x:v>
      </x:c>
      <x:c r="H127" s="16" t="n">
        <x:v>4.743153367008547</x:v>
      </x:c>
      <x:c r="I127" s="17" t="n">
        <x:f>(G127-H127)/G127</x:f>
        <x:v>0.22535554509556152</x:v>
      </x:c>
      <x:c r="J127" s="14" t="n">
        <x:v>3</x:v>
      </x:c>
      <x:c r="K127" s="2" t="str">
        <x:f>IF(AND(F127&gt;0.0000001,I127&gt;0.0000001),"双指标下降",IF(OR(F127&lt;-0.0000001,I127&lt;-0.0000001),"至少一项增加","持平或单项下降"))</x:f>
        <x:v>双指标下降</x:v>
      </x:c>
    </x:row>
    <x:row r="128" ht="24" customHeight="1">
      <x:c r="A128" s="2" t="str">
        <x:v>Security</x:v>
      </x:c>
      <x:c r="B128" s="2" t="n">
        <x:v>6</x:v>
      </x:c>
      <x:c r="C128" s="2" t="str">
        <x:v>SpecTF</x:v>
      </x:c>
      <x:c r="D128" s="15" t="n">
        <x:v>67.14183396997961</x:v>
      </x:c>
      <x:c r="E128" s="16" t="n">
        <x:v>67.14183396997961</x:v>
      </x:c>
      <x:c r="F128" s="17" t="n">
        <x:f>(D128-E128)/D128</x:f>
        <x:v>0</x:v>
      </x:c>
      <x:c r="G128" s="15" t="n">
        <x:v>3.8526697901370763</x:v>
      </x:c>
      <x:c r="H128" s="16" t="n">
        <x:v>3.8526697901370763</x:v>
      </x:c>
      <x:c r="I128" s="17" t="n">
        <x:f>(G128-H128)/G128</x:f>
        <x:v>0</x:v>
      </x:c>
      <x:c r="J128" s="14" t="n">
        <x:v>0</x:v>
      </x:c>
      <x:c r="K128" s="2" t="str">
        <x:f>IF(AND(F128&gt;0.0000001,I128&gt;0.0000001),"双指标下降",IF(OR(F128&lt;-0.0000001,I128&lt;-0.0000001),"至少一项增加","持平或单项下降"))</x:f>
        <x:v>持平或单项下降</x:v>
      </x:c>
    </x:row>
    <x:row r="129" ht="24" customHeight="1">
      <x:c r="A129" s="2" t="str">
        <x:v>Security</x:v>
      </x:c>
      <x:c r="B129" s="2" t="n">
        <x:v>6</x:v>
      </x:c>
      <x:c r="C129" s="2" t="str">
        <x:v>CFA</x:v>
      </x:c>
      <x:c r="D129" s="15" t="n">
        <x:v>73.16995799985796</x:v>
      </x:c>
      <x:c r="E129" s="16" t="n">
        <x:v>73.16995799985796</x:v>
      </x:c>
      <x:c r="F129" s="17" t="n">
        <x:f>(D129-E129)/D129</x:f>
        <x:v>0</x:v>
      </x:c>
      <x:c r="G129" s="15" t="n">
        <x:v>4.528802161625253</x:v>
      </x:c>
      <x:c r="H129" s="16" t="n">
        <x:v>4.528802161625253</x:v>
      </x:c>
      <x:c r="I129" s="17" t="n">
        <x:f>(G129-H129)/G129</x:f>
        <x:v>0</x:v>
      </x:c>
      <x:c r="J129" s="14" t="n">
        <x:v>0</x:v>
      </x:c>
      <x:c r="K129" s="2" t="str">
        <x:f>IF(AND(F129&gt;0.0000001,I129&gt;0.0000001),"双指标下降",IF(OR(F129&lt;-0.0000001,I129&lt;-0.0000001),"至少一项增加","持平或单项下降"))</x:f>
        <x:v>持平或单项下降</x:v>
      </x:c>
    </x:row>
    <x:row r="130" ht="24" customHeight="1">
      <x:c r="A130" s="2" t="str">
        <x:v>Security</x:v>
      </x:c>
      <x:c r="B130" s="2" t="n">
        <x:v>6</x:v>
      </x:c>
      <x:c r="C130" s="2" t="str">
        <x:v>Aurora</x:v>
      </x:c>
      <x:c r="D130" s="15" t="n">
        <x:v>77.16228360015839</x:v>
      </x:c>
      <x:c r="E130" s="16" t="n">
        <x:v>79.83116433189004</x:v>
      </x:c>
      <x:c r="F130" s="17" t="n">
        <x:f>(D130-E130)/D130</x:f>
        <x:v>-0.034587892001244104</x:v>
      </x:c>
      <x:c r="G130" s="15" t="n">
        <x:v>4.235003895715546</x:v>
      </x:c>
      <x:c r="H130" s="16" t="n">
        <x:v>4.59404039731989</x:v>
      </x:c>
      <x:c r="I130" s="17" t="n">
        <x:f>(G130-H130)/G130</x:f>
        <x:v>-0.08477831672541608</x:v>
      </x:c>
      <x:c r="J130" s="14" t="n">
        <x:v>3</x:v>
      </x:c>
      <x:c r="K130" s="2" t="str">
        <x:f>IF(AND(F130&gt;0.0000001,I130&gt;0.0000001),"双指标下降",IF(OR(F130&lt;-0.0000001,I130&lt;-0.0000001),"至少一项增加","持平或单项下降"))</x:f>
        <x:v>至少一项增加</x:v>
      </x:c>
    </x:row>
    <x:row r="131" ht="24" customHeight="1">
      <x:c r="A131" s="2" t="str">
        <x:v>Security</x:v>
      </x:c>
      <x:c r="B131" s="2" t="n">
        <x:v>8</x:v>
      </x:c>
      <x:c r="C131" s="2" t="str">
        <x:v>TaTS</x:v>
      </x:c>
      <x:c r="D131" s="15" t="n">
        <x:v>72.97911949508219</x:v>
      </x:c>
      <x:c r="E131" s="16" t="n">
        <x:v>72.97911949508219</x:v>
      </x:c>
      <x:c r="F131" s="17" t="n">
        <x:f>(D131-E131)/D131</x:f>
        <x:v>0</x:v>
      </x:c>
      <x:c r="G131" s="15" t="n">
        <x:v>4.433972100317567</x:v>
      </x:c>
      <x:c r="H131" s="16" t="n">
        <x:v>4.433972100317567</x:v>
      </x:c>
      <x:c r="I131" s="17" t="n">
        <x:f>(G131-H131)/G131</x:f>
        <x:v>0</x:v>
      </x:c>
      <x:c r="J131" s="14" t="n">
        <x:v>0</x:v>
      </x:c>
      <x:c r="K131" s="2" t="str">
        <x:f>IF(AND(F131&gt;0.0000001,I131&gt;0.0000001),"双指标下降",IF(OR(F131&lt;-0.0000001,I131&lt;-0.0000001),"至少一项增加","持平或单项下降"))</x:f>
        <x:v>持平或单项下降</x:v>
      </x:c>
    </x:row>
    <x:row r="132" ht="24" customHeight="1">
      <x:c r="A132" s="2" t="str">
        <x:v>Security</x:v>
      </x:c>
      <x:c r="B132" s="2" t="n">
        <x:v>8</x:v>
      </x:c>
      <x:c r="C132" s="2" t="str">
        <x:v>MM-TSFlib</x:v>
      </x:c>
      <x:c r="D132" s="15" t="n">
        <x:v>96.53889005739344</x:v>
      </x:c>
      <x:c r="E132" s="16" t="n">
        <x:v>93.35109700108274</x:v>
      </x:c>
      <x:c r="F132" s="17" t="n">
        <x:f>(D132-E132)/D132</x:f>
        <x:v>0.03302081735573645</x:v>
      </x:c>
      <x:c r="G132" s="15" t="n">
        <x:v>6.252864701323023</x:v>
      </x:c>
      <x:c r="H132" s="16" t="n">
        <x:v>5.8274316059650095</x:v>
      </x:c>
      <x:c r="I132" s="17" t="n">
        <x:f>(G132-H132)/G132</x:f>
        <x:v>0.06803810983915866</x:v>
      </x:c>
      <x:c r="J132" s="14" t="n">
        <x:v>3</x:v>
      </x:c>
      <x:c r="K132" s="2" t="str">
        <x:f>IF(AND(F132&gt;0.0000001,I132&gt;0.0000001),"双指标下降",IF(OR(F132&lt;-0.0000001,I132&lt;-0.0000001),"至少一项增加","持平或单项下降"))</x:f>
        <x:v>双指标下降</x:v>
      </x:c>
    </x:row>
    <x:row r="133" ht="24" customHeight="1">
      <x:c r="A133" s="2" t="str">
        <x:v>Security</x:v>
      </x:c>
      <x:c r="B133" s="2" t="n">
        <x:v>8</x:v>
      </x:c>
      <x:c r="C133" s="2" t="str">
        <x:v>SpecTF</x:v>
      </x:c>
      <x:c r="D133" s="15" t="n">
        <x:v>70.6990198622295</x:v>
      </x:c>
      <x:c r="E133" s="16" t="n">
        <x:v>70.6990198622295</x:v>
      </x:c>
      <x:c r="F133" s="17" t="n">
        <x:f>(D133-E133)/D133</x:f>
        <x:v>0</x:v>
      </x:c>
      <x:c r="G133" s="15" t="n">
        <x:v>4.002957388563887</x:v>
      </x:c>
      <x:c r="H133" s="16" t="n">
        <x:v>4.002957388563887</x:v>
      </x:c>
      <x:c r="I133" s="17" t="n">
        <x:f>(G133-H133)/G133</x:f>
        <x:v>0</x:v>
      </x:c>
      <x:c r="J133" s="14" t="n">
        <x:v>0</x:v>
      </x:c>
      <x:c r="K133" s="2" t="str">
        <x:f>IF(AND(F133&gt;0.0000001,I133&gt;0.0000001),"双指标下降",IF(OR(F133&lt;-0.0000001,I133&lt;-0.0000001),"至少一项增加","持平或单项下降"))</x:f>
        <x:v>持平或单项下降</x:v>
      </x:c>
    </x:row>
    <x:row r="134" ht="24" customHeight="1">
      <x:c r="A134" s="2" t="str">
        <x:v>Security</x:v>
      </x:c>
      <x:c r="B134" s="2" t="n">
        <x:v>8</x:v>
      </x:c>
      <x:c r="C134" s="2" t="str">
        <x:v>CFA</x:v>
      </x:c>
      <x:c r="D134" s="15" t="n">
        <x:v>91.43265867362122</x:v>
      </x:c>
      <x:c r="E134" s="16" t="n">
        <x:v>91.43265867362122</x:v>
      </x:c>
      <x:c r="F134" s="17" t="n">
        <x:f>(D134-E134)/D134</x:f>
        <x:v>0</x:v>
      </x:c>
      <x:c r="G134" s="15" t="n">
        <x:v>5.660050303552103</x:v>
      </x:c>
      <x:c r="H134" s="16" t="n">
        <x:v>5.660050303552102</x:v>
      </x:c>
      <x:c r="I134" s="17" t="n">
        <x:f>(G134-H134)/G134</x:f>
        <x:v>1.569205876390758e-16</x:v>
      </x:c>
      <x:c r="J134" s="14" t="n">
        <x:v>0</x:v>
      </x:c>
      <x:c r="K134" s="2" t="str">
        <x:f>IF(AND(F134&gt;0.0000001,I134&gt;0.0000001),"双指标下降",IF(OR(F134&lt;-0.0000001,I134&lt;-0.0000001),"至少一项增加","持平或单项下降"))</x:f>
        <x:v>持平或单项下降</x:v>
      </x:c>
    </x:row>
    <x:row r="135" ht="24" customHeight="1">
      <x:c r="A135" s="2" t="str">
        <x:v>Security</x:v>
      </x:c>
      <x:c r="B135" s="2" t="n">
        <x:v>8</x:v>
      </x:c>
      <x:c r="C135" s="2" t="str">
        <x:v>Aurora</x:v>
      </x:c>
      <x:c r="D135" s="15" t="n">
        <x:v>81.18467338330083</x:v>
      </x:c>
      <x:c r="E135" s="16" t="n">
        <x:v>81.3624637965272</x:v>
      </x:c>
      <x:c r="F135" s="17" t="n">
        <x:f>(D135-E135)/D135</x:f>
        <x:v>-0.002189950464996658</x:v>
      </x:c>
      <x:c r="G135" s="15" t="n">
        <x:v>4.406378367935899</x:v>
      </x:c>
      <x:c r="H135" s="16" t="n">
        <x:v>4.419943723680589</x:v>
      </x:c>
      <x:c r="I135" s="17" t="n">
        <x:f>(G135-H135)/G135</x:f>
        <x:v>-0.003078572608154144</x:v>
      </x:c>
      <x:c r="J135" s="14" t="n">
        <x:v>1</x:v>
      </x:c>
      <x:c r="K135" s="2" t="str">
        <x:f>IF(AND(F135&gt;0.0000001,I135&gt;0.0000001),"双指标下降",IF(OR(F135&lt;-0.0000001,I135&lt;-0.0000001),"至少一项增加","持平或单项下降"))</x:f>
        <x:v>至少一项增加</x:v>
      </x:c>
    </x:row>
    <x:row r="136" ht="24" customHeight="1">
      <x:c r="A136" s="2" t="str">
        <x:v>Security</x:v>
      </x:c>
      <x:c r="B136" s="2" t="n">
        <x:v>10</x:v>
      </x:c>
      <x:c r="C136" s="2" t="str">
        <x:v>TaTS</x:v>
      </x:c>
      <x:c r="D136" s="15" t="n">
        <x:v>83.39170242577858</x:v>
      </x:c>
      <x:c r="E136" s="16" t="n">
        <x:v>83.3917024227843</x:v>
      </x:c>
      <x:c r="F136" s="17" t="n">
        <x:f>(D136-E136)/D136</x:f>
        <x:v>3.590608698416019e-11</x:v>
      </x:c>
      <x:c r="G136" s="15" t="n">
        <x:v>4.783439267786219</x:v>
      </x:c>
      <x:c r="H136" s="16" t="n">
        <x:v>4.783439267689362</x:v>
      </x:c>
      <x:c r="I136" s="17" t="n">
        <x:f>(G136-H136)/G136</x:f>
        <x:v>2.0248534078277085e-11</x:v>
      </x:c>
      <x:c r="J136" s="14" t="n">
        <x:v>0</x:v>
      </x:c>
      <x:c r="K136" s="2" t="str">
        <x:f>IF(AND(F136&gt;0.0000001,I136&gt;0.0000001),"双指标下降",IF(OR(F136&lt;-0.0000001,I136&lt;-0.0000001),"至少一项增加","持平或单项下降"))</x:f>
        <x:v>持平或单项下降</x:v>
      </x:c>
    </x:row>
    <x:row r="137" ht="24" customHeight="1">
      <x:c r="A137" s="2" t="str">
        <x:v>Security</x:v>
      </x:c>
      <x:c r="B137" s="2" t="n">
        <x:v>10</x:v>
      </x:c>
      <x:c r="C137" s="2" t="str">
        <x:v>MM-TSFlib</x:v>
      </x:c>
      <x:c r="D137" s="15" t="n">
        <x:v>97.48980175008192</x:v>
      </x:c>
      <x:c r="E137" s="16" t="n">
        <x:v>97.29639122657784</x:v>
      </x:c>
      <x:c r="F137" s="17" t="n">
        <x:f>(D137-E137)/D137</x:f>
        <x:v>0.0019839051883590694</x:v>
      </x:c>
      <x:c r="G137" s="15" t="n">
        <x:v>6.213066877869424</x:v>
      </x:c>
      <x:c r="H137" s="16" t="n">
        <x:v>6.194338848962371</x:v>
      </x:c>
      <x:c r="I137" s="17" t="n">
        <x:f>(G137-H137)/G137</x:f>
        <x:v>0.003014297009060241</x:v>
      </x:c>
      <x:c r="J137" s="14" t="n">
        <x:v>1</x:v>
      </x:c>
      <x:c r="K137" s="2" t="str">
        <x:f>IF(AND(F137&gt;0.0000001,I137&gt;0.0000001),"双指标下降",IF(OR(F137&lt;-0.0000001,I137&lt;-0.0000001),"至少一项增加","持平或单项下降"))</x:f>
        <x:v>双指标下降</x:v>
      </x:c>
    </x:row>
    <x:row r="138" ht="24" customHeight="1">
      <x:c r="A138" s="2" t="str">
        <x:v>Security</x:v>
      </x:c>
      <x:c r="B138" s="2" t="n">
        <x:v>10</x:v>
      </x:c>
      <x:c r="C138" s="2" t="str">
        <x:v>SpecTF</x:v>
      </x:c>
      <x:c r="D138" s="15" t="n">
        <x:v>73.9949897801101</x:v>
      </x:c>
      <x:c r="E138" s="16" t="n">
        <x:v>73.9949897801101</x:v>
      </x:c>
      <x:c r="F138" s="17" t="n">
        <x:f>(D138-E138)/D138</x:f>
        <x:v>0</x:v>
      </x:c>
      <x:c r="G138" s="15" t="n">
        <x:v>4.140486573921517</x:v>
      </x:c>
      <x:c r="H138" s="16" t="n">
        <x:v>4.140486573921517</x:v>
      </x:c>
      <x:c r="I138" s="17" t="n">
        <x:f>(G138-H138)/G138</x:f>
        <x:v>0</x:v>
      </x:c>
      <x:c r="J138" s="14" t="n">
        <x:v>0</x:v>
      </x:c>
      <x:c r="K138" s="2" t="str">
        <x:f>IF(AND(F138&gt;0.0000001,I138&gt;0.0000001),"双指标下降",IF(OR(F138&lt;-0.0000001,I138&lt;-0.0000001),"至少一项增加","持平或单项下降"))</x:f>
        <x:v>持平或单项下降</x:v>
      </x:c>
    </x:row>
    <x:row r="139" ht="24" customHeight="1">
      <x:c r="A139" s="2" t="str">
        <x:v>Security</x:v>
      </x:c>
      <x:c r="B139" s="2" t="n">
        <x:v>10</x:v>
      </x:c>
      <x:c r="C139" s="2" t="str">
        <x:v>CFA</x:v>
      </x:c>
      <x:c r="D139" s="15" t="n">
        <x:v>81.72534727849892</x:v>
      </x:c>
      <x:c r="E139" s="16" t="n">
        <x:v>81.72534727800492</x:v>
      </x:c>
      <x:c r="F139" s="17" t="n">
        <x:f>(D139-E139)/D139</x:f>
        <x:v>6.044608534074932e-12</x:v>
      </x:c>
      <x:c r="G139" s="15" t="n">
        <x:v>4.891687168585136</x:v>
      </x:c>
      <x:c r="H139" s="16" t="n">
        <x:v>4.891687168511251</x:v>
      </x:c>
      <x:c r="I139" s="17" t="n">
        <x:f>(G139-H139)/G139</x:f>
        <x:v>1.5104174828286224e-11</x:v>
      </x:c>
      <x:c r="J139" s="14" t="n">
        <x:v>0</x:v>
      </x:c>
      <x:c r="K139" s="2" t="str">
        <x:f>IF(AND(F139&gt;0.0000001,I139&gt;0.0000001),"双指标下降",IF(OR(F139&lt;-0.0000001,I139&lt;-0.0000001),"至少一项增加","持平或单项下降"))</x:f>
        <x:v>持平或单项下降</x:v>
      </x:c>
    </x:row>
    <x:row r="140" ht="24" customHeight="1">
      <x:c r="A140" s="2" t="str">
        <x:v>Security</x:v>
      </x:c>
      <x:c r="B140" s="2" t="n">
        <x:v>10</x:v>
      </x:c>
      <x:c r="C140" s="2" t="str">
        <x:v>Aurora</x:v>
      </x:c>
      <x:c r="D140" s="15" t="n">
        <x:v>84.90057875764339</x:v>
      </x:c>
      <x:c r="E140" s="16" t="n">
        <x:v>84.9302949110946</x:v>
      </x:c>
      <x:c r="F140" s="17" t="n">
        <x:f>(D140-E140)/D140</x:f>
        <x:v>-0.00035001119999483163</x:v>
      </x:c>
      <x:c r="G140" s="15" t="n">
        <x:v>4.551266480373219</x:v>
      </x:c>
      <x:c r="H140" s="16" t="n">
        <x:v>4.554338923282301</x:v>
      </x:c>
      <x:c r="I140" s="17" t="n">
        <x:f>(G140-H140)/G140</x:f>
        <x:v>-0.0006750742726956986</x:v>
      </x:c>
      <x:c r="J140" s="14" t="n">
        <x:v>1</x:v>
      </x:c>
      <x:c r="K140" s="2" t="str">
        <x:f>IF(AND(F140&gt;0.0000001,I140&gt;0.0000001),"双指标下降",IF(OR(F140&lt;-0.0000001,I140&lt;-0.0000001),"至少一项增加","持平或单项下降"))</x:f>
        <x:v>至少一项增加</x:v>
      </x:c>
    </x:row>
    <x:row r="141" ht="24" customHeight="1">
      <x:c r="A141" s="2" t="str">
        <x:v>Security</x:v>
      </x:c>
      <x:c r="B141" s="2" t="n">
        <x:v>12</x:v>
      </x:c>
      <x:c r="C141" s="2" t="str">
        <x:v>TaTS</x:v>
      </x:c>
      <x:c r="D141" s="15" t="n">
        <x:v>80.98327342565297</x:v>
      </x:c>
      <x:c r="E141" s="16" t="n">
        <x:v>80.98327342565297</x:v>
      </x:c>
      <x:c r="F141" s="17" t="n">
        <x:f>(D141-E141)/D141</x:f>
        <x:v>0</x:v>
      </x:c>
      <x:c r="G141" s="15" t="n">
        <x:v>4.631983135304633</x:v>
      </x:c>
      <x:c r="H141" s="16" t="n">
        <x:v>4.631983135304633</x:v>
      </x:c>
      <x:c r="I141" s="17" t="n">
        <x:f>(G141-H141)/G141</x:f>
        <x:v>0</x:v>
      </x:c>
      <x:c r="J141" s="14" t="n">
        <x:v>0</x:v>
      </x:c>
      <x:c r="K141" s="2" t="str">
        <x:f>IF(AND(F141&gt;0.0000001,I141&gt;0.0000001),"双指标下降",IF(OR(F141&lt;-0.0000001,I141&lt;-0.0000001),"至少一项增加","持平或单项下降"))</x:f>
        <x:v>持平或单项下降</x:v>
      </x:c>
    </x:row>
    <x:row r="142" ht="24" customHeight="1">
      <x:c r="A142" s="2" t="str">
        <x:v>Security</x:v>
      </x:c>
      <x:c r="B142" s="2" t="n">
        <x:v>12</x:v>
      </x:c>
      <x:c r="C142" s="2" t="str">
        <x:v>MM-TSFlib</x:v>
      </x:c>
      <x:c r="D142" s="15" t="n">
        <x:v>96.64963786673496</x:v>
      </x:c>
      <x:c r="E142" s="16" t="n">
        <x:v>96.49813117656886</x:v>
      </x:c>
      <x:c r="F142" s="17" t="n">
        <x:f>(D142-E142)/D142</x:f>
        <x:v>0.0015675867340031427</x:v>
      </x:c>
      <x:c r="G142" s="15" t="n">
        <x:v>5.996091651229411</x:v>
      </x:c>
      <x:c r="H142" s="16" t="n">
        <x:v>5.981648408568145</x:v>
      </x:c>
      <x:c r="I142" s="17" t="n">
        <x:f>(G142-H142)/G142</x:f>
        <x:v>0.0024087761664390024</x:v>
      </x:c>
      <x:c r="J142" s="14" t="n">
        <x:v>1</x:v>
      </x:c>
      <x:c r="K142" s="2" t="str">
        <x:f>IF(AND(F142&gt;0.0000001,I142&gt;0.0000001),"双指标下降",IF(OR(F142&lt;-0.0000001,I142&lt;-0.0000001),"至少一项增加","持平或单项下降"))</x:f>
        <x:v>双指标下降</x:v>
      </x:c>
    </x:row>
    <x:row r="143" ht="24" customHeight="1">
      <x:c r="A143" s="2" t="str">
        <x:v>Security</x:v>
      </x:c>
      <x:c r="B143" s="2" t="n">
        <x:v>12</x:v>
      </x:c>
      <x:c r="C143" s="2" t="str">
        <x:v>SpecTF</x:v>
      </x:c>
      <x:c r="D143" s="15" t="n">
        <x:v>78.07562570941445</x:v>
      </x:c>
      <x:c r="E143" s="16" t="n">
        <x:v>78.07562570941445</x:v>
      </x:c>
      <x:c r="F143" s="17" t="n">
        <x:f>(D143-E143)/D143</x:f>
        <x:v>0</x:v>
      </x:c>
      <x:c r="G143" s="15" t="n">
        <x:v>4.343691432009412</x:v>
      </x:c>
      <x:c r="H143" s="16" t="n">
        <x:v>4.343691432009412</x:v>
      </x:c>
      <x:c r="I143" s="17" t="n">
        <x:f>(G143-H143)/G143</x:f>
        <x:v>0</x:v>
      </x:c>
      <x:c r="J143" s="14" t="n">
        <x:v>0</x:v>
      </x:c>
      <x:c r="K143" s="2" t="str">
        <x:f>IF(AND(F143&gt;0.0000001,I143&gt;0.0000001),"双指标下降",IF(OR(F143&lt;-0.0000001,I143&lt;-0.0000001),"至少一项增加","持平或单项下降"))</x:f>
        <x:v>持平或单项下降</x:v>
      </x:c>
    </x:row>
    <x:row r="144" ht="24" customHeight="1">
      <x:c r="A144" s="2" t="str">
        <x:v>Security</x:v>
      </x:c>
      <x:c r="B144" s="2" t="n">
        <x:v>12</x:v>
      </x:c>
      <x:c r="C144" s="2" t="str">
        <x:v>CFA</x:v>
      </x:c>
      <x:c r="D144" s="15" t="n">
        <x:v>101.22611710260571</x:v>
      </x:c>
      <x:c r="E144" s="16" t="n">
        <x:v>101.2261170885544</x:v>
      </x:c>
      <x:c r="F144" s="17" t="n">
        <x:f>(D144-E144)/D144</x:f>
        <x:v>1.3881110776057544e-10</x:v>
      </x:c>
      <x:c r="G144" s="15" t="n">
        <x:v>5.842459637763871</x:v>
      </x:c>
      <x:c r="H144" s="16" t="n">
        <x:v>5.8424596370265744</x:v>
      </x:c>
      <x:c r="I144" s="17" t="n">
        <x:f>(G144-H144)/G144</x:f>
        <x:v>1.2619624128041018e-10</x:v>
      </x:c>
      <x:c r="J144" s="14" t="n">
        <x:v>0</x:v>
      </x:c>
      <x:c r="K144" s="2" t="str">
        <x:f>IF(AND(F144&gt;0.0000001,I144&gt;0.0000001),"双指标下降",IF(OR(F144&lt;-0.0000001,I144&lt;-0.0000001),"至少一项增加","持平或单项下降"))</x:f>
        <x:v>持平或单项下降</x:v>
      </x:c>
    </x:row>
    <x:row r="145" ht="24" customHeight="1">
      <x:c r="A145" s="2" t="str">
        <x:v>Security</x:v>
      </x:c>
      <x:c r="B145" s="2" t="n">
        <x:v>12</x:v>
      </x:c>
      <x:c r="C145" s="2" t="str">
        <x:v>Aurora</x:v>
      </x:c>
      <x:c r="D145" s="15" t="n">
        <x:v>89.22429087175277</x:v>
      </x:c>
      <x:c r="E145" s="16" t="n">
        <x:v>89.2499523393779</x:v>
      </x:c>
      <x:c r="F145" s="17" t="n">
        <x:f>(D145-E145)/D145</x:f>
        <x:v>-0.00028760629391845943</x:v>
      </x:c>
      <x:c r="G145" s="15" t="n">
        <x:v>4.707309610690572</x:v>
      </x:c>
      <x:c r="H145" s="16" t="n">
        <x:v>4.710177293570639</x:v>
      </x:c>
      <x:c r="I145" s="17" t="n">
        <x:f>(G145-H145)/G145</x:f>
        <x:v>-0.0006091978470151555</x:v>
      </x:c>
      <x:c r="J145" s="14" t="n">
        <x:v>1</x:v>
      </x:c>
      <x:c r="K145" s="2" t="str">
        <x:f>IF(AND(F145&gt;0.0000001,I145&gt;0.0000001),"双指标下降",IF(OR(F145&lt;-0.0000001,I145&lt;-0.0000001),"至少一项增加","持平或单项下降"))</x:f>
        <x:v>至少一项增加</x:v>
      </x:c>
    </x:row>
    <x:row r="146" ht="24" customHeight="1">
      <x:c r="A146" s="2" t="str">
        <x:v>SocialGood</x:v>
      </x:c>
      <x:c r="B146" s="2" t="n">
        <x:v>6</x:v>
      </x:c>
      <x:c r="C146" s="2" t="str">
        <x:v>TaTS</x:v>
      </x:c>
      <x:c r="D146" s="15" t="n">
        <x:v>1.064878293277627</x:v>
      </x:c>
      <x:c r="E146" s="16" t="n">
        <x:v>1.052210764085452</x:v>
      </x:c>
      <x:c r="F146" s="17" t="n">
        <x:f>(D146-E146)/D146</x:f>
        <x:v>0.011895753037828494</x:v>
      </x:c>
      <x:c r="G146" s="15" t="n">
        <x:v>0.6525321386822702</x:v>
      </x:c>
      <x:c r="H146" s="16" t="n">
        <x:v>0.6469728833813024</x:v>
      </x:c>
      <x:c r="I146" s="17" t="n">
        <x:f>(G146-H146)/G146</x:f>
        <x:v>0.008519511869858557</x:v>
      </x:c>
      <x:c r="J146" s="14" t="n">
        <x:v>1</x:v>
      </x:c>
      <x:c r="K146" s="2" t="str">
        <x:f>IF(AND(F146&gt;0.0000001,I146&gt;0.0000001),"双指标下降",IF(OR(F146&lt;-0.0000001,I146&lt;-0.0000001),"至少一项增加","持平或单项下降"))</x:f>
        <x:v>双指标下降</x:v>
      </x:c>
    </x:row>
    <x:row r="147" ht="24" customHeight="1">
      <x:c r="A147" s="2" t="str">
        <x:v>SocialGood</x:v>
      </x:c>
      <x:c r="B147" s="2" t="n">
        <x:v>6</x:v>
      </x:c>
      <x:c r="C147" s="2" t="str">
        <x:v>MM-TSFlib</x:v>
      </x:c>
      <x:c r="D147" s="15" t="n">
        <x:v>0.7169099234673274</x:v>
      </x:c>
      <x:c r="E147" s="16" t="n">
        <x:v>0.7169099234673274</x:v>
      </x:c>
      <x:c r="F147" s="17" t="n">
        <x:f>(D147-E147)/D147</x:f>
        <x:v>0</x:v>
      </x:c>
      <x:c r="G147" s="15" t="n">
        <x:v>0.4204102437799664</x:v>
      </x:c>
      <x:c r="H147" s="16" t="n">
        <x:v>0.4204102437799664</x:v>
      </x:c>
      <x:c r="I147" s="17" t="n">
        <x:f>(G147-H147)/G147</x:f>
        <x:v>0</x:v>
      </x:c>
      <x:c r="J147" s="14" t="n">
        <x:v>0</x:v>
      </x:c>
      <x:c r="K147" s="2" t="str">
        <x:f>IF(AND(F147&gt;0.0000001,I147&gt;0.0000001),"双指标下降",IF(OR(F147&lt;-0.0000001,I147&lt;-0.0000001),"至少一项增加","持平或单项下降"))</x:f>
        <x:v>持平或单项下降</x:v>
      </x:c>
    </x:row>
    <x:row r="148" ht="24" customHeight="1">
      <x:c r="A148" s="2" t="str">
        <x:v>SocialGood</x:v>
      </x:c>
      <x:c r="B148" s="2" t="n">
        <x:v>6</x:v>
      </x:c>
      <x:c r="C148" s="2" t="str">
        <x:v>SpecTF</x:v>
      </x:c>
      <x:c r="D148" s="15" t="n">
        <x:v>0.9929525026766165</x:v>
      </x:c>
      <x:c r="E148" s="16" t="n">
        <x:v>0.9929525026766165</x:v>
      </x:c>
      <x:c r="F148" s="17" t="n">
        <x:f>(D148-E148)/D148</x:f>
        <x:v>0</x:v>
      </x:c>
      <x:c r="G148" s="15" t="n">
        <x:v>0.41201256257147656</x:v>
      </x:c>
      <x:c r="H148" s="16" t="n">
        <x:v>0.41201256257147656</x:v>
      </x:c>
      <x:c r="I148" s="17" t="n">
        <x:f>(G148-H148)/G148</x:f>
        <x:v>0</x:v>
      </x:c>
      <x:c r="J148" s="14" t="n">
        <x:v>0</x:v>
      </x:c>
      <x:c r="K148" s="2" t="str">
        <x:f>IF(AND(F148&gt;0.0000001,I148&gt;0.0000001),"双指标下降",IF(OR(F148&lt;-0.0000001,I148&lt;-0.0000001),"至少一项增加","持平或单项下降"))</x:f>
        <x:v>持平或单项下降</x:v>
      </x:c>
    </x:row>
    <x:row r="149" ht="24" customHeight="1">
      <x:c r="A149" s="2" t="str">
        <x:v>SocialGood</x:v>
      </x:c>
      <x:c r="B149" s="2" t="n">
        <x:v>6</x:v>
      </x:c>
      <x:c r="C149" s="2" t="str">
        <x:v>CFA</x:v>
      </x:c>
      <x:c r="D149" s="15" t="n">
        <x:v>0.9942550612647435</x:v>
      </x:c>
      <x:c r="E149" s="16" t="n">
        <x:v>0.9942550612647435</x:v>
      </x:c>
      <x:c r="F149" s="17" t="n">
        <x:f>(D149-E149)/D149</x:f>
        <x:v>0</x:v>
      </x:c>
      <x:c r="G149" s="15" t="n">
        <x:v>0.4034629328022056</x:v>
      </x:c>
      <x:c r="H149" s="16" t="n">
        <x:v>0.40346293280220563</x:v>
      </x:c>
      <x:c r="I149" s="17" t="n">
        <x:f>(G149-H149)/G149</x:f>
        <x:v>-1.3758674395615847e-16</x:v>
      </x:c>
      <x:c r="J149" s="14" t="n">
        <x:v>0</x:v>
      </x:c>
      <x:c r="K149" s="2" t="str">
        <x:f>IF(AND(F149&gt;0.0000001,I149&gt;0.0000001),"双指标下降",IF(OR(F149&lt;-0.0000001,I149&lt;-0.0000001),"至少一项增加","持平或单项下降"))</x:f>
        <x:v>持平或单项下降</x:v>
      </x:c>
    </x:row>
    <x:row r="150" ht="24" customHeight="1">
      <x:c r="A150" s="2" t="str">
        <x:v>SocialGood</x:v>
      </x:c>
      <x:c r="B150" s="2" t="n">
        <x:v>6</x:v>
      </x:c>
      <x:c r="C150" s="2" t="str">
        <x:v>Aurora</x:v>
      </x:c>
      <x:c r="D150" s="15" t="n">
        <x:v>1.6768303961171411</x:v>
      </x:c>
      <x:c r="E150" s="16" t="n">
        <x:v>1.5137062200687357</x:v>
      </x:c>
      <x:c r="F150" s="17" t="n">
        <x:f>(D150-E150)/D150</x:f>
        <x:v>0.09728126137630548</x:v>
      </x:c>
      <x:c r="G150" s="15" t="n">
        <x:v>0.8500577690591676</x:v>
      </x:c>
      <x:c r="H150" s="16" t="n">
        <x:v>0.7635158045288725</x:v>
      </x:c>
      <x:c r="I150" s="17" t="n">
        <x:f>(G150-H150)/G150</x:f>
        <x:v>0.10180715673721638</x:v>
      </x:c>
      <x:c r="J150" s="14" t="n">
        <x:v>2</x:v>
      </x:c>
      <x:c r="K150" s="2" t="str">
        <x:f>IF(AND(F150&gt;0.0000001,I150&gt;0.0000001),"双指标下降",IF(OR(F150&lt;-0.0000001,I150&lt;-0.0000001),"至少一项增加","持平或单项下降"))</x:f>
        <x:v>双指标下降</x:v>
      </x:c>
    </x:row>
    <x:row r="151" ht="24" customHeight="1">
      <x:c r="A151" s="2" t="str">
        <x:v>SocialGood</x:v>
      </x:c>
      <x:c r="B151" s="2" t="n">
        <x:v>8</x:v>
      </x:c>
      <x:c r="C151" s="2" t="str">
        <x:v>TaTS</x:v>
      </x:c>
      <x:c r="D151" s="15" t="n">
        <x:v>1.1622191062566747</x:v>
      </x:c>
      <x:c r="E151" s="16" t="n">
        <x:v>1.1248593306204697</x:v>
      </x:c>
      <x:c r="F151" s="17" t="n">
        <x:f>(D151-E151)/D151</x:f>
        <x:v>0.03214520862295487</x:v>
      </x:c>
      <x:c r="G151" s="15" t="n">
        <x:v>0.6840515832269662</x:v>
      </x:c>
      <x:c r="H151" s="16" t="n">
        <x:v>0.6635498556875888</x:v>
      </x:c>
      <x:c r="I151" s="17" t="n">
        <x:f>(G151-H151)/G151</x:f>
        <x:v>0.029971025639122</x:v>
      </x:c>
      <x:c r="J151" s="14" t="n">
        <x:v>1</x:v>
      </x:c>
      <x:c r="K151" s="2" t="str">
        <x:f>IF(AND(F151&gt;0.0000001,I151&gt;0.0000001),"双指标下降",IF(OR(F151&lt;-0.0000001,I151&lt;-0.0000001),"至少一项增加","持平或单项下降"))</x:f>
        <x:v>双指标下降</x:v>
      </x:c>
    </x:row>
    <x:row r="152" ht="24" customHeight="1">
      <x:c r="A152" s="2" t="str">
        <x:v>SocialGood</x:v>
      </x:c>
      <x:c r="B152" s="2" t="n">
        <x:v>8</x:v>
      </x:c>
      <x:c r="C152" s="2" t="str">
        <x:v>MM-TSFlib</x:v>
      </x:c>
      <x:c r="D152" s="15" t="n">
        <x:v>0.845313280627705</x:v>
      </x:c>
      <x:c r="E152" s="16" t="n">
        <x:v>0.845313280627705</x:v>
      </x:c>
      <x:c r="F152" s="17" t="n">
        <x:f>(D152-E152)/D152</x:f>
        <x:v>0</x:v>
      </x:c>
      <x:c r="G152" s="15" t="n">
        <x:v>0.47276163831566276</x:v>
      </x:c>
      <x:c r="H152" s="16" t="n">
        <x:v>0.47276163831566276</x:v>
      </x:c>
      <x:c r="I152" s="17" t="n">
        <x:f>(G152-H152)/G152</x:f>
        <x:v>0</x:v>
      </x:c>
      <x:c r="J152" s="14" t="n">
        <x:v>0</x:v>
      </x:c>
      <x:c r="K152" s="2" t="str">
        <x:f>IF(AND(F152&gt;0.0000001,I152&gt;0.0000001),"双指标下降",IF(OR(F152&lt;-0.0000001,I152&lt;-0.0000001),"至少一项增加","持平或单项下降"))</x:f>
        <x:v>持平或单项下降</x:v>
      </x:c>
    </x:row>
    <x:row r="153" ht="24" customHeight="1">
      <x:c r="A153" s="2" t="str">
        <x:v>SocialGood</x:v>
      </x:c>
      <x:c r="B153" s="2" t="n">
        <x:v>8</x:v>
      </x:c>
      <x:c r="C153" s="2" t="str">
        <x:v>SpecTF</x:v>
      </x:c>
      <x:c r="D153" s="15" t="n">
        <x:v>1.0952617932062743</x:v>
      </x:c>
      <x:c r="E153" s="16" t="n">
        <x:v>1.0952617932247752</x:v>
      </x:c>
      <x:c r="F153" s="17" t="n">
        <x:f>(D153-E153)/D153</x:f>
        <x:v>-1.6891832292258352e-11</x:v>
      </x:c>
      <x:c r="G153" s="15" t="n">
        <x:v>0.446760548192314</x:v>
      </x:c>
      <x:c r="H153" s="16" t="n">
        <x:v>0.44676054820329175</x:v>
      </x:c>
      <x:c r="I153" s="17" t="n">
        <x:f>(G153-H153)/G153</x:f>
        <x:v>-2.457194192640653e-11</x:v>
      </x:c>
      <x:c r="J153" s="14" t="n">
        <x:v>0</x:v>
      </x:c>
      <x:c r="K153" s="2" t="str">
        <x:f>IF(AND(F153&gt;0.0000001,I153&gt;0.0000001),"双指标下降",IF(OR(F153&lt;-0.0000001,I153&lt;-0.0000001),"至少一项增加","持平或单项下降"))</x:f>
        <x:v>持平或单项下降</x:v>
      </x:c>
    </x:row>
    <x:row r="154" ht="24" customHeight="1">
      <x:c r="A154" s="2" t="str">
        <x:v>SocialGood</x:v>
      </x:c>
      <x:c r="B154" s="2" t="n">
        <x:v>8</x:v>
      </x:c>
      <x:c r="C154" s="2" t="str">
        <x:v>CFA</x:v>
      </x:c>
      <x:c r="D154" s="15" t="n">
        <x:v>0.8982351742735893</x:v>
      </x:c>
      <x:c r="E154" s="16" t="n">
        <x:v>0.8982351742873981</x:v>
      </x:c>
      <x:c r="F154" s="17" t="n">
        <x:f>(D154-E154)/D154</x:f>
        <x:v>-1.5373181023388463e-11</x:v>
      </x:c>
      <x:c r="G154" s="15" t="n">
        <x:v>0.40577075217594527</x:v>
      </x:c>
      <x:c r="H154" s="16" t="n">
        <x:v>0.40577075218632735</x:v>
      </x:c>
      <x:c r="I154" s="17" t="n">
        <x:f>(G154-H154)/G154</x:f>
        <x:v>-2.5586082845189167e-11</x:v>
      </x:c>
      <x:c r="J154" s="14" t="n">
        <x:v>0</x:v>
      </x:c>
      <x:c r="K154" s="2" t="str">
        <x:f>IF(AND(F154&gt;0.0000001,I154&gt;0.0000001),"双指标下降",IF(OR(F154&lt;-0.0000001,I154&lt;-0.0000001),"至少一项增加","持平或单项下降"))</x:f>
        <x:v>持平或单项下降</x:v>
      </x:c>
    </x:row>
    <x:row r="155" ht="24" customHeight="1">
      <x:c r="A155" s="2" t="str">
        <x:v>SocialGood</x:v>
      </x:c>
      <x:c r="B155" s="2" t="n">
        <x:v>8</x:v>
      </x:c>
      <x:c r="C155" s="2" t="str">
        <x:v>Aurora</x:v>
      </x:c>
      <x:c r="D155" s="15" t="n">
        <x:v>1.787518923563987</x:v>
      </x:c>
      <x:c r="E155" s="16" t="n">
        <x:v>1.6569579642730847</x:v>
      </x:c>
      <x:c r="F155" s="17" t="n">
        <x:f>(D155-E155)/D155</x:f>
        <x:v>0.07304032285744283</x:v>
      </x:c>
      <x:c r="G155" s="15" t="n">
        <x:v>0.8869289833702908</x:v>
      </x:c>
      <x:c r="H155" s="16" t="n">
        <x:v>0.8236716486423467</x:v>
      </x:c>
      <x:c r="I155" s="17" t="n">
        <x:f>(G155-H155)/G155</x:f>
        <x:v>0.07132175846545129</x:v>
      </x:c>
      <x:c r="J155" s="14" t="n">
        <x:v>2</x:v>
      </x:c>
      <x:c r="K155" s="2" t="str">
        <x:f>IF(AND(F155&gt;0.0000001,I155&gt;0.0000001),"双指标下降",IF(OR(F155&lt;-0.0000001,I155&lt;-0.0000001),"至少一项增加","持平或单项下降"))</x:f>
        <x:v>双指标下降</x:v>
      </x:c>
    </x:row>
    <x:row r="156" ht="24" customHeight="1">
      <x:c r="A156" s="2" t="str">
        <x:v>SocialGood</x:v>
      </x:c>
      <x:c r="B156" s="2" t="n">
        <x:v>10</x:v>
      </x:c>
      <x:c r="C156" s="2" t="str">
        <x:v>TaTS</x:v>
      </x:c>
      <x:c r="D156" s="15" t="n">
        <x:v>1.2931527146674995</x:v>
      </x:c>
      <x:c r="E156" s="16" t="n">
        <x:v>1.1589708763370536</x:v>
      </x:c>
      <x:c r="F156" s="17" t="n">
        <x:f>(D156-E156)/D156</x:f>
        <x:v>0.10376333499400123</x:v>
      </x:c>
      <x:c r="G156" s="15" t="n">
        <x:v>0.7389791462934141</x:v>
      </x:c>
      <x:c r="H156" s="16" t="n">
        <x:v>0.6753496507168023</x:v>
      </x:c>
      <x:c r="I156" s="17" t="n">
        <x:f>(G156-H156)/G156</x:f>
        <x:v>0.08610458887204848</x:v>
      </x:c>
      <x:c r="J156" s="14" t="n">
        <x:v>3</x:v>
      </x:c>
      <x:c r="K156" s="2" t="str">
        <x:f>IF(AND(F156&gt;0.0000001,I156&gt;0.0000001),"双指标下降",IF(OR(F156&lt;-0.0000001,I156&lt;-0.0000001),"至少一项增加","持平或单项下降"))</x:f>
        <x:v>双指标下降</x:v>
      </x:c>
    </x:row>
    <x:row r="157" ht="24" customHeight="1">
      <x:c r="A157" s="2" t="str">
        <x:v>SocialGood</x:v>
      </x:c>
      <x:c r="B157" s="2" t="n">
        <x:v>10</x:v>
      </x:c>
      <x:c r="C157" s="2" t="str">
        <x:v>MM-TSFlib</x:v>
      </x:c>
      <x:c r="D157" s="15" t="n">
        <x:v>0.8738624749434614</x:v>
      </x:c>
      <x:c r="E157" s="16" t="n">
        <x:v>0.8738624749434614</x:v>
      </x:c>
      <x:c r="F157" s="17" t="n">
        <x:f>(D157-E157)/D157</x:f>
        <x:v>0</x:v>
      </x:c>
      <x:c r="G157" s="15" t="n">
        <x:v>0.4942628199982694</x:v>
      </x:c>
      <x:c r="H157" s="16" t="n">
        <x:v>0.49426281999826943</x:v>
      </x:c>
      <x:c r="I157" s="17" t="n">
        <x:f>(G157-H157)/G157</x:f>
        <x:v>-1.12310999300842e-16</x:v>
      </x:c>
      <x:c r="J157" s="14" t="n">
        <x:v>0</x:v>
      </x:c>
      <x:c r="K157" s="2" t="str">
        <x:f>IF(AND(F157&gt;0.0000001,I157&gt;0.0000001),"双指标下降",IF(OR(F157&lt;-0.0000001,I157&lt;-0.0000001),"至少一项增加","持平或单项下降"))</x:f>
        <x:v>持平或单项下降</x:v>
      </x:c>
    </x:row>
    <x:row r="158" ht="24" customHeight="1">
      <x:c r="A158" s="2" t="str">
        <x:v>SocialGood</x:v>
      </x:c>
      <x:c r="B158" s="2" t="n">
        <x:v>10</x:v>
      </x:c>
      <x:c r="C158" s="2" t="str">
        <x:v>SpecTF</x:v>
      </x:c>
      <x:c r="D158" s="15" t="n">
        <x:v>1.3973327760600354</x:v>
      </x:c>
      <x:c r="E158" s="16" t="n">
        <x:v>1.3973327760600354</x:v>
      </x:c>
      <x:c r="F158" s="17" t="n">
        <x:f>(D158-E158)/D158</x:f>
        <x:v>0</x:v>
      </x:c>
      <x:c r="G158" s="15" t="n">
        <x:v>0.5299950604018419</x:v>
      </x:c>
      <x:c r="H158" s="16" t="n">
        <x:v>0.5299950604018419</x:v>
      </x:c>
      <x:c r="I158" s="17" t="n">
        <x:f>(G158-H158)/G158</x:f>
        <x:v>0</x:v>
      </x:c>
      <x:c r="J158" s="14" t="n">
        <x:v>0</x:v>
      </x:c>
      <x:c r="K158" s="2" t="str">
        <x:f>IF(AND(F158&gt;0.0000001,I158&gt;0.0000001),"双指标下降",IF(OR(F158&lt;-0.0000001,I158&lt;-0.0000001),"至少一项增加","持平或单项下降"))</x:f>
        <x:v>持平或单项下降</x:v>
      </x:c>
    </x:row>
    <x:row r="159" ht="24" customHeight="1">
      <x:c r="A159" s="2" t="str">
        <x:v>SocialGood</x:v>
      </x:c>
      <x:c r="B159" s="2" t="n">
        <x:v>10</x:v>
      </x:c>
      <x:c r="C159" s="2" t="str">
        <x:v>CFA</x:v>
      </x:c>
      <x:c r="D159" s="15" t="n">
        <x:v>0.9862629560847868</x:v>
      </x:c>
      <x:c r="E159" s="16" t="n">
        <x:v>0.9862629560847868</x:v>
      </x:c>
      <x:c r="F159" s="17" t="n">
        <x:f>(D159-E159)/D159</x:f>
        <x:v>0</x:v>
      </x:c>
      <x:c r="G159" s="15" t="n">
        <x:v>0.448480175912777</x:v>
      </x:c>
      <x:c r="H159" s="16" t="n">
        <x:v>0.448480175912777</x:v>
      </x:c>
      <x:c r="I159" s="17" t="n">
        <x:f>(G159-H159)/G159</x:f>
        <x:v>0</x:v>
      </x:c>
      <x:c r="J159" s="14" t="n">
        <x:v>0</x:v>
      </x:c>
      <x:c r="K159" s="2" t="str">
        <x:f>IF(AND(F159&gt;0.0000001,I159&gt;0.0000001),"双指标下降",IF(OR(F159&lt;-0.0000001,I159&lt;-0.0000001),"至少一项增加","持平或单项下降"))</x:f>
        <x:v>持平或单项下降</x:v>
      </x:c>
    </x:row>
    <x:row r="160" ht="24" customHeight="1">
      <x:c r="A160" s="2" t="str">
        <x:v>SocialGood</x:v>
      </x:c>
      <x:c r="B160" s="2" t="n">
        <x:v>10</x:v>
      </x:c>
      <x:c r="C160" s="2" t="str">
        <x:v>Aurora</x:v>
      </x:c>
      <x:c r="D160" s="15" t="n">
        <x:v>1.8458122988986667</x:v>
      </x:c>
      <x:c r="E160" s="16" t="n">
        <x:v>1.845812298898667</x:v>
      </x:c>
      <x:c r="F160" s="17" t="n">
        <x:f>(D160-E160)/D160</x:f>
        <x:v>-1.2029641641109324e-16</x:v>
      </x:c>
      <x:c r="G160" s="15" t="n">
        <x:v>0.9116577562991083</x:v>
      </x:c>
      <x:c r="H160" s="16" t="n">
        <x:v>0.9116577562991083</x:v>
      </x:c>
      <x:c r="I160" s="17" t="n">
        <x:f>(G160-H160)/G160</x:f>
        <x:v>0</x:v>
      </x:c>
      <x:c r="J160" s="14" t="n">
        <x:v>0</x:v>
      </x:c>
      <x:c r="K160" s="2" t="str">
        <x:f>IF(AND(F160&gt;0.0000001,I160&gt;0.0000001),"双指标下降",IF(OR(F160&lt;-0.0000001,I160&lt;-0.0000001),"至少一项增加","持平或单项下降"))</x:f>
        <x:v>持平或单项下降</x:v>
      </x:c>
    </x:row>
    <x:row r="161" ht="24" customHeight="1">
      <x:c r="A161" s="2" t="str">
        <x:v>SocialGood</x:v>
      </x:c>
      <x:c r="B161" s="2" t="n">
        <x:v>12</x:v>
      </x:c>
      <x:c r="C161" s="2" t="str">
        <x:v>TaTS</x:v>
      </x:c>
      <x:c r="D161" s="15" t="n">
        <x:v>1.322838435281429</x:v>
      </x:c>
      <x:c r="E161" s="16" t="n">
        <x:v>1.322838435281429</x:v>
      </x:c>
      <x:c r="F161" s="17" t="n">
        <x:f>(D161-E161)/D161</x:f>
        <x:v>0</x:v>
      </x:c>
      <x:c r="G161" s="15" t="n">
        <x:v>0.7108686566817576</x:v>
      </x:c>
      <x:c r="H161" s="16" t="n">
        <x:v>0.7108686566817576</x:v>
      </x:c>
      <x:c r="I161" s="17" t="n">
        <x:f>(G161-H161)/G161</x:f>
        <x:v>0</x:v>
      </x:c>
      <x:c r="J161" s="14" t="n">
        <x:v>0</x:v>
      </x:c>
      <x:c r="K161" s="2" t="str">
        <x:f>IF(AND(F161&gt;0.0000001,I161&gt;0.0000001),"双指标下降",IF(OR(F161&lt;-0.0000001,I161&lt;-0.0000001),"至少一项增加","持平或单项下降"))</x:f>
        <x:v>持平或单项下降</x:v>
      </x:c>
    </x:row>
    <x:row r="162" ht="24" customHeight="1">
      <x:c r="A162" s="2" t="str">
        <x:v>SocialGood</x:v>
      </x:c>
      <x:c r="B162" s="2" t="n">
        <x:v>12</x:v>
      </x:c>
      <x:c r="C162" s="2" t="str">
        <x:v>MM-TSFlib</x:v>
      </x:c>
      <x:c r="D162" s="15" t="n">
        <x:v>0.9595029697920977</x:v>
      </x:c>
      <x:c r="E162" s="16" t="n">
        <x:v>0.9599376492941004</x:v>
      </x:c>
      <x:c r="F162" s="17" t="n">
        <x:f>(D162-E162)/D162</x:f>
        <x:v>-0.00045302569735338665</x:v>
      </x:c>
      <x:c r="G162" s="15" t="n">
        <x:v>0.5390425408569243</x:v>
      </x:c>
      <x:c r="H162" s="16" t="n">
        <x:v>0.5399344245786546</x:v>
      </x:c>
      <x:c r="I162" s="17" t="n">
        <x:f>(G162-H162)/G162</x:f>
        <x:v>-0.0016545701946129947</x:v>
      </x:c>
      <x:c r="J162" s="14" t="n">
        <x:v>1</x:v>
      </x:c>
      <x:c r="K162" s="2" t="str">
        <x:f>IF(AND(F162&gt;0.0000001,I162&gt;0.0000001),"双指标下降",IF(OR(F162&lt;-0.0000001,I162&lt;-0.0000001),"至少一项增加","持平或单项下降"))</x:f>
        <x:v>至少一项增加</x:v>
      </x:c>
    </x:row>
    <x:row r="163" ht="24" customHeight="1">
      <x:c r="A163" s="2" t="str">
        <x:v>SocialGood</x:v>
      </x:c>
      <x:c r="B163" s="2" t="n">
        <x:v>12</x:v>
      </x:c>
      <x:c r="C163" s="2" t="str">
        <x:v>SpecTF</x:v>
      </x:c>
      <x:c r="D163" s="15" t="n">
        <x:v>1.302310829209715</x:v>
      </x:c>
      <x:c r="E163" s="16" t="n">
        <x:v>1.302310829209715</x:v>
      </x:c>
      <x:c r="F163" s="17" t="n">
        <x:f>(D163-E163)/D163</x:f>
        <x:v>0</x:v>
      </x:c>
      <x:c r="G163" s="15" t="n">
        <x:v>0.5596722319171236</x:v>
      </x:c>
      <x:c r="H163" s="16" t="n">
        <x:v>0.5596722319171236</x:v>
      </x:c>
      <x:c r="I163" s="17" t="n">
        <x:f>(G163-H163)/G163</x:f>
        <x:v>0</x:v>
      </x:c>
      <x:c r="J163" s="14" t="n">
        <x:v>0</x:v>
      </x:c>
      <x:c r="K163" s="2" t="str">
        <x:f>IF(AND(F163&gt;0.0000001,I163&gt;0.0000001),"双指标下降",IF(OR(F163&lt;-0.0000001,I163&lt;-0.0000001),"至少一项增加","持平或单项下降"))</x:f>
        <x:v>持平或单项下降</x:v>
      </x:c>
    </x:row>
    <x:row r="164" ht="24" customHeight="1">
      <x:c r="A164" s="2" t="str">
        <x:v>SocialGood</x:v>
      </x:c>
      <x:c r="B164" s="2" t="n">
        <x:v>12</x:v>
      </x:c>
      <x:c r="C164" s="2" t="str">
        <x:v>CFA</x:v>
      </x:c>
      <x:c r="D164" s="15" t="n">
        <x:v>1.1426291047109751</x:v>
      </x:c>
      <x:c r="E164" s="16" t="n">
        <x:v>1.1426291047609711</x:v>
      </x:c>
      <x:c r="F164" s="17" t="n">
        <x:f>(D164-E164)/D164</x:f>
        <x:v>-4.375523704761245e-11</x:v>
      </x:c>
      <x:c r="G164" s="15" t="n">
        <x:v>0.4946390308919335</x:v>
      </x:c>
      <x:c r="H164" s="16" t="n">
        <x:v>0.4946390309060304</x:v>
      </x:c>
      <x:c r="I164" s="17" t="n">
        <x:f>(G164-H164)/G164</x:f>
        <x:v>-2.8499348901571127e-11</x:v>
      </x:c>
      <x:c r="J164" s="14" t="n">
        <x:v>0</x:v>
      </x:c>
      <x:c r="K164" s="2" t="str">
        <x:f>IF(AND(F164&gt;0.0000001,I164&gt;0.0000001),"双指标下降",IF(OR(F164&lt;-0.0000001,I164&lt;-0.0000001),"至少一项增加","持平或单项下降"))</x:f>
        <x:v>持平或单项下降</x:v>
      </x:c>
    </x:row>
    <x:row r="165" ht="24" customHeight="1">
      <x:c r="A165" s="2" t="str">
        <x:v>SocialGood</x:v>
      </x:c>
      <x:c r="B165" s="2" t="n">
        <x:v>12</x:v>
      </x:c>
      <x:c r="C165" s="2" t="str">
        <x:v>Aurora</x:v>
      </x:c>
      <x:c r="D165" s="15" t="n">
        <x:v>1.8754868897925865</x:v>
      </x:c>
      <x:c r="E165" s="16" t="n">
        <x:v>1.8754868897925865</x:v>
      </x:c>
      <x:c r="F165" s="17" t="n">
        <x:f>(D165-E165)/D165</x:f>
        <x:v>0</x:v>
      </x:c>
      <x:c r="G165" s="15" t="n">
        <x:v>0.9264776484421877</x:v>
      </x:c>
      <x:c r="H165" s="16" t="n">
        <x:v>0.9264776484421877</x:v>
      </x:c>
      <x:c r="I165" s="17" t="n">
        <x:f>(G165-H165)/G165</x:f>
        <x:v>0</x:v>
      </x:c>
      <x:c r="J165" s="14" t="n">
        <x:v>0</x:v>
      </x:c>
      <x:c r="K165" s="2" t="str">
        <x:f>IF(AND(F165&gt;0.0000001,I165&gt;0.0000001),"双指标下降",IF(OR(F165&lt;-0.0000001,I165&lt;-0.0000001),"至少一项增加","持平或单项下降"))</x:f>
        <x:v>持平或单项下降</x:v>
      </x:c>
    </x:row>
    <x:row r="166" ht="24" customHeight="1">
      <x:c r="A166" s="2" t="str">
        <x:v>Traffic</x:v>
      </x:c>
      <x:c r="B166" s="2" t="n">
        <x:v>6</x:v>
      </x:c>
      <x:c r="C166" s="2" t="str">
        <x:v>TaTS</x:v>
      </x:c>
      <x:c r="D166" s="15" t="n">
        <x:v>0.24723389000952123</x:v>
      </x:c>
      <x:c r="E166" s="16" t="n">
        <x:v>0.24723389000952123</x:v>
      </x:c>
      <x:c r="F166" s="17" t="n">
        <x:f>(D166-E166)/D166</x:f>
        <x:v>0</x:v>
      </x:c>
      <x:c r="G166" s="15" t="n">
        <x:v>0.2870771830821588</x:v>
      </x:c>
      <x:c r="H166" s="16" t="n">
        <x:v>0.2870771830821588</x:v>
      </x:c>
      <x:c r="I166" s="17" t="n">
        <x:f>(G166-H166)/G166</x:f>
        <x:v>0</x:v>
      </x:c>
      <x:c r="J166" s="14" t="n">
        <x:v>0</x:v>
      </x:c>
      <x:c r="K166" s="2" t="str">
        <x:f>IF(AND(F166&gt;0.0000001,I166&gt;0.0000001),"双指标下降",IF(OR(F166&lt;-0.0000001,I166&lt;-0.0000001),"至少一项增加","持平或单项下降"))</x:f>
        <x:v>持平或单项下降</x:v>
      </x:c>
    </x:row>
    <x:row r="167" ht="24" customHeight="1">
      <x:c r="A167" s="2" t="str">
        <x:v>Traffic</x:v>
      </x:c>
      <x:c r="B167" s="2" t="n">
        <x:v>6</x:v>
      </x:c>
      <x:c r="C167" s="2" t="str">
        <x:v>MM-TSFlib</x:v>
      </x:c>
      <x:c r="D167" s="15" t="n">
        <x:v>0.15184177843025573</x:v>
      </x:c>
      <x:c r="E167" s="16" t="n">
        <x:v>0.15184177843025573</x:v>
      </x:c>
      <x:c r="F167" s="17" t="n">
        <x:f>(D167-E167)/D167</x:f>
        <x:v>0</x:v>
      </x:c>
      <x:c r="G167" s="15" t="n">
        <x:v>0.2889693409401198</x:v>
      </x:c>
      <x:c r="H167" s="16" t="n">
        <x:v>0.2889693409401198</x:v>
      </x:c>
      <x:c r="I167" s="17" t="n">
        <x:f>(G167-H167)/G167</x:f>
        <x:v>0</x:v>
      </x:c>
      <x:c r="J167" s="14" t="n">
        <x:v>0</x:v>
      </x:c>
      <x:c r="K167" s="2" t="str">
        <x:f>IF(AND(F167&gt;0.0000001,I167&gt;0.0000001),"双指标下降",IF(OR(F167&lt;-0.0000001,I167&lt;-0.0000001),"至少一项增加","持平或单项下降"))</x:f>
        <x:v>持平或单项下降</x:v>
      </x:c>
    </x:row>
    <x:row r="168" ht="24" customHeight="1">
      <x:c r="A168" s="2" t="str">
        <x:v>Traffic</x:v>
      </x:c>
      <x:c r="B168" s="2" t="n">
        <x:v>6</x:v>
      </x:c>
      <x:c r="C168" s="2" t="str">
        <x:v>SpecTF</x:v>
      </x:c>
      <x:c r="D168" s="15" t="n">
        <x:v>0.16757848338838088</x:v>
      </x:c>
      <x:c r="E168" s="16" t="n">
        <x:v>0.16757848338838088</x:v>
      </x:c>
      <x:c r="F168" s="17" t="n">
        <x:f>(D168-E168)/D168</x:f>
        <x:v>0</x:v>
      </x:c>
      <x:c r="G168" s="15" t="n">
        <x:v>0.23199237465071598</x:v>
      </x:c>
      <x:c r="H168" s="16" t="n">
        <x:v>0.23199237465071598</x:v>
      </x:c>
      <x:c r="I168" s="17" t="n">
        <x:f>(G168-H168)/G168</x:f>
        <x:v>0</x:v>
      </x:c>
      <x:c r="J168" s="14" t="n">
        <x:v>0</x:v>
      </x:c>
      <x:c r="K168" s="2" t="str">
        <x:f>IF(AND(F168&gt;0.0000001,I168&gt;0.0000001),"双指标下降",IF(OR(F168&lt;-0.0000001,I168&lt;-0.0000001),"至少一项增加","持平或单项下降"))</x:f>
        <x:v>持平或单项下降</x:v>
      </x:c>
    </x:row>
    <x:row r="169" ht="24" customHeight="1">
      <x:c r="A169" s="2" t="str">
        <x:v>Traffic</x:v>
      </x:c>
      <x:c r="B169" s="2" t="n">
        <x:v>6</x:v>
      </x:c>
      <x:c r="C169" s="2" t="str">
        <x:v>CFA</x:v>
      </x:c>
      <x:c r="D169" s="15" t="n">
        <x:v>0.15811983108467015</x:v>
      </x:c>
      <x:c r="E169" s="16" t="n">
        <x:v>0.15614976557771107</x:v>
      </x:c>
      <x:c r="F169" s="17" t="n">
        <x:f>(D169-E169)/D169</x:f>
        <x:v>0.012459319577088002</x:v>
      </x:c>
      <x:c r="G169" s="15" t="n">
        <x:v>0.2111115239240942</x:v>
      </x:c>
      <x:c r="H169" s="16" t="n">
        <x:v>0.20742777669833046</x:v>
      </x:c>
      <x:c r="I169" s="17" t="n">
        <x:f>(G169-H169)/G169</x:f>
        <x:v>0.017449294843270888</x:v>
      </x:c>
      <x:c r="J169" s="14" t="n">
        <x:v>3</x:v>
      </x:c>
      <x:c r="K169" s="2" t="str">
        <x:f>IF(AND(F169&gt;0.0000001,I169&gt;0.0000001),"双指标下降",IF(OR(F169&lt;-0.0000001,I169&lt;-0.0000001),"至少一项增加","持平或单项下降"))</x:f>
        <x:v>双指标下降</x:v>
      </x:c>
    </x:row>
    <x:row r="170" ht="24" customHeight="1">
      <x:c r="A170" s="2" t="str">
        <x:v>Traffic</x:v>
      </x:c>
      <x:c r="B170" s="2" t="n">
        <x:v>6</x:v>
      </x:c>
      <x:c r="C170" s="2" t="str">
        <x:v>Aurora</x:v>
      </x:c>
      <x:c r="D170" s="15" t="n">
        <x:v>0.15602859012632012</x:v>
      </x:c>
      <x:c r="E170" s="16" t="n">
        <x:v>0.15602859012632012</x:v>
      </x:c>
      <x:c r="F170" s="17" t="n">
        <x:f>(D170-E170)/D170</x:f>
        <x:v>0</x:v>
      </x:c>
      <x:c r="G170" s="15" t="n">
        <x:v>0.23506494097583758</x:v>
      </x:c>
      <x:c r="H170" s="16" t="n">
        <x:v>0.23506494097583755</x:v>
      </x:c>
      <x:c r="I170" s="17" t="n">
        <x:f>(G170-H170)/G170</x:f>
        <x:v>1.1807620268852393e-16</x:v>
      </x:c>
      <x:c r="J170" s="14" t="n">
        <x:v>0</x:v>
      </x:c>
      <x:c r="K170" s="2" t="str">
        <x:f>IF(AND(F170&gt;0.0000001,I170&gt;0.0000001),"双指标下降",IF(OR(F170&lt;-0.0000001,I170&lt;-0.0000001),"至少一项增加","持平或单项下降"))</x:f>
        <x:v>持平或单项下降</x:v>
      </x:c>
    </x:row>
    <x:row r="171" ht="24" customHeight="1">
      <x:c r="A171" s="2" t="str">
        <x:v>Traffic</x:v>
      </x:c>
      <x:c r="B171" s="2" t="n">
        <x:v>8</x:v>
      </x:c>
      <x:c r="C171" s="2" t="str">
        <x:v>TaTS</x:v>
      </x:c>
      <x:c r="D171" s="15" t="n">
        <x:v>0.23876363465916217</x:v>
      </x:c>
      <x:c r="E171" s="16" t="n">
        <x:v>0.23695657762300826</x:v>
      </x:c>
      <x:c r="F171" s="17" t="n">
        <x:f>(D171-E171)/D171</x:f>
        <x:v>0.00756839306259309</x:v>
      </x:c>
      <x:c r="G171" s="15" t="n">
        <x:v>0.2842959060963958</x:v>
      </x:c>
      <x:c r="H171" s="16" t="n">
        <x:v>0.2837945288580275</x:v>
      </x:c>
      <x:c r="I171" s="17" t="n">
        <x:f>(G171-H171)/G171</x:f>
        <x:v>0.0017635753017081746</x:v>
      </x:c>
      <x:c r="J171" s="14" t="n">
        <x:v>2</x:v>
      </x:c>
      <x:c r="K171" s="2" t="str">
        <x:f>IF(AND(F171&gt;0.0000001,I171&gt;0.0000001),"双指标下降",IF(OR(F171&lt;-0.0000001,I171&lt;-0.0000001),"至少一项增加","持平或单项下降"))</x:f>
        <x:v>双指标下降</x:v>
      </x:c>
    </x:row>
    <x:row r="172" ht="24" customHeight="1">
      <x:c r="A172" s="2" t="str">
        <x:v>Traffic</x:v>
      </x:c>
      <x:c r="B172" s="2" t="n">
        <x:v>8</x:v>
      </x:c>
      <x:c r="C172" s="2" t="str">
        <x:v>MM-TSFlib</x:v>
      </x:c>
      <x:c r="D172" s="15" t="n">
        <x:v>0.15819917205889875</x:v>
      </x:c>
      <x:c r="E172" s="16" t="n">
        <x:v>0.15819917205889875</x:v>
      </x:c>
      <x:c r="F172" s="17" t="n">
        <x:f>(D172-E172)/D172</x:f>
        <x:v>0</x:v>
      </x:c>
      <x:c r="G172" s="15" t="n">
        <x:v>0.29109538162145954</x:v>
      </x:c>
      <x:c r="H172" s="16" t="n">
        <x:v>0.29109538162145954</x:v>
      </x:c>
      <x:c r="I172" s="17" t="n">
        <x:f>(G172-H172)/G172</x:f>
        <x:v>0</x:v>
      </x:c>
      <x:c r="J172" s="14" t="n">
        <x:v>0</x:v>
      </x:c>
      <x:c r="K172" s="2" t="str">
        <x:f>IF(AND(F172&gt;0.0000001,I172&gt;0.0000001),"双指标下降",IF(OR(F172&lt;-0.0000001,I172&lt;-0.0000001),"至少一项增加","持平或单项下降"))</x:f>
        <x:v>持平或单项下降</x:v>
      </x:c>
    </x:row>
    <x:row r="173" ht="24" customHeight="1">
      <x:c r="A173" s="2" t="str">
        <x:v>Traffic</x:v>
      </x:c>
      <x:c r="B173" s="2" t="n">
        <x:v>8</x:v>
      </x:c>
      <x:c r="C173" s="2" t="str">
        <x:v>SpecTF</x:v>
      </x:c>
      <x:c r="D173" s="15" t="n">
        <x:v>0.18590940564234654</x:v>
      </x:c>
      <x:c r="E173" s="16" t="n">
        <x:v>0.18578683097490775</x:v>
      </x:c>
      <x:c r="F173" s="17" t="n">
        <x:f>(D173-E173)/D173</x:f>
        <x:v>0.000659324723325698</x:v>
      </x:c>
      <x:c r="G173" s="15" t="n">
        <x:v>0.23040441761876343</x:v>
      </x:c>
      <x:c r="H173" s="16" t="n">
        <x:v>0.23018210523437257</x:v>
      </x:c>
      <x:c r="I173" s="17" t="n">
        <x:f>(G173-H173)/G173</x:f>
        <x:v>0.0009648790014030978</x:v>
      </x:c>
      <x:c r="J173" s="14" t="n">
        <x:v>2</x:v>
      </x:c>
      <x:c r="K173" s="2" t="str">
        <x:f>IF(AND(F173&gt;0.0000001,I173&gt;0.0000001),"双指标下降",IF(OR(F173&lt;-0.0000001,I173&lt;-0.0000001),"至少一项增加","持平或单项下降"))</x:f>
        <x:v>双指标下降</x:v>
      </x:c>
    </x:row>
    <x:row r="174" ht="24" customHeight="1">
      <x:c r="A174" s="2" t="str">
        <x:v>Traffic</x:v>
      </x:c>
      <x:c r="B174" s="2" t="n">
        <x:v>8</x:v>
      </x:c>
      <x:c r="C174" s="2" t="str">
        <x:v>CFA</x:v>
      </x:c>
      <x:c r="D174" s="15" t="n">
        <x:v>0.15928932672901436</x:v>
      </x:c>
      <x:c r="E174" s="16" t="n">
        <x:v>0.15928932672901436</x:v>
      </x:c>
      <x:c r="F174" s="17" t="n">
        <x:f>(D174-E174)/D174</x:f>
        <x:v>0</x:v>
      </x:c>
      <x:c r="G174" s="15" t="n">
        <x:v>0.20568800303671095</x:v>
      </x:c>
      <x:c r="H174" s="16" t="n">
        <x:v>0.20568800303671095</x:v>
      </x:c>
      <x:c r="I174" s="17" t="n">
        <x:f>(G174-H174)/G174</x:f>
        <x:v>0</x:v>
      </x:c>
      <x:c r="J174" s="14" t="n">
        <x:v>0</x:v>
      </x:c>
      <x:c r="K174" s="2" t="str">
        <x:f>IF(AND(F174&gt;0.0000001,I174&gt;0.0000001),"双指标下降",IF(OR(F174&lt;-0.0000001,I174&lt;-0.0000001),"至少一项增加","持平或单项下降"))</x:f>
        <x:v>持平或单项下降</x:v>
      </x:c>
    </x:row>
    <x:row r="175" ht="24" customHeight="1">
      <x:c r="A175" s="2" t="str">
        <x:v>Traffic</x:v>
      </x:c>
      <x:c r="B175" s="2" t="n">
        <x:v>8</x:v>
      </x:c>
      <x:c r="C175" s="2" t="str">
        <x:v>Aurora</x:v>
      </x:c>
      <x:c r="D175" s="15" t="n">
        <x:v>0.16190882453397848</x:v>
      </x:c>
      <x:c r="E175" s="16" t="n">
        <x:v>0.16190882453397848</x:v>
      </x:c>
      <x:c r="F175" s="17" t="n">
        <x:f>(D175-E175)/D175</x:f>
        <x:v>0</x:v>
      </x:c>
      <x:c r="G175" s="15" t="n">
        <x:v>0.2416489091936988</x:v>
      </x:c>
      <x:c r="H175" s="16" t="n">
        <x:v>0.24164890919369877</x:v>
      </x:c>
      <x:c r="I175" s="17" t="n">
        <x:f>(G175-H175)/G175</x:f>
        <x:v>1.148590974742652e-16</x:v>
      </x:c>
      <x:c r="J175" s="14" t="n">
        <x:v>0</x:v>
      </x:c>
      <x:c r="K175" s="2" t="str">
        <x:f>IF(AND(F175&gt;0.0000001,I175&gt;0.0000001),"双指标下降",IF(OR(F175&lt;-0.0000001,I175&lt;-0.0000001),"至少一项增加","持平或单项下降"))</x:f>
        <x:v>持平或单项下降</x:v>
      </x:c>
    </x:row>
    <x:row r="176" ht="24" customHeight="1">
      <x:c r="A176" s="2" t="str">
        <x:v>Traffic</x:v>
      </x:c>
      <x:c r="B176" s="2" t="n">
        <x:v>10</x:v>
      </x:c>
      <x:c r="C176" s="2" t="str">
        <x:v>TaTS</x:v>
      </x:c>
      <x:c r="D176" s="15" t="n">
        <x:v>0.24555718831519832</x:v>
      </x:c>
      <x:c r="E176" s="16" t="n">
        <x:v>0.24467953621385297</x:v>
      </x:c>
      <x:c r="F176" s="17" t="n">
        <x:f>(D176-E176)/D176</x:f>
        <x:v>0.0035741250637663967</x:v>
      </x:c>
      <x:c r="G176" s="15" t="n">
        <x:v>0.29089475784105123</x:v>
      </x:c>
      <x:c r="H176" s="16" t="n">
        <x:v>0.2905714205655035</x:v>
      </x:c>
      <x:c r="I176" s="17" t="n">
        <x:f>(G176-H176)/G176</x:f>
        <x:v>0.0011115266495259643</x:v>
      </x:c>
      <x:c r="J176" s="14" t="n">
        <x:v>2</x:v>
      </x:c>
      <x:c r="K176" s="2" t="str">
        <x:f>IF(AND(F176&gt;0.0000001,I176&gt;0.0000001),"双指标下降",IF(OR(F176&lt;-0.0000001,I176&lt;-0.0000001),"至少一项增加","持平或单项下降"))</x:f>
        <x:v>双指标下降</x:v>
      </x:c>
    </x:row>
    <x:row r="177" ht="24" customHeight="1">
      <x:c r="A177" s="2" t="str">
        <x:v>Traffic</x:v>
      </x:c>
      <x:c r="B177" s="2" t="n">
        <x:v>10</x:v>
      </x:c>
      <x:c r="C177" s="2" t="str">
        <x:v>MM-TSFlib</x:v>
      </x:c>
      <x:c r="D177" s="15" t="n">
        <x:v>0.1666901516930486</x:v>
      </x:c>
      <x:c r="E177" s="16" t="n">
        <x:v>0.1666901516930486</x:v>
      </x:c>
      <x:c r="F177" s="17" t="n">
        <x:f>(D177-E177)/D177</x:f>
        <x:v>0</x:v>
      </x:c>
      <x:c r="G177" s="15" t="n">
        <x:v>0.3120483236214549</x:v>
      </x:c>
      <x:c r="H177" s="16" t="n">
        <x:v>0.3120483236214549</x:v>
      </x:c>
      <x:c r="I177" s="17" t="n">
        <x:f>(G177-H177)/G177</x:f>
        <x:v>0</x:v>
      </x:c>
      <x:c r="J177" s="14" t="n">
        <x:v>0</x:v>
      </x:c>
      <x:c r="K177" s="2" t="str">
        <x:f>IF(AND(F177&gt;0.0000001,I177&gt;0.0000001),"双指标下降",IF(OR(F177&lt;-0.0000001,I177&lt;-0.0000001),"至少一项增加","持平或单项下降"))</x:f>
        <x:v>持平或单项下降</x:v>
      </x:c>
    </x:row>
    <x:row r="178" ht="24" customHeight="1">
      <x:c r="A178" s="2" t="str">
        <x:v>Traffic</x:v>
      </x:c>
      <x:c r="B178" s="2" t="n">
        <x:v>10</x:v>
      </x:c>
      <x:c r="C178" s="2" t="str">
        <x:v>SpecTF</x:v>
      </x:c>
      <x:c r="D178" s="15" t="n">
        <x:v>0.19986794571428487</x:v>
      </x:c>
      <x:c r="E178" s="16" t="n">
        <x:v>0.19986794571428487</x:v>
      </x:c>
      <x:c r="F178" s="17" t="n">
        <x:f>(D178-E178)/D178</x:f>
        <x:v>0</x:v>
      </x:c>
      <x:c r="G178" s="15" t="n">
        <x:v>0.23956109915389534</x:v>
      </x:c>
      <x:c r="H178" s="16" t="n">
        <x:v>0.23956109915389534</x:v>
      </x:c>
      <x:c r="I178" s="17" t="n">
        <x:f>(G178-H178)/G178</x:f>
        <x:v>0</x:v>
      </x:c>
      <x:c r="J178" s="14" t="n">
        <x:v>0</x:v>
      </x:c>
      <x:c r="K178" s="2" t="str">
        <x:f>IF(AND(F178&gt;0.0000001,I178&gt;0.0000001),"双指标下降",IF(OR(F178&lt;-0.0000001,I178&lt;-0.0000001),"至少一项增加","持平或单项下降"))</x:f>
        <x:v>持平或单项下降</x:v>
      </x:c>
    </x:row>
    <x:row r="179" ht="24" customHeight="1">
      <x:c r="A179" s="2" t="str">
        <x:v>Traffic</x:v>
      </x:c>
      <x:c r="B179" s="2" t="n">
        <x:v>10</x:v>
      </x:c>
      <x:c r="C179" s="2" t="str">
        <x:v>CFA</x:v>
      </x:c>
      <x:c r="D179" s="15" t="n">
        <x:v>0.1732082597712524</x:v>
      </x:c>
      <x:c r="E179" s="16" t="n">
        <x:v>0.1732082597712524</x:v>
      </x:c>
      <x:c r="F179" s="17" t="n">
        <x:f>(D179-E179)/D179</x:f>
        <x:v>0</x:v>
      </x:c>
      <x:c r="G179" s="15" t="n">
        <x:v>0.21992391489215732</x:v>
      </x:c>
      <x:c r="H179" s="16" t="n">
        <x:v>0.21992391489215732</x:v>
      </x:c>
      <x:c r="I179" s="17" t="n">
        <x:f>(G179-H179)/G179</x:f>
        <x:v>0</x:v>
      </x:c>
      <x:c r="J179" s="14" t="n">
        <x:v>0</x:v>
      </x:c>
      <x:c r="K179" s="2" t="str">
        <x:f>IF(AND(F179&gt;0.0000001,I179&gt;0.0000001),"双指标下降",IF(OR(F179&lt;-0.0000001,I179&lt;-0.0000001),"至少一项增加","持平或单项下降"))</x:f>
        <x:v>持平或单项下降</x:v>
      </x:c>
    </x:row>
    <x:row r="180" ht="24" customHeight="1">
      <x:c r="A180" s="2" t="str">
        <x:v>Traffic</x:v>
      </x:c>
      <x:c r="B180" s="2" t="n">
        <x:v>10</x:v>
      </x:c>
      <x:c r="C180" s="2" t="str">
        <x:v>Aurora</x:v>
      </x:c>
      <x:c r="D180" s="15" t="n">
        <x:v>0.16721218643952346</x:v>
      </x:c>
      <x:c r="E180" s="16" t="n">
        <x:v>0.16721218643952343</x:v>
      </x:c>
      <x:c r="F180" s="17" t="n">
        <x:f>(D180-E180)/D180</x:f>
        <x:v>1.6599014824596786e-16</x:v>
      </x:c>
      <x:c r="G180" s="15" t="n">
        <x:v>0.248815129804857</x:v>
      </x:c>
      <x:c r="H180" s="16" t="n">
        <x:v>0.248815129804857</x:v>
      </x:c>
      <x:c r="I180" s="17" t="n">
        <x:f>(G180-H180)/G180</x:f>
        <x:v>0</x:v>
      </x:c>
      <x:c r="J180" s="14" t="n">
        <x:v>0</x:v>
      </x:c>
      <x:c r="K180" s="2" t="str">
        <x:f>IF(AND(F180&gt;0.0000001,I180&gt;0.0000001),"双指标下降",IF(OR(F180&lt;-0.0000001,I180&lt;-0.0000001),"至少一项增加","持平或单项下降"))</x:f>
        <x:v>持平或单项下降</x:v>
      </x:c>
    </x:row>
    <x:row r="181" ht="24" customHeight="1">
      <x:c r="A181" s="2" t="str">
        <x:v>Traffic</x:v>
      </x:c>
      <x:c r="B181" s="2" t="n">
        <x:v>12</x:v>
      </x:c>
      <x:c r="C181" s="2" t="str">
        <x:v>TaTS</x:v>
      </x:c>
      <x:c r="D181" s="15" t="n">
        <x:v>0.22234044158079816</x:v>
      </x:c>
      <x:c r="E181" s="16" t="n">
        <x:v>0.22234044158079816</x:v>
      </x:c>
      <x:c r="F181" s="17" t="n">
        <x:f>(D181-E181)/D181</x:f>
        <x:v>0</x:v>
      </x:c>
      <x:c r="G181" s="15" t="n">
        <x:v>0.2859304013482311</x:v>
      </x:c>
      <x:c r="H181" s="16" t="n">
        <x:v>0.2859304013482311</x:v>
      </x:c>
      <x:c r="I181" s="17" t="n">
        <x:f>(G181-H181)/G181</x:f>
        <x:v>0</x:v>
      </x:c>
      <x:c r="J181" s="14" t="n">
        <x:v>0</x:v>
      </x:c>
      <x:c r="K181" s="2" t="str">
        <x:f>IF(AND(F181&gt;0.0000001,I181&gt;0.0000001),"双指标下降",IF(OR(F181&lt;-0.0000001,I181&lt;-0.0000001),"至少一项增加","持平或单项下降"))</x:f>
        <x:v>持平或单项下降</x:v>
      </x:c>
    </x:row>
    <x:row r="182" ht="24" customHeight="1">
      <x:c r="A182" s="2" t="str">
        <x:v>Traffic</x:v>
      </x:c>
      <x:c r="B182" s="2" t="n">
        <x:v>12</x:v>
      </x:c>
      <x:c r="C182" s="2" t="str">
        <x:v>MM-TSFlib</x:v>
      </x:c>
      <x:c r="D182" s="15" t="n">
        <x:v>0.17549252996919057</x:v>
      </x:c>
      <x:c r="E182" s="16" t="n">
        <x:v>0.1754925299691906</x:v>
      </x:c>
      <x:c r="F182" s="17" t="n">
        <x:f>(D182-E182)/D182</x:f>
        <x:v>-1.581581598971858e-16</x:v>
      </x:c>
      <x:c r="G182" s="15" t="n">
        <x:v>0.33094635932591926</x:v>
      </x:c>
      <x:c r="H182" s="16" t="n">
        <x:v>0.33094635932591926</x:v>
      </x:c>
      <x:c r="I182" s="17" t="n">
        <x:f>(G182-H182)/G182</x:f>
        <x:v>0</x:v>
      </x:c>
      <x:c r="J182" s="14" t="n">
        <x:v>0</x:v>
      </x:c>
      <x:c r="K182" s="2" t="str">
        <x:f>IF(AND(F182&gt;0.0000001,I182&gt;0.0000001),"双指标下降",IF(OR(F182&lt;-0.0000001,I182&lt;-0.0000001),"至少一项增加","持平或单项下降"))</x:f>
        <x:v>持平或单项下降</x:v>
      </x:c>
    </x:row>
    <x:row r="183" ht="24" customHeight="1">
      <x:c r="A183" s="2" t="str">
        <x:v>Traffic</x:v>
      </x:c>
      <x:c r="B183" s="2" t="n">
        <x:v>12</x:v>
      </x:c>
      <x:c r="C183" s="2" t="str">
        <x:v>SpecTF</x:v>
      </x:c>
      <x:c r="D183" s="15" t="n">
        <x:v>0.18894771280705278</x:v>
      </x:c>
      <x:c r="E183" s="16" t="n">
        <x:v>0.18894771280705278</x:v>
      </x:c>
      <x:c r="F183" s="17" t="n">
        <x:f>(D183-E183)/D183</x:f>
        <x:v>0</x:v>
      </x:c>
      <x:c r="G183" s="15" t="n">
        <x:v>0.2395439922286753</x:v>
      </x:c>
      <x:c r="H183" s="16" t="n">
        <x:v>0.2395439922286753</x:v>
      </x:c>
      <x:c r="I183" s="17" t="n">
        <x:f>(G183-H183)/G183</x:f>
        <x:v>0</x:v>
      </x:c>
      <x:c r="J183" s="14" t="n">
        <x:v>0</x:v>
      </x:c>
      <x:c r="K183" s="2" t="str">
        <x:f>IF(AND(F183&gt;0.0000001,I183&gt;0.0000001),"双指标下降",IF(OR(F183&lt;-0.0000001,I183&lt;-0.0000001),"至少一项增加","持平或单项下降"))</x:f>
        <x:v>持平或单项下降</x:v>
      </x:c>
    </x:row>
    <x:row r="184" ht="24" customHeight="1">
      <x:c r="A184" s="2" t="str">
        <x:v>Traffic</x:v>
      </x:c>
      <x:c r="B184" s="2" t="n">
        <x:v>12</x:v>
      </x:c>
      <x:c r="C184" s="2" t="str">
        <x:v>CFA</x:v>
      </x:c>
      <x:c r="D184" s="15" t="n">
        <x:v>0.17699060160295385</x:v>
      </x:c>
      <x:c r="E184" s="16" t="n">
        <x:v>0.17699060160295385</x:v>
      </x:c>
      <x:c r="F184" s="17" t="n">
        <x:f>(D184-E184)/D184</x:f>
        <x:v>0</x:v>
      </x:c>
      <x:c r="G184" s="15" t="n">
        <x:v>0.2268597012549116</x:v>
      </x:c>
      <x:c r="H184" s="16" t="n">
        <x:v>0.2268597012549116</x:v>
      </x:c>
      <x:c r="I184" s="17" t="n">
        <x:f>(G184-H184)/G184</x:f>
        <x:v>0</x:v>
      </x:c>
      <x:c r="J184" s="14" t="n">
        <x:v>0</x:v>
      </x:c>
      <x:c r="K184" s="2" t="str">
        <x:f>IF(AND(F184&gt;0.0000001,I184&gt;0.0000001),"双指标下降",IF(OR(F184&lt;-0.0000001,I184&lt;-0.0000001),"至少一项增加","持平或单项下降"))</x:f>
        <x:v>持平或单项下降</x:v>
      </x:c>
    </x:row>
    <x:row r="185" ht="24" customHeight="1">
      <x:c r="A185" s="2" t="str">
        <x:v>Traffic</x:v>
      </x:c>
      <x:c r="B185" s="2" t="n">
        <x:v>12</x:v>
      </x:c>
      <x:c r="C185" s="2" t="str">
        <x:v>Aurora</x:v>
      </x:c>
      <x:c r="D185" s="15" t="n">
        <x:v>0.17349987474511538</x:v>
      </x:c>
      <x:c r="E185" s="16" t="n">
        <x:v>0.17349987474511538</x:v>
      </x:c>
      <x:c r="F185" s="17" t="n">
        <x:f>(D185-E185)/D185</x:f>
        <x:v>0</x:v>
      </x:c>
      <x:c r="G185" s="15" t="n">
        <x:v>0.257084223079054</x:v>
      </x:c>
      <x:c r="H185" s="16" t="n">
        <x:v>0.257084223079054</x:v>
      </x:c>
      <x:c r="I185" s="17" t="n">
        <x:f>(G185-H185)/G185</x:f>
        <x:v>0</x:v>
      </x:c>
      <x:c r="J185" s="14" t="n">
        <x:v>0</x:v>
      </x:c>
      <x:c r="K185" s="2" t="str">
        <x:f>IF(AND(F185&gt;0.0000001,I185&gt;0.0000001),"双指标下降",IF(OR(F185&lt;-0.0000001,I185&lt;-0.0000001),"至少一项增加","持平或单项下降"))</x:f>
        <x:v>持平或单项下降</x:v>
      </x:c>
    </x:row>
  </x:sheetData>
  <x:conditionalFormatting sqref="F6:F185">
    <x:cfRule type="colorScale" priority="1">
      <x:colorScale>
        <x:cfvo type="num" val="-0.1"/>
        <x:cfvo type="num" val="0"/>
        <x:cfvo type="num" val="0.1"/>
        <x:color rgb="FFE9A2A2"/>
        <x:color rgb="FFFFFFFF"/>
        <x:color rgb="FF6DC391"/>
      </x:colorScale>
    </x:cfRule>
  </x:conditionalFormatting>
  <x:conditionalFormatting sqref="I6:I185">
    <x:cfRule type="colorScale" priority="2">
      <x:colorScale>
        <x:cfvo type="num" val="-0.1"/>
        <x:cfvo type="num" val="0"/>
        <x:cfvo type="num" val="0.1"/>
        <x:color rgb="FFE9A2A2"/>
        <x:color rgb="FFFFFFFF"/>
        <x:color rgb="FF6DC39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1d3376b27c64892"/>
  </x:tableParts>
</x:worksheet>
</file>