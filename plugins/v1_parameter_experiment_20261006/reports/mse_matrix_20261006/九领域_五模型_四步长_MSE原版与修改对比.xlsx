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0041aa687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E原始与修改对比" sheetId="1" r:id="R10155d4c6f0d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[&gt;=0.0000005]+0.0000%;[&lt;=-0.0000005]-0.0000%;&quot;0.0000%&quot;"/>
  </x:numFmts>
  <x:fonts count="8">
    <x:font>
      <x:sz val="11"/>
      <x:name val="Carlito"/>
    </x:font>
    <x:font>
      <x:sz val="10"/>
      <x:color rgb="FF243447"/>
      <x:name val="Arial"/>
    </x:font>
    <x:font>
      <x:b/>
      <x:sz val="14"/>
      <x:color rgb="FF213C57"/>
      <x:name val="Arial"/>
    </x:font>
    <x:font>
      <x:sz val="10"/>
      <x:color rgb="FF586A7B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b/>
      <x:sz val="11"/>
      <x:color rgb="FFFFFFFF"/>
      <x:name val="Arial"/>
    </x:font>
    <x:font>
      <x:sz val="10"/>
      <x:color rgb="FF18659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13C57"/>
      </x:patternFill>
    </x:fill>
    <x:fill>
      <x:patternFill patternType="solid">
        <x:fgColor rgb="FFE7EEF5"/>
      </x:patternFill>
    </x:fill>
    <x:fill>
      <x:patternFill patternType="solid">
        <x:fgColor rgb="FFF3F5F7"/>
      </x:patternFill>
    </x:fill>
    <x:fill>
      <x:patternFill patternType="solid">
        <x:fgColor rgb="FF304E6B"/>
      </x:patternFill>
    </x:fill>
  </x:fills>
  <x:borders count="3">
    <x:border/>
    <x:border>
      <x:right style="medium">
        <x:color rgb="FF213C57"/>
      </x:right>
    </x:border>
    <x:border>
      <x:right style="thin">
        <x:color rgb="FFCAD5DE"/>
      </x:righ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horizontal="right"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2"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  <x:dxf>
      <x:font>
        <x:color rgb="FF1A7040"/>
      </x:font>
    </x:dxf>
    <x:dxf>
      <x:font>
        <x:color rgb="FFAB303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31ff7dc7646d1" /><Relationship Type="http://schemas.openxmlformats.org/officeDocument/2006/relationships/theme" Target="/xl/theme/theme1.xml" Id="R47a5c059fbca477d" /><Relationship Type="http://schemas.openxmlformats.org/officeDocument/2006/relationships/sharedStrings" Target="/xl/sharedStrings.xml" Id="Rdbf3d6e989ac49b4" /><Relationship Type="http://schemas.openxmlformats.org/officeDocument/2006/relationships/worksheet" Target="/xl/worksheets/sheet1.xml" Id="R10155d4c6f0d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3C57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</x:row>
    <x:row r="2" ht="26" customHeight="1">
      <x:c r="A2" s="3" t="str">
        <x:v>五模型 × 九领域 × 四步长：原始 MSE / 修改后 MSE / 变化百分比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</x:row>
    <x:row r="3" ht="26" customHeight="1">
      <x:c r="A3" s="4" t="str">
        <x:v>变化百分比=(修改后MSE−原始MSE)/原始MSE。正号=误差上升，负号=误差下降；绿色下降、红色上升。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</x:row>
    <x:row r="4" ht="26" customHeight="1">
      <x:c r="A4" s="4" t="str">
        <x:v>原始=无插件冻结预测；修改后=本轮V1-P1（lr_003、原alpha策略）的已完成任务结果，各任务为三个种子的MSE指标均值。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</x:row>
    <x:row r="5" ht="26" customHeight="1">
      <x:c r="A5" s="4" t="str">
        <x:v>来源：baseline/V1参数实验_20261006/RESULTS_180.json。原始值已与冻结参考核对一致。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</x:row>
    <x:row r="6" ht="30" customHeight="1">
      <x:c r="A6" s="10" t="str">
        <x:v>模型</x:v>
      </x:c>
      <x:c r="B6" s="13" t="str">
        <x:v>Agriculture</x:v>
      </x:c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26"/>
      <x:c r="N6" s="32" t="str">
        <x:v>Climate</x:v>
      </x:c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3"/>
      <x:c r="Z6" s="13" t="str">
        <x:v>Economy</x:v>
      </x:c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26"/>
      <x:c r="AL6" s="32" t="str">
        <x:v>Energy</x:v>
      </x:c>
      <x:c r="AM6" s="32"/>
      <x:c r="AN6" s="32"/>
      <x:c r="AO6" s="32"/>
      <x:c r="AP6" s="32"/>
      <x:c r="AQ6" s="32"/>
      <x:c r="AR6" s="32"/>
      <x:c r="AS6" s="32"/>
      <x:c r="AT6" s="32"/>
      <x:c r="AU6" s="32"/>
      <x:c r="AV6" s="32"/>
      <x:c r="AW6" s="33"/>
      <x:c r="AX6" s="13" t="str">
        <x:v>Environment</x:v>
      </x:c>
      <x:c r="AY6" s="13"/>
      <x:c r="AZ6" s="13"/>
      <x:c r="BA6" s="13"/>
      <x:c r="BB6" s="13"/>
      <x:c r="BC6" s="13"/>
      <x:c r="BD6" s="13"/>
      <x:c r="BE6" s="13"/>
      <x:c r="BF6" s="13"/>
      <x:c r="BG6" s="13"/>
      <x:c r="BH6" s="13"/>
      <x:c r="BI6" s="26"/>
      <x:c r="BJ6" s="32" t="str">
        <x:v>Health</x:v>
      </x:c>
      <x:c r="BK6" s="32"/>
      <x:c r="BL6" s="32"/>
      <x:c r="BM6" s="32"/>
      <x:c r="BN6" s="32"/>
      <x:c r="BO6" s="32"/>
      <x:c r="BP6" s="32"/>
      <x:c r="BQ6" s="32"/>
      <x:c r="BR6" s="32"/>
      <x:c r="BS6" s="32"/>
      <x:c r="BT6" s="32"/>
      <x:c r="BU6" s="33"/>
      <x:c r="BV6" s="13" t="str">
        <x:v>Security</x:v>
      </x:c>
      <x:c r="BW6" s="13"/>
      <x:c r="BX6" s="13"/>
      <x:c r="BY6" s="13"/>
      <x:c r="BZ6" s="13"/>
      <x:c r="CA6" s="13"/>
      <x:c r="CB6" s="13"/>
      <x:c r="CC6" s="13"/>
      <x:c r="CD6" s="13"/>
      <x:c r="CE6" s="13"/>
      <x:c r="CF6" s="13"/>
      <x:c r="CG6" s="26"/>
      <x:c r="CH6" s="32" t="str">
        <x:v>SocialGood</x:v>
      </x:c>
      <x:c r="CI6" s="32"/>
      <x:c r="CJ6" s="32"/>
      <x:c r="CK6" s="32"/>
      <x:c r="CL6" s="32"/>
      <x:c r="CM6" s="32"/>
      <x:c r="CN6" s="32"/>
      <x:c r="CO6" s="32"/>
      <x:c r="CP6" s="32"/>
      <x:c r="CQ6" s="32"/>
      <x:c r="CR6" s="32"/>
      <x:c r="CS6" s="33"/>
      <x:c r="CT6" s="13" t="str">
        <x:v>Traffic</x:v>
      </x:c>
      <x:c r="CU6" s="13"/>
      <x:c r="CV6" s="13"/>
      <x:c r="CW6" s="13"/>
      <x:c r="CX6" s="13"/>
      <x:c r="CY6" s="13"/>
      <x:c r="CZ6" s="13"/>
      <x:c r="DA6" s="13"/>
      <x:c r="DB6" s="13"/>
      <x:c r="DC6" s="13"/>
      <x:c r="DD6" s="13"/>
      <x:c r="DE6" s="26"/>
    </x:row>
    <x:row r="7" ht="26" customHeight="1">
      <x:c r="A7" s="10"/>
      <x:c r="B7" s="16" t="str">
        <x:v>预测步长 6</x:v>
      </x:c>
      <x:c r="C7" s="16"/>
      <x:c r="D7" s="23"/>
      <x:c r="E7" s="16" t="str">
        <x:v>预测步长 8</x:v>
      </x:c>
      <x:c r="F7" s="16"/>
      <x:c r="G7" s="23"/>
      <x:c r="H7" s="16" t="str">
        <x:v>预测步长 10</x:v>
      </x:c>
      <x:c r="I7" s="16"/>
      <x:c r="J7" s="23"/>
      <x:c r="K7" s="16" t="str">
        <x:v>预测步长 12</x:v>
      </x:c>
      <x:c r="L7" s="16"/>
      <x:c r="M7" s="27"/>
      <x:c r="N7" s="16" t="str">
        <x:v>预测步长 6</x:v>
      </x:c>
      <x:c r="O7" s="16"/>
      <x:c r="P7" s="23"/>
      <x:c r="Q7" s="16" t="str">
        <x:v>预测步长 8</x:v>
      </x:c>
      <x:c r="R7" s="16"/>
      <x:c r="S7" s="23"/>
      <x:c r="T7" s="16" t="str">
        <x:v>预测步长 10</x:v>
      </x:c>
      <x:c r="U7" s="16"/>
      <x:c r="V7" s="23"/>
      <x:c r="W7" s="16" t="str">
        <x:v>预测步长 12</x:v>
      </x:c>
      <x:c r="X7" s="16"/>
      <x:c r="Y7" s="27"/>
      <x:c r="Z7" s="16" t="str">
        <x:v>预测步长 6</x:v>
      </x:c>
      <x:c r="AA7" s="16"/>
      <x:c r="AB7" s="23"/>
      <x:c r="AC7" s="16" t="str">
        <x:v>预测步长 8</x:v>
      </x:c>
      <x:c r="AD7" s="16"/>
      <x:c r="AE7" s="23"/>
      <x:c r="AF7" s="16" t="str">
        <x:v>预测步长 10</x:v>
      </x:c>
      <x:c r="AG7" s="16"/>
      <x:c r="AH7" s="23"/>
      <x:c r="AI7" s="16" t="str">
        <x:v>预测步长 12</x:v>
      </x:c>
      <x:c r="AJ7" s="16"/>
      <x:c r="AK7" s="27"/>
      <x:c r="AL7" s="16" t="str">
        <x:v>预测步长 12</x:v>
      </x:c>
      <x:c r="AM7" s="16"/>
      <x:c r="AN7" s="23"/>
      <x:c r="AO7" s="16" t="str">
        <x:v>预测步长 24</x:v>
      </x:c>
      <x:c r="AP7" s="16"/>
      <x:c r="AQ7" s="23"/>
      <x:c r="AR7" s="16" t="str">
        <x:v>预测步长 36</x:v>
      </x:c>
      <x:c r="AS7" s="16"/>
      <x:c r="AT7" s="23"/>
      <x:c r="AU7" s="16" t="str">
        <x:v>预测步长 48</x:v>
      </x:c>
      <x:c r="AV7" s="16"/>
      <x:c r="AW7" s="27"/>
      <x:c r="AX7" s="16" t="str">
        <x:v>预测步长 48</x:v>
      </x:c>
      <x:c r="AY7" s="16"/>
      <x:c r="AZ7" s="23"/>
      <x:c r="BA7" s="16" t="str">
        <x:v>预测步长 96</x:v>
      </x:c>
      <x:c r="BB7" s="16"/>
      <x:c r="BC7" s="23"/>
      <x:c r="BD7" s="16" t="str">
        <x:v>预测步长 192</x:v>
      </x:c>
      <x:c r="BE7" s="16"/>
      <x:c r="BF7" s="23"/>
      <x:c r="BG7" s="16" t="str">
        <x:v>预测步长 336</x:v>
      </x:c>
      <x:c r="BH7" s="16"/>
      <x:c r="BI7" s="27"/>
      <x:c r="BJ7" s="16" t="str">
        <x:v>预测步长 12</x:v>
      </x:c>
      <x:c r="BK7" s="16"/>
      <x:c r="BL7" s="23"/>
      <x:c r="BM7" s="16" t="str">
        <x:v>预测步长 24</x:v>
      </x:c>
      <x:c r="BN7" s="16"/>
      <x:c r="BO7" s="23"/>
      <x:c r="BP7" s="16" t="str">
        <x:v>预测步长 36</x:v>
      </x:c>
      <x:c r="BQ7" s="16"/>
      <x:c r="BR7" s="23"/>
      <x:c r="BS7" s="16" t="str">
        <x:v>预测步长 48</x:v>
      </x:c>
      <x:c r="BT7" s="16"/>
      <x:c r="BU7" s="27"/>
      <x:c r="BV7" s="16" t="str">
        <x:v>预测步长 6</x:v>
      </x:c>
      <x:c r="BW7" s="16"/>
      <x:c r="BX7" s="23"/>
      <x:c r="BY7" s="16" t="str">
        <x:v>预测步长 8</x:v>
      </x:c>
      <x:c r="BZ7" s="16"/>
      <x:c r="CA7" s="23"/>
      <x:c r="CB7" s="16" t="str">
        <x:v>预测步长 10</x:v>
      </x:c>
      <x:c r="CC7" s="16"/>
      <x:c r="CD7" s="23"/>
      <x:c r="CE7" s="16" t="str">
        <x:v>预测步长 12</x:v>
      </x:c>
      <x:c r="CF7" s="16"/>
      <x:c r="CG7" s="27"/>
      <x:c r="CH7" s="16" t="str">
        <x:v>预测步长 6</x:v>
      </x:c>
      <x:c r="CI7" s="16"/>
      <x:c r="CJ7" s="23"/>
      <x:c r="CK7" s="16" t="str">
        <x:v>预测步长 8</x:v>
      </x:c>
      <x:c r="CL7" s="16"/>
      <x:c r="CM7" s="23"/>
      <x:c r="CN7" s="16" t="str">
        <x:v>预测步长 10</x:v>
      </x:c>
      <x:c r="CO7" s="16"/>
      <x:c r="CP7" s="23"/>
      <x:c r="CQ7" s="16" t="str">
        <x:v>预测步长 12</x:v>
      </x:c>
      <x:c r="CR7" s="16"/>
      <x:c r="CS7" s="27"/>
      <x:c r="CT7" s="16" t="str">
        <x:v>预测步长 6</x:v>
      </x:c>
      <x:c r="CU7" s="16"/>
      <x:c r="CV7" s="23"/>
      <x:c r="CW7" s="16" t="str">
        <x:v>预测步长 8</x:v>
      </x:c>
      <x:c r="CX7" s="16"/>
      <x:c r="CY7" s="23"/>
      <x:c r="CZ7" s="16" t="str">
        <x:v>预测步长 10</x:v>
      </x:c>
      <x:c r="DA7" s="16"/>
      <x:c r="DB7" s="23"/>
      <x:c r="DC7" s="16" t="str">
        <x:v>预测步长 12</x:v>
      </x:c>
      <x:c r="DD7" s="16"/>
      <x:c r="DE7" s="27"/>
    </x:row>
    <x:row r="8" ht="26" customHeight="1">
      <x:c r="A8" s="10"/>
      <x:c r="B8" s="18" t="str">
        <x:v>原始MSE</x:v>
      </x:c>
      <x:c r="C8" s="18" t="str">
        <x:v>修改后MSE</x:v>
      </x:c>
      <x:c r="D8" s="24" t="str">
        <x:v>变化百分比</x:v>
      </x:c>
      <x:c r="E8" s="18" t="str">
        <x:v>原始MSE</x:v>
      </x:c>
      <x:c r="F8" s="18" t="str">
        <x:v>修改后MSE</x:v>
      </x:c>
      <x:c r="G8" s="24" t="str">
        <x:v>变化百分比</x:v>
      </x:c>
      <x:c r="H8" s="18" t="str">
        <x:v>原始MSE</x:v>
      </x:c>
      <x:c r="I8" s="18" t="str">
        <x:v>修改后MSE</x:v>
      </x:c>
      <x:c r="J8" s="24" t="str">
        <x:v>变化百分比</x:v>
      </x:c>
      <x:c r="K8" s="18" t="str">
        <x:v>原始MSE</x:v>
      </x:c>
      <x:c r="L8" s="18" t="str">
        <x:v>修改后MSE</x:v>
      </x:c>
      <x:c r="M8" s="28" t="str">
        <x:v>变化百分比</x:v>
      </x:c>
      <x:c r="N8" s="18" t="str">
        <x:v>原始MSE</x:v>
      </x:c>
      <x:c r="O8" s="18" t="str">
        <x:v>修改后MSE</x:v>
      </x:c>
      <x:c r="P8" s="24" t="str">
        <x:v>变化百分比</x:v>
      </x:c>
      <x:c r="Q8" s="18" t="str">
        <x:v>原始MSE</x:v>
      </x:c>
      <x:c r="R8" s="18" t="str">
        <x:v>修改后MSE</x:v>
      </x:c>
      <x:c r="S8" s="24" t="str">
        <x:v>变化百分比</x:v>
      </x:c>
      <x:c r="T8" s="18" t="str">
        <x:v>原始MSE</x:v>
      </x:c>
      <x:c r="U8" s="18" t="str">
        <x:v>修改后MSE</x:v>
      </x:c>
      <x:c r="V8" s="24" t="str">
        <x:v>变化百分比</x:v>
      </x:c>
      <x:c r="W8" s="18" t="str">
        <x:v>原始MSE</x:v>
      </x:c>
      <x:c r="X8" s="18" t="str">
        <x:v>修改后MSE</x:v>
      </x:c>
      <x:c r="Y8" s="28" t="str">
        <x:v>变化百分比</x:v>
      </x:c>
      <x:c r="Z8" s="18" t="str">
        <x:v>原始MSE</x:v>
      </x:c>
      <x:c r="AA8" s="18" t="str">
        <x:v>修改后MSE</x:v>
      </x:c>
      <x:c r="AB8" s="24" t="str">
        <x:v>变化百分比</x:v>
      </x:c>
      <x:c r="AC8" s="18" t="str">
        <x:v>原始MSE</x:v>
      </x:c>
      <x:c r="AD8" s="18" t="str">
        <x:v>修改后MSE</x:v>
      </x:c>
      <x:c r="AE8" s="24" t="str">
        <x:v>变化百分比</x:v>
      </x:c>
      <x:c r="AF8" s="18" t="str">
        <x:v>原始MSE</x:v>
      </x:c>
      <x:c r="AG8" s="18" t="str">
        <x:v>修改后MSE</x:v>
      </x:c>
      <x:c r="AH8" s="24" t="str">
        <x:v>变化百分比</x:v>
      </x:c>
      <x:c r="AI8" s="18" t="str">
        <x:v>原始MSE</x:v>
      </x:c>
      <x:c r="AJ8" s="18" t="str">
        <x:v>修改后MSE</x:v>
      </x:c>
      <x:c r="AK8" s="28" t="str">
        <x:v>变化百分比</x:v>
      </x:c>
      <x:c r="AL8" s="18" t="str">
        <x:v>原始MSE</x:v>
      </x:c>
      <x:c r="AM8" s="18" t="str">
        <x:v>修改后MSE</x:v>
      </x:c>
      <x:c r="AN8" s="24" t="str">
        <x:v>变化百分比</x:v>
      </x:c>
      <x:c r="AO8" s="18" t="str">
        <x:v>原始MSE</x:v>
      </x:c>
      <x:c r="AP8" s="18" t="str">
        <x:v>修改后MSE</x:v>
      </x:c>
      <x:c r="AQ8" s="24" t="str">
        <x:v>变化百分比</x:v>
      </x:c>
      <x:c r="AR8" s="18" t="str">
        <x:v>原始MSE</x:v>
      </x:c>
      <x:c r="AS8" s="18" t="str">
        <x:v>修改后MSE</x:v>
      </x:c>
      <x:c r="AT8" s="24" t="str">
        <x:v>变化百分比</x:v>
      </x:c>
      <x:c r="AU8" s="18" t="str">
        <x:v>原始MSE</x:v>
      </x:c>
      <x:c r="AV8" s="18" t="str">
        <x:v>修改后MSE</x:v>
      </x:c>
      <x:c r="AW8" s="28" t="str">
        <x:v>变化百分比</x:v>
      </x:c>
      <x:c r="AX8" s="18" t="str">
        <x:v>原始MSE</x:v>
      </x:c>
      <x:c r="AY8" s="18" t="str">
        <x:v>修改后MSE</x:v>
      </x:c>
      <x:c r="AZ8" s="24" t="str">
        <x:v>变化百分比</x:v>
      </x:c>
      <x:c r="BA8" s="18" t="str">
        <x:v>原始MSE</x:v>
      </x:c>
      <x:c r="BB8" s="18" t="str">
        <x:v>修改后MSE</x:v>
      </x:c>
      <x:c r="BC8" s="24" t="str">
        <x:v>变化百分比</x:v>
      </x:c>
      <x:c r="BD8" s="18" t="str">
        <x:v>原始MSE</x:v>
      </x:c>
      <x:c r="BE8" s="18" t="str">
        <x:v>修改后MSE</x:v>
      </x:c>
      <x:c r="BF8" s="24" t="str">
        <x:v>变化百分比</x:v>
      </x:c>
      <x:c r="BG8" s="18" t="str">
        <x:v>原始MSE</x:v>
      </x:c>
      <x:c r="BH8" s="18" t="str">
        <x:v>修改后MSE</x:v>
      </x:c>
      <x:c r="BI8" s="28" t="str">
        <x:v>变化百分比</x:v>
      </x:c>
      <x:c r="BJ8" s="18" t="str">
        <x:v>原始MSE</x:v>
      </x:c>
      <x:c r="BK8" s="18" t="str">
        <x:v>修改后MSE</x:v>
      </x:c>
      <x:c r="BL8" s="24" t="str">
        <x:v>变化百分比</x:v>
      </x:c>
      <x:c r="BM8" s="18" t="str">
        <x:v>原始MSE</x:v>
      </x:c>
      <x:c r="BN8" s="18" t="str">
        <x:v>修改后MSE</x:v>
      </x:c>
      <x:c r="BO8" s="24" t="str">
        <x:v>变化百分比</x:v>
      </x:c>
      <x:c r="BP8" s="18" t="str">
        <x:v>原始MSE</x:v>
      </x:c>
      <x:c r="BQ8" s="18" t="str">
        <x:v>修改后MSE</x:v>
      </x:c>
      <x:c r="BR8" s="24" t="str">
        <x:v>变化百分比</x:v>
      </x:c>
      <x:c r="BS8" s="18" t="str">
        <x:v>原始MSE</x:v>
      </x:c>
      <x:c r="BT8" s="18" t="str">
        <x:v>修改后MSE</x:v>
      </x:c>
      <x:c r="BU8" s="28" t="str">
        <x:v>变化百分比</x:v>
      </x:c>
      <x:c r="BV8" s="18" t="str">
        <x:v>原始MSE</x:v>
      </x:c>
      <x:c r="BW8" s="18" t="str">
        <x:v>修改后MSE</x:v>
      </x:c>
      <x:c r="BX8" s="24" t="str">
        <x:v>变化百分比</x:v>
      </x:c>
      <x:c r="BY8" s="18" t="str">
        <x:v>原始MSE</x:v>
      </x:c>
      <x:c r="BZ8" s="18" t="str">
        <x:v>修改后MSE</x:v>
      </x:c>
      <x:c r="CA8" s="24" t="str">
        <x:v>变化百分比</x:v>
      </x:c>
      <x:c r="CB8" s="18" t="str">
        <x:v>原始MSE</x:v>
      </x:c>
      <x:c r="CC8" s="18" t="str">
        <x:v>修改后MSE</x:v>
      </x:c>
      <x:c r="CD8" s="24" t="str">
        <x:v>变化百分比</x:v>
      </x:c>
      <x:c r="CE8" s="18" t="str">
        <x:v>原始MSE</x:v>
      </x:c>
      <x:c r="CF8" s="18" t="str">
        <x:v>修改后MSE</x:v>
      </x:c>
      <x:c r="CG8" s="28" t="str">
        <x:v>变化百分比</x:v>
      </x:c>
      <x:c r="CH8" s="18" t="str">
        <x:v>原始MSE</x:v>
      </x:c>
      <x:c r="CI8" s="18" t="str">
        <x:v>修改后MSE</x:v>
      </x:c>
      <x:c r="CJ8" s="24" t="str">
        <x:v>变化百分比</x:v>
      </x:c>
      <x:c r="CK8" s="18" t="str">
        <x:v>原始MSE</x:v>
      </x:c>
      <x:c r="CL8" s="18" t="str">
        <x:v>修改后MSE</x:v>
      </x:c>
      <x:c r="CM8" s="24" t="str">
        <x:v>变化百分比</x:v>
      </x:c>
      <x:c r="CN8" s="18" t="str">
        <x:v>原始MSE</x:v>
      </x:c>
      <x:c r="CO8" s="18" t="str">
        <x:v>修改后MSE</x:v>
      </x:c>
      <x:c r="CP8" s="24" t="str">
        <x:v>变化百分比</x:v>
      </x:c>
      <x:c r="CQ8" s="18" t="str">
        <x:v>原始MSE</x:v>
      </x:c>
      <x:c r="CR8" s="18" t="str">
        <x:v>修改后MSE</x:v>
      </x:c>
      <x:c r="CS8" s="28" t="str">
        <x:v>变化百分比</x:v>
      </x:c>
      <x:c r="CT8" s="18" t="str">
        <x:v>原始MSE</x:v>
      </x:c>
      <x:c r="CU8" s="18" t="str">
        <x:v>修改后MSE</x:v>
      </x:c>
      <x:c r="CV8" s="24" t="str">
        <x:v>变化百分比</x:v>
      </x:c>
      <x:c r="CW8" s="18" t="str">
        <x:v>原始MSE</x:v>
      </x:c>
      <x:c r="CX8" s="18" t="str">
        <x:v>修改后MSE</x:v>
      </x:c>
      <x:c r="CY8" s="24" t="str">
        <x:v>变化百分比</x:v>
      </x:c>
      <x:c r="CZ8" s="18" t="str">
        <x:v>原始MSE</x:v>
      </x:c>
      <x:c r="DA8" s="18" t="str">
        <x:v>修改后MSE</x:v>
      </x:c>
      <x:c r="DB8" s="24" t="str">
        <x:v>变化百分比</x:v>
      </x:c>
      <x:c r="DC8" s="18" t="str">
        <x:v>原始MSE</x:v>
      </x:c>
      <x:c r="DD8" s="18" t="str">
        <x:v>修改后MSE</x:v>
      </x:c>
      <x:c r="DE8" s="28" t="str">
        <x:v>变化百分比</x:v>
      </x:c>
    </x:row>
    <x:row r="9" ht="26" customHeight="1">
      <x:c r="A9" s="11" t="str">
        <x:v>TaTS</x:v>
      </x:c>
      <x:c r="B9" s="20" t="n">
        <x:v>0.49579507604065326</x:v>
      </x:c>
      <x:c r="C9" s="21" t="n">
        <x:v>0.39879276563082805</x:v>
      </x:c>
      <x:c r="D9" s="25" t="n">
        <x:f>(C9-B9)/B9</x:f>
        <x:v>-0.1956500076291024</x:v>
      </x:c>
      <x:c r="E9" s="20" t="n">
        <x:v>0.4841925676786266</x:v>
      </x:c>
      <x:c r="F9" s="21" t="n">
        <x:v>0.45103549373708196</x:v>
      </x:c>
      <x:c r="G9" s="25" t="n">
        <x:f>(F9-E9)/E9</x:f>
        <x:v>-0.0684791055354489</x:v>
      </x:c>
      <x:c r="H9" s="20" t="n">
        <x:v>0.6602757535858196</x:v>
      </x:c>
      <x:c r="I9" s="21" t="n">
        <x:v>0.5670861724352844</x:v>
      </x:c>
      <x:c r="J9" s="25" t="n">
        <x:f>(I9-H9)/H9</x:f>
        <x:v>-0.14113736669026855</x:v>
      </x:c>
      <x:c r="K9" s="20" t="n">
        <x:v>0.8091895099223382</x:v>
      </x:c>
      <x:c r="L9" s="21" t="n">
        <x:v>0.6913876378728827</x:v>
      </x:c>
      <x:c r="M9" s="29" t="n">
        <x:f>(L9-K9)/K9</x:f>
        <x:v>-0.14558007809661483</x:v>
      </x:c>
      <x:c r="N9" s="20" t="n">
        <x:v>1.1433486550950163</x:v>
      </x:c>
      <x:c r="O9" s="21" t="n">
        <x:v>1.1433486550950163</x:v>
      </x:c>
      <x:c r="P9" s="25" t="n">
        <x:f>(O9-N9)/N9</x:f>
        <x:v>0</x:v>
      </x:c>
      <x:c r="Q9" s="20" t="n">
        <x:v>1.1675973042594807</x:v>
      </x:c>
      <x:c r="R9" s="21" t="n">
        <x:v>1.1675973043756265</x:v>
      </x:c>
      <x:c r="S9" s="25" t="n">
        <x:f>(R9-Q9)/Q9</x:f>
        <x:v>9.947415881558442e-11</x:v>
      </x:c>
      <x:c r="T9" s="20" t="n">
        <x:v>1.1619446589645592</x:v>
      </x:c>
      <x:c r="U9" s="21" t="n">
        <x:v>1.1619446589774514</x:v>
      </x:c>
      <x:c r="V9" s="25" t="n">
        <x:f>(U9-T9)/T9</x:f>
        <x:v>1.1095306223999321e-11</x:v>
      </x:c>
      <x:c r="W9" s="20" t="n">
        <x:v>1.1409304660185637</x:v>
      </x:c>
      <x:c r="X9" s="21" t="n">
        <x:v>1.1409304659432564</x:v>
      </x:c>
      <x:c r="Y9" s="29" t="n">
        <x:f>(X9-W9)/W9</x:f>
        <x:v>-6.600517575934269e-11</x:v>
      </x:c>
      <x:c r="Z9" s="20" t="n">
        <x:v>0.16271074981363087</x:v>
      </x:c>
      <x:c r="AA9" s="21" t="n">
        <x:v>0.15969326996280628</x:v>
      </x:c>
      <x:c r="AB9" s="25" t="n">
        <x:f>(AA9-Z9)/Z9</x:f>
        <x:v>-0.018545055285411817</x:v>
      </x:c>
      <x:c r="AC9" s="20" t="n">
        <x:v>0.17193530537689122</x:v>
      </x:c>
      <x:c r="AD9" s="21" t="n">
        <x:v>0.17437181315140884</x:v>
      </x:c>
      <x:c r="AE9" s="25" t="n">
        <x:f>(AD9-AC9)/AC9</x:f>
        <x:v>0.014171073062490965</x:v>
      </x:c>
      <x:c r="AF9" s="20" t="n">
        <x:v>0.18058548881660597</x:v>
      </x:c>
      <x:c r="AG9" s="21" t="n">
        <x:v>0.17938204131914834</x:v>
      </x:c>
      <x:c r="AH9" s="25" t="n">
        <x:f>(AG9-AF9)/AF9</x:f>
        <x:v>-0.006664142868532427</x:v>
      </x:c>
      <x:c r="AI9" s="20" t="n">
        <x:v>0.20261828458814246</x:v>
      </x:c>
      <x:c r="AJ9" s="21" t="n">
        <x:v>0.20261828458814246</x:v>
      </x:c>
      <x:c r="AK9" s="29" t="n">
        <x:f>(AJ9-AI9)/AI9</x:f>
        <x:v>0</x:v>
      </x:c>
      <x:c r="AL9" s="20" t="n">
        <x:v>0.1838611601559035</x:v>
      </x:c>
      <x:c r="AM9" s="21" t="n">
        <x:v>0.16561305549078897</x:v>
      </x:c>
      <x:c r="AN9" s="25" t="n">
        <x:f>(AM9-AL9)/AL9</x:f>
        <x:v>-0.09924937191542361</x:v>
      </x:c>
      <x:c r="AO9" s="20" t="n">
        <x:v>0.2679513517190791</x:v>
      </x:c>
      <x:c r="AP9" s="21" t="n">
        <x:v>0.2679513517190791</x:v>
      </x:c>
      <x:c r="AQ9" s="25" t="n">
        <x:f>(AP9-AO9)/AO9</x:f>
        <x:v>0</x:v>
      </x:c>
      <x:c r="AR9" s="20" t="n">
        <x:v>0.3669344975156553</x:v>
      </x:c>
      <x:c r="AS9" s="21" t="n">
        <x:v>0.36693449751565527</x:v>
      </x:c>
      <x:c r="AT9" s="25" t="n">
        <x:f>(AS9-AR9)/AR9</x:f>
        <x:v>-1.5128354408511136e-16</x:v>
      </x:c>
      <x:c r="AU9" s="20" t="n">
        <x:v>0.40905897884304054</x:v>
      </x:c>
      <x:c r="AV9" s="21" t="n">
        <x:v>0.40905897884304054</x:v>
      </x:c>
      <x:c r="AW9" s="29" t="n">
        <x:f>(AV9-AU9)/AU9</x:f>
        <x:v>0</x:v>
      </x:c>
      <x:c r="AX9" s="20" t="n">
        <x:v>0.3035071647381012</x:v>
      </x:c>
      <x:c r="AY9" s="21" t="n">
        <x:v>0.283623268985057</x:v>
      </x:c>
      <x:c r="AZ9" s="25" t="n">
        <x:f>(AY9-AX9)/AX9</x:f>
        <x:v>-0.06551376067251045</x:v>
      </x:c>
      <x:c r="BA9" s="20" t="n">
        <x:v>0.29697008480248327</x:v>
      </x:c>
      <x:c r="BB9" s="21" t="n">
        <x:v>0.2806170543719286</x:v>
      </x:c>
      <x:c r="BC9" s="25" t="n">
        <x:f>(BB9-BA9)/BA9</x:f>
        <x:v>-0.055066255045289156</x:v>
      </x:c>
      <x:c r="BD9" s="20" t="n">
        <x:v>0.2819047584851864</x:v>
      </x:c>
      <x:c r="BE9" s="21" t="n">
        <x:v>0.2667371722775416</x:v>
      </x:c>
      <x:c r="BF9" s="25" t="n">
        <x:f>(BE9-BD9)/BD9</x:f>
        <x:v>-0.05380393821355743</x:v>
      </x:c>
      <x:c r="BG9" s="20" t="n">
        <x:v>0.3033101027995199</x:v>
      </x:c>
      <x:c r="BH9" s="21" t="n">
        <x:v>0.28313161818097915</x:v>
      </x:c>
      <x:c r="BI9" s="29" t="n">
        <x:f>(BH9-BG9)/BG9</x:f>
        <x:v>-0.06652757172377546</x:v>
      </x:c>
      <x:c r="BJ9" s="20" t="n">
        <x:v>1.1624856639502126</x:v>
      </x:c>
      <x:c r="BK9" s="21" t="n">
        <x:v>1.1624856639502126</x:v>
      </x:c>
      <x:c r="BL9" s="25" t="n">
        <x:f>(BK9-BJ9)/BJ9</x:f>
        <x:v>0</x:v>
      </x:c>
      <x:c r="BM9" s="20" t="n">
        <x:v>1.9588399705676387</x:v>
      </x:c>
      <x:c r="BN9" s="21" t="n">
        <x:v>1.9588399705676387</x:v>
      </x:c>
      <x:c r="BO9" s="25" t="n">
        <x:f>(BN9-BM9)/BM9</x:f>
        <x:v>0</x:v>
      </x:c>
      <x:c r="BP9" s="20" t="n">
        <x:v>2.6637995198269984</x:v>
      </x:c>
      <x:c r="BQ9" s="21" t="n">
        <x:v>2.7079933443752933</x:v>
      </x:c>
      <x:c r="BR9" s="25" t="n">
        <x:f>(BQ9-BP9)/BP9</x:f>
        <x:v>0.016590522004135314</x:v>
      </x:c>
      <x:c r="BS9" s="20" t="n">
        <x:v>2.4391529485784003</x:v>
      </x:c>
      <x:c r="BT9" s="21" t="n">
        <x:v>2.4335363870040436</x:v>
      </x:c>
      <x:c r="BU9" s="29" t="n">
        <x:f>(BT9-BS9)/BS9</x:f>
        <x:v>-0.0023026688743033154</x:v>
      </x:c>
      <x:c r="BV9" s="20" t="n">
        <x:v>72.6991374139132</x:v>
      </x:c>
      <x:c r="BW9" s="21" t="n">
        <x:v>72.6991374139132</x:v>
      </x:c>
      <x:c r="BX9" s="25" t="n">
        <x:f>(BW9-BV9)/BV9</x:f>
        <x:v>0</x:v>
      </x:c>
      <x:c r="BY9" s="20" t="n">
        <x:v>72.97911949508219</x:v>
      </x:c>
      <x:c r="BZ9" s="21" t="n">
        <x:v>72.97911949508219</x:v>
      </x:c>
      <x:c r="CA9" s="25" t="n">
        <x:f>(BZ9-BY9)/BY9</x:f>
        <x:v>0</x:v>
      </x:c>
      <x:c r="CB9" s="20" t="n">
        <x:v>83.39170242577858</x:v>
      </x:c>
      <x:c r="CC9" s="21" t="n">
        <x:v>83.3917024227843</x:v>
      </x:c>
      <x:c r="CD9" s="25" t="n">
        <x:f>(CC9-CB9)/CB9</x:f>
        <x:v>-3.590608698416019e-11</x:v>
      </x:c>
      <x:c r="CE9" s="20" t="n">
        <x:v>80.98327342565297</x:v>
      </x:c>
      <x:c r="CF9" s="21" t="n">
        <x:v>80.98327342565297</x:v>
      </x:c>
      <x:c r="CG9" s="29" t="n">
        <x:f>(CF9-CE9)/CE9</x:f>
        <x:v>0</x:v>
      </x:c>
      <x:c r="CH9" s="20" t="n">
        <x:v>1.064878293277627</x:v>
      </x:c>
      <x:c r="CI9" s="21" t="n">
        <x:v>1.052210764085452</x:v>
      </x:c>
      <x:c r="CJ9" s="25" t="n">
        <x:f>(CI9-CH9)/CH9</x:f>
        <x:v>-0.011895753037828494</x:v>
      </x:c>
      <x:c r="CK9" s="20" t="n">
        <x:v>1.1622191062566747</x:v>
      </x:c>
      <x:c r="CL9" s="21" t="n">
        <x:v>1.1248593306204697</x:v>
      </x:c>
      <x:c r="CM9" s="25" t="n">
        <x:f>(CL9-CK9)/CK9</x:f>
        <x:v>-0.03214520862295487</x:v>
      </x:c>
      <x:c r="CN9" s="20" t="n">
        <x:v>1.2931527146674995</x:v>
      </x:c>
      <x:c r="CO9" s="21" t="n">
        <x:v>1.1589708763370536</x:v>
      </x:c>
      <x:c r="CP9" s="25" t="n">
        <x:f>(CO9-CN9)/CN9</x:f>
        <x:v>-0.10376333499400123</x:v>
      </x:c>
      <x:c r="CQ9" s="20" t="n">
        <x:v>1.322838435281429</x:v>
      </x:c>
      <x:c r="CR9" s="21" t="n">
        <x:v>1.322838435281429</x:v>
      </x:c>
      <x:c r="CS9" s="29" t="n">
        <x:f>(CR9-CQ9)/CQ9</x:f>
        <x:v>0</x:v>
      </x:c>
      <x:c r="CT9" s="20" t="n">
        <x:v>0.24723389000952123</x:v>
      </x:c>
      <x:c r="CU9" s="21" t="n">
        <x:v>0.24723389000952123</x:v>
      </x:c>
      <x:c r="CV9" s="25" t="n">
        <x:f>(CU9-CT9)/CT9</x:f>
        <x:v>0</x:v>
      </x:c>
      <x:c r="CW9" s="20" t="n">
        <x:v>0.23876363465916217</x:v>
      </x:c>
      <x:c r="CX9" s="21" t="n">
        <x:v>0.23695657762300826</x:v>
      </x:c>
      <x:c r="CY9" s="25" t="n">
        <x:f>(CX9-CW9)/CW9</x:f>
        <x:v>-0.00756839306259309</x:v>
      </x:c>
      <x:c r="CZ9" s="20" t="n">
        <x:v>0.24555718831519832</x:v>
      </x:c>
      <x:c r="DA9" s="21" t="n">
        <x:v>0.24467953621385297</x:v>
      </x:c>
      <x:c r="DB9" s="25" t="n">
        <x:f>(DA9-CZ9)/CZ9</x:f>
        <x:v>-0.0035741250637663967</x:v>
      </x:c>
      <x:c r="DC9" s="20" t="n">
        <x:v>0.22234044158079816</x:v>
      </x:c>
      <x:c r="DD9" s="21" t="n">
        <x:v>0.22234044158079816</x:v>
      </x:c>
      <x:c r="DE9" s="29" t="n">
        <x:f>(DD9-DC9)/DC9</x:f>
        <x:v>0</x:v>
      </x:c>
    </x:row>
    <x:row r="10" ht="26" customHeight="1">
      <x:c r="A10" s="11" t="str">
        <x:v>MM-TSFlib</x:v>
      </x:c>
      <x:c r="B10" s="20" t="n">
        <x:v>3.0201228416151027</x:v>
      </x:c>
      <x:c r="C10" s="21" t="n">
        <x:v>2.3462828262171267</x:v>
      </x:c>
      <x:c r="D10" s="25" t="n">
        <x:f>(C10-B10)/B10</x:f>
        <x:v>-0.22311675740898657</x:v>
      </x:c>
      <x:c r="E10" s="20" t="n">
        <x:v>3.1082829187258283</x:v>
      </x:c>
      <x:c r="F10" s="21" t="n">
        <x:v>2.4707100831047852</x:v>
      </x:c>
      <x:c r="G10" s="25" t="n">
        <x:f>(F10-E10)/E10</x:f>
        <x:v>-0.20512059303868063</x:v>
      </x:c>
      <x:c r="H10" s="20" t="n">
        <x:v>3.1341403583348333</x:v>
      </x:c>
      <x:c r="I10" s="21" t="n">
        <x:v>2.4678484897208213</x:v>
      </x:c>
      <x:c r="J10" s="25" t="n">
        <x:f>(I10-H10)/H10</x:f>
        <x:v>-0.21259158570933065</x:v>
      </x:c>
      <x:c r="K10" s="20" t="n">
        <x:v>3.444487867309843</x:v>
      </x:c>
      <x:c r="L10" s="21" t="n">
        <x:v>2.7991756667358154</x:v>
      </x:c>
      <x:c r="M10" s="29" t="n">
        <x:f>(L10-K10)/K10</x:f>
        <x:v>-0.1873463415848867</x:v>
      </x:c>
      <x:c r="N10" s="20" t="n">
        <x:v>1.1941477400109357</x:v>
      </x:c>
      <x:c r="O10" s="21" t="n">
        <x:v>1.1941477400109357</x:v>
      </x:c>
      <x:c r="P10" s="25" t="n">
        <x:f>(O10-N10)/N10</x:f>
        <x:v>0</x:v>
      </x:c>
      <x:c r="Q10" s="20" t="n">
        <x:v>1.3202855790609833</x:v>
      </x:c>
      <x:c r="R10" s="21" t="n">
        <x:v>1.3202855790648724</x:v>
      </x:c>
      <x:c r="S10" s="25" t="n">
        <x:f>(R10-Q10)/Q10</x:f>
        <x:v>2.945659118709716e-12</x:v>
      </x:c>
      <x:c r="T10" s="20" t="n">
        <x:v>1.2405914477230617</x:v>
      </x:c>
      <x:c r="U10" s="21" t="n">
        <x:v>1.2405914477497597</x:v>
      </x:c>
      <x:c r="V10" s="25" t="n">
        <x:f>(U10-T10)/T10</x:f>
        <x:v>2.1520362091300505e-11</x:v>
      </x:c>
      <x:c r="W10" s="20" t="n">
        <x:v>1.216266717246754</x:v>
      </x:c>
      <x:c r="X10" s="21" t="n">
        <x:v>1.2162667169387846</x:v>
      </x:c>
      <x:c r="Y10" s="29" t="n">
        <x:f>(X10-W10)/W10</x:f>
        <x:v>-2.5320879324447987e-10</x:v>
      </x:c>
      <x:c r="Z10" s="20" t="n">
        <x:v>0.8565175914521214</x:v>
      </x:c>
      <x:c r="AA10" s="21" t="n">
        <x:v>0.8565175914521214</x:v>
      </x:c>
      <x:c r="AB10" s="25" t="n">
        <x:f>(AA10-Z10)/Z10</x:f>
        <x:v>0</x:v>
      </x:c>
      <x:c r="AC10" s="20" t="n">
        <x:v>0.9900096828286012</x:v>
      </x:c>
      <x:c r="AD10" s="21" t="n">
        <x:v>0.8182179346546891</x:v>
      </x:c>
      <x:c r="AE10" s="25" t="n">
        <x:f>(AD10-AC10)/AC10</x:f>
        <x:v>-0.17352532116966599</x:v>
      </x:c>
      <x:c r="AF10" s="20" t="n">
        <x:v>0.9352328334071817</x:v>
      </x:c>
      <x:c r="AG10" s="21" t="n">
        <x:v>0.8757472603098329</x:v>
      </x:c>
      <x:c r="AH10" s="25" t="n">
        <x:f>(AG10-AF10)/AF10</x:f>
        <x:v>-0.06360509487315014</x:v>
      </x:c>
      <x:c r="AI10" s="20" t="n">
        <x:v>0.9899457956350605</x:v>
      </x:c>
      <x:c r="AJ10" s="21" t="n">
        <x:v>0.9607698598134546</x:v>
      </x:c>
      <x:c r="AK10" s="29" t="n">
        <x:f>(AJ10-AI10)/AI10</x:f>
        <x:v>-0.029472255905576287</x:v>
      </x:c>
      <x:c r="AL10" s="20" t="n">
        <x:v>0.1333271211084098</x:v>
      </x:c>
      <x:c r="AM10" s="21" t="n">
        <x:v>0.13018652740496547</x:v>
      </x:c>
      <x:c r="AN10" s="25" t="n">
        <x:f>(AM10-AL10)/AL10</x:f>
        <x:v>-0.023555550268655957</x:v>
      </x:c>
      <x:c r="AO10" s="20" t="n">
        <x:v>0.19196059548900862</x:v>
      </x:c>
      <x:c r="AP10" s="21" t="n">
        <x:v>0.19163905523322186</x:v>
      </x:c>
      <x:c r="AQ10" s="25" t="n">
        <x:f>(AP10-AO10)/AO10</x:f>
        <x:v>-0.001675032602225767</x:v>
      </x:c>
      <x:c r="AR10" s="20" t="n">
        <x:v>0.33496724056529875</x:v>
      </x:c>
      <x:c r="AS10" s="21" t="n">
        <x:v>0.3349672405660706</x:v>
      </x:c>
      <x:c r="AT10" s="25" t="n">
        <x:f>(AS10-AR10)/AR10</x:f>
        <x:v>2.3041866584232385e-12</x:v>
      </x:c>
      <x:c r="AU10" s="20" t="n">
        <x:v>0.47098583846107467</x:v>
      </x:c>
      <x:c r="AV10" s="21" t="n">
        <x:v>0.4709858384610747</x:v>
      </x:c>
      <x:c r="AW10" s="29" t="n">
        <x:f>(AV10-AU10)/AU10</x:f>
        <x:v>1.178616142953216e-16</x:v>
      </x:c>
      <x:c r="AX10" s="20" t="n">
        <x:v>0.29596647508290747</x:v>
      </x:c>
      <x:c r="AY10" s="21" t="n">
        <x:v>0.2808008880065244</x:v>
      </x:c>
      <x:c r="AZ10" s="25" t="n">
        <x:f>(AY10-AX10)/AX10</x:f>
        <x:v>-0.05124089501060819</x:v>
      </x:c>
      <x:c r="BA10" s="20" t="n">
        <x:v>0.3455599921922928</x:v>
      </x:c>
      <x:c r="BB10" s="21" t="n">
        <x:v>0.31269658357292807</x:v>
      </x:c>
      <x:c r="BC10" s="25" t="n">
        <x:f>(BB10-BA10)/BA10</x:f>
        <x:v>-0.09510189073356994</x:v>
      </x:c>
      <x:c r="BD10" s="20" t="n">
        <x:v>0.424233536785341</x:v>
      </x:c>
      <x:c r="BE10" s="21" t="n">
        <x:v>0.36644029475768014</x:v>
      </x:c>
      <x:c r="BF10" s="25" t="n">
        <x:f>(BE10-BD10)/BD10</x:f>
        <x:v>-0.136229781515137</x:v>
      </x:c>
      <x:c r="BG10" s="20" t="n">
        <x:v>0.4371093961378358</x:v>
      </x:c>
      <x:c r="BH10" s="21" t="n">
        <x:v>0.38029177471394976</x:v>
      </x:c>
      <x:c r="BI10" s="29" t="n">
        <x:f>(BH10-BG10)/BG10</x:f>
        <x:v>-0.12998490063565107</x:v>
      </x:c>
      <x:c r="BJ10" s="20" t="n">
        <x:v>1.1136970518834708</x:v>
      </x:c>
      <x:c r="BK10" s="21" t="n">
        <x:v>1.1136970518834708</x:v>
      </x:c>
      <x:c r="BL10" s="25" t="n">
        <x:f>(BK10-BJ10)/BJ10</x:f>
        <x:v>0</x:v>
      </x:c>
      <x:c r="BM10" s="20" t="n">
        <x:v>1.2781150498056244</x:v>
      </x:c>
      <x:c r="BN10" s="21" t="n">
        <x:v>1.2781150498056244</x:v>
      </x:c>
      <x:c r="BO10" s="25" t="n">
        <x:f>(BN10-BM10)/BM10</x:f>
        <x:v>0</x:v>
      </x:c>
      <x:c r="BP10" s="20" t="n">
        <x:v>1.3416884662270774</x:v>
      </x:c>
      <x:c r="BQ10" s="21" t="n">
        <x:v>1.3416884662270772</x:v>
      </x:c>
      <x:c r="BR10" s="25" t="n">
        <x:f>(BQ10-BP10)/BP10</x:f>
        <x:v>-1.6549639541095288e-16</x:v>
      </x:c>
      <x:c r="BS10" s="20" t="n">
        <x:v>1.5206820696563101</x:v>
      </x:c>
      <x:c r="BT10" s="21" t="n">
        <x:v>1.5039559594161893</x:v>
      </x:c>
      <x:c r="BU10" s="29" t="n">
        <x:f>(BT10-BS10)/BS10</x:f>
        <x:v>-0.010999084275321995</x:v>
      </x:c>
      <x:c r="BV10" s="20" t="n">
        <x:v>93.2256797838897</x:v>
      </x:c>
      <x:c r="BW10" s="21" t="n">
        <x:v>78.76997251695026</x:v>
      </x:c>
      <x:c r="BX10" s="25" t="n">
        <x:f>(BW10-BV10)/BV10</x:f>
        <x:v>-0.15506143050337431</x:v>
      </x:c>
      <x:c r="BY10" s="20" t="n">
        <x:v>96.53889005739344</x:v>
      </x:c>
      <x:c r="BZ10" s="21" t="n">
        <x:v>93.35109700108274</x:v>
      </x:c>
      <x:c r="CA10" s="25" t="n">
        <x:f>(BZ10-BY10)/BY10</x:f>
        <x:v>-0.03302081735573645</x:v>
      </x:c>
      <x:c r="CB10" s="20" t="n">
        <x:v>97.48980175008192</x:v>
      </x:c>
      <x:c r="CC10" s="21" t="n">
        <x:v>97.29639122657784</x:v>
      </x:c>
      <x:c r="CD10" s="25" t="n">
        <x:f>(CC10-CB10)/CB10</x:f>
        <x:v>-0.0019839051883590694</x:v>
      </x:c>
      <x:c r="CE10" s="20" t="n">
        <x:v>96.64963786673496</x:v>
      </x:c>
      <x:c r="CF10" s="21" t="n">
        <x:v>96.49813117656886</x:v>
      </x:c>
      <x:c r="CG10" s="29" t="n">
        <x:f>(CF10-CE10)/CE10</x:f>
        <x:v>-0.0015675867340031427</x:v>
      </x:c>
      <x:c r="CH10" s="20" t="n">
        <x:v>0.7169099234673274</x:v>
      </x:c>
      <x:c r="CI10" s="21" t="n">
        <x:v>0.7169099234673274</x:v>
      </x:c>
      <x:c r="CJ10" s="25" t="n">
        <x:f>(CI10-CH10)/CH10</x:f>
        <x:v>0</x:v>
      </x:c>
      <x:c r="CK10" s="20" t="n">
        <x:v>0.845313280627705</x:v>
      </x:c>
      <x:c r="CL10" s="21" t="n">
        <x:v>0.845313280627705</x:v>
      </x:c>
      <x:c r="CM10" s="25" t="n">
        <x:f>(CL10-CK10)/CK10</x:f>
        <x:v>0</x:v>
      </x:c>
      <x:c r="CN10" s="20" t="n">
        <x:v>0.8738624749434614</x:v>
      </x:c>
      <x:c r="CO10" s="21" t="n">
        <x:v>0.8738624749434614</x:v>
      </x:c>
      <x:c r="CP10" s="25" t="n">
        <x:f>(CO10-CN10)/CN10</x:f>
        <x:v>0</x:v>
      </x:c>
      <x:c r="CQ10" s="20" t="n">
        <x:v>0.9595029697920977</x:v>
      </x:c>
      <x:c r="CR10" s="21" t="n">
        <x:v>0.9599376492941004</x:v>
      </x:c>
      <x:c r="CS10" s="29" t="n">
        <x:f>(CR10-CQ10)/CQ10</x:f>
        <x:v>0.00045302569735338665</x:v>
      </x:c>
      <x:c r="CT10" s="20" t="n">
        <x:v>0.15184177843025573</x:v>
      </x:c>
      <x:c r="CU10" s="21" t="n">
        <x:v>0.15184177843025573</x:v>
      </x:c>
      <x:c r="CV10" s="25" t="n">
        <x:f>(CU10-CT10)/CT10</x:f>
        <x:v>0</x:v>
      </x:c>
      <x:c r="CW10" s="20" t="n">
        <x:v>0.15819917205889875</x:v>
      </x:c>
      <x:c r="CX10" s="21" t="n">
        <x:v>0.15819917205889875</x:v>
      </x:c>
      <x:c r="CY10" s="25" t="n">
        <x:f>(CX10-CW10)/CW10</x:f>
        <x:v>0</x:v>
      </x:c>
      <x:c r="CZ10" s="20" t="n">
        <x:v>0.1666901516930486</x:v>
      </x:c>
      <x:c r="DA10" s="21" t="n">
        <x:v>0.1666901516930486</x:v>
      </x:c>
      <x:c r="DB10" s="25" t="n">
        <x:f>(DA10-CZ10)/CZ10</x:f>
        <x:v>0</x:v>
      </x:c>
      <x:c r="DC10" s="20" t="n">
        <x:v>0.17549252996919057</x:v>
      </x:c>
      <x:c r="DD10" s="21" t="n">
        <x:v>0.1754925299691906</x:v>
      </x:c>
      <x:c r="DE10" s="29" t="n">
        <x:f>(DD10-DC10)/DC10</x:f>
        <x:v>1.581581598971858e-16</x:v>
      </x:c>
    </x:row>
    <x:row r="11" ht="26" customHeight="1">
      <x:c r="A11" s="11" t="str">
        <x:v>SpecTF</x:v>
      </x:c>
      <x:c r="B11" s="20" t="n">
        <x:v>0.2098411645526121</x:v>
      </x:c>
      <x:c r="C11" s="21" t="n">
        <x:v>0.19503883813547426</x:v>
      </x:c>
      <x:c r="D11" s="25" t="n">
        <x:f>(C11-B11)/B11</x:f>
        <x:v>-0.07054062270716449</x:v>
      </x:c>
      <x:c r="E11" s="20" t="n">
        <x:v>0.285905947009229</x:v>
      </x:c>
      <x:c r="F11" s="21" t="n">
        <x:v>0.285905947009229</x:v>
      </x:c>
      <x:c r="G11" s="25" t="n">
        <x:f>(F11-E11)/E11</x:f>
        <x:v>0</x:v>
      </x:c>
      <x:c r="H11" s="20" t="n">
        <x:v>0.3745156939748262</x:v>
      </x:c>
      <x:c r="I11" s="21" t="n">
        <x:v>0.35625884358332033</x:v>
      </x:c>
      <x:c r="J11" s="25" t="n">
        <x:f>(I11-H11)/H11</x:f>
        <x:v>-0.04874789143744947</x:v>
      </x:c>
      <x:c r="K11" s="20" t="n">
        <x:v>0.35785318025578033</x:v>
      </x:c>
      <x:c r="L11" s="21" t="n">
        <x:v>0.35785318025578033</x:v>
      </x:c>
      <x:c r="M11" s="29" t="n">
        <x:f>(L11-K11)/K11</x:f>
        <x:v>0</x:v>
      </x:c>
      <x:c r="N11" s="20" t="n">
        <x:v>1.0572414052259043</x:v>
      </x:c>
      <x:c r="O11" s="21" t="n">
        <x:v>1.0572414052328372</x:v>
      </x:c>
      <x:c r="P11" s="25" t="n">
        <x:f>(O11-N11)/N11</x:f>
        <x:v>6.557536117394946e-12</x:v>
      </x:c>
      <x:c r="Q11" s="20" t="n">
        <x:v>1.07353160690252</x:v>
      </x:c>
      <x:c r="R11" s="21" t="n">
        <x:v>1.07353160690252</x:v>
      </x:c>
      <x:c r="S11" s="25" t="n">
        <x:f>(R11-Q11)/Q11</x:f>
        <x:v>0</x:v>
      </x:c>
      <x:c r="T11" s="20" t="n">
        <x:v>1.1226732238917876</x:v>
      </x:c>
      <x:c r="U11" s="21" t="n">
        <x:v>1.1226732238917876</x:v>
      </x:c>
      <x:c r="V11" s="25" t="n">
        <x:f>(U11-T11)/T11</x:f>
        <x:v>0</x:v>
      </x:c>
      <x:c r="W11" s="20" t="n">
        <x:v>1.1263081593985549</x:v>
      </x:c>
      <x:c r="X11" s="21" t="n">
        <x:v>1.1263081593985549</x:v>
      </x:c>
      <x:c r="Y11" s="29" t="n">
        <x:f>(X11-W11)/W11</x:f>
        <x:v>0</x:v>
      </x:c>
      <x:c r="Z11" s="20" t="n">
        <x:v>0.15398558090161274</x:v>
      </x:c>
      <x:c r="AA11" s="21" t="n">
        <x:v>0.15398558090161274</x:v>
      </x:c>
      <x:c r="AB11" s="25" t="n">
        <x:f>(AA11-Z11)/Z11</x:f>
        <x:v>0</x:v>
      </x:c>
      <x:c r="AC11" s="20" t="n">
        <x:v>0.20794032049325598</x:v>
      </x:c>
      <x:c r="AD11" s="21" t="n">
        <x:v>0.19871709179462593</x:v>
      </x:c>
      <x:c r="AE11" s="25" t="n">
        <x:f>(AD11-AC11)/AC11</x:f>
        <x:v>-0.044355172083757444</x:v>
      </x:c>
      <x:c r="AF11" s="20" t="n">
        <x:v>0.19822602470059905</x:v>
      </x:c>
      <x:c r="AG11" s="21" t="n">
        <x:v>0.19822602470059905</x:v>
      </x:c>
      <x:c r="AH11" s="25" t="n">
        <x:f>(AG11-AF11)/AF11</x:f>
        <x:v>0</x:v>
      </x:c>
      <x:c r="AI11" s="20" t="n">
        <x:v>0.22845241864998087</x:v>
      </x:c>
      <x:c r="AJ11" s="21" t="n">
        <x:v>0.22845241864998087</x:v>
      </x:c>
      <x:c r="AK11" s="29" t="n">
        <x:f>(AJ11-AI11)/AI11</x:f>
        <x:v>0</x:v>
      </x:c>
      <x:c r="AL11" s="20" t="n">
        <x:v>0.09577729990129709</x:v>
      </x:c>
      <x:c r="AM11" s="21" t="n">
        <x:v>0.09623937005355043</x:v>
      </x:c>
      <x:c r="AN11" s="25" t="n">
        <x:f>(AM11-AL11)/AL11</x:f>
        <x:v>0.00482442241250827</x:v>
      </x:c>
      <x:c r="AO11" s="20" t="n">
        <x:v>0.2114401345279641</x:v>
      </x:c>
      <x:c r="AP11" s="21" t="n">
        <x:v>0.2114401345279641</x:v>
      </x:c>
      <x:c r="AQ11" s="25" t="n">
        <x:f>(AP11-AO11)/AO11</x:f>
        <x:v>0</x:v>
      </x:c>
      <x:c r="AR11" s="20" t="n">
        <x:v>0.30615976416374785</x:v>
      </x:c>
      <x:c r="AS11" s="21" t="n">
        <x:v>0.30615976416374785</x:v>
      </x:c>
      <x:c r="AT11" s="25" t="n">
        <x:f>(AS11-AR11)/AR11</x:f>
        <x:v>0</x:v>
      </x:c>
      <x:c r="AU11" s="20" t="n">
        <x:v>0.3815823420985617</x:v>
      </x:c>
      <x:c r="AV11" s="21" t="n">
        <x:v>0.3815823420985616</x:v>
      </x:c>
      <x:c r="AW11" s="29" t="n">
        <x:f>(AV11-AU11)/AU11</x:f>
        <x:v>-1.4547620554443646e-16</x:v>
      </x:c>
      <x:c r="AX11" s="20" t="n">
        <x:v>0.30443698331933344</x:v>
      </x:c>
      <x:c r="AY11" s="21" t="n">
        <x:v>0.29870367880875903</x:v>
      </x:c>
      <x:c r="AZ11" s="25" t="n">
        <x:f>(AY11-AX11)/AX11</x:f>
        <x:v>-0.01883248364920424</x:v>
      </x:c>
      <x:c r="BA11" s="20" t="n">
        <x:v>0.3294876408245237</x:v>
      </x:c>
      <x:c r="BB11" s="21" t="n">
        <x:v>0.32958199471503863</x:v>
      </x:c>
      <x:c r="BC11" s="25" t="n">
        <x:f>(BB11-BA11)/BA11</x:f>
        <x:v>0.0002863654924318736</x:v>
      </x:c>
      <x:c r="BD11" s="20" t="n">
        <x:v>0.3021611736934637</x:v>
      </x:c>
      <x:c r="BE11" s="21" t="n">
        <x:v>0.2891511643617107</x:v>
      </x:c>
      <x:c r="BF11" s="25" t="n">
        <x:f>(BE11-BD11)/BD11</x:f>
        <x:v>-0.0430565223609814</x:v>
      </x:c>
      <x:c r="BG11" s="20" t="n">
        <x:v>0.3039387794760956</x:v>
      </x:c>
      <x:c r="BH11" s="21" t="n">
        <x:v>0.30100612584665193</x:v>
      </x:c>
      <x:c r="BI11" s="29" t="n">
        <x:f>(BH11-BG11)/BG11</x:f>
        <x:v>-0.009648830052218857</x:v>
      </x:c>
      <x:c r="BJ11" s="20" t="n">
        <x:v>1.4038450804546994</x:v>
      </x:c>
      <x:c r="BK11" s="21" t="n">
        <x:v>1.4038450804546994</x:v>
      </x:c>
      <x:c r="BL11" s="25" t="n">
        <x:f>(BK11-BJ11)/BJ11</x:f>
        <x:v>0</x:v>
      </x:c>
      <x:c r="BM11" s="20" t="n">
        <x:v>1.8081685181614635</x:v>
      </x:c>
      <x:c r="BN11" s="21" t="n">
        <x:v>1.8081685181614635</x:v>
      </x:c>
      <x:c r="BO11" s="25" t="n">
        <x:f>(BN11-BM11)/BM11</x:f>
        <x:v>0</x:v>
      </x:c>
      <x:c r="BP11" s="20" t="n">
        <x:v>1.9760118218181606</x:v>
      </x:c>
      <x:c r="BQ11" s="21" t="n">
        <x:v>1.9760118218181606</x:v>
      </x:c>
      <x:c r="BR11" s="25" t="n">
        <x:f>(BQ11-BP11)/BP11</x:f>
        <x:v>0</x:v>
      </x:c>
      <x:c r="BS11" s="20" t="n">
        <x:v>1.8182009804632495</x:v>
      </x:c>
      <x:c r="BT11" s="21" t="n">
        <x:v>1.8182009804611994</x:v>
      </x:c>
      <x:c r="BU11" s="29" t="n">
        <x:f>(BT11-BS11)/BS11</x:f>
        <x:v>-1.1275639268165342e-12</x:v>
      </x:c>
      <x:c r="BV11" s="20" t="n">
        <x:v>67.14183396997961</x:v>
      </x:c>
      <x:c r="BW11" s="21" t="n">
        <x:v>67.14183396997961</x:v>
      </x:c>
      <x:c r="BX11" s="25" t="n">
        <x:f>(BW11-BV11)/BV11</x:f>
        <x:v>0</x:v>
      </x:c>
      <x:c r="BY11" s="20" t="n">
        <x:v>70.6990198622295</x:v>
      </x:c>
      <x:c r="BZ11" s="21" t="n">
        <x:v>70.6990198622295</x:v>
      </x:c>
      <x:c r="CA11" s="25" t="n">
        <x:f>(BZ11-BY11)/BY11</x:f>
        <x:v>0</x:v>
      </x:c>
      <x:c r="CB11" s="20" t="n">
        <x:v>73.9949897801101</x:v>
      </x:c>
      <x:c r="CC11" s="21" t="n">
        <x:v>73.9949897801101</x:v>
      </x:c>
      <x:c r="CD11" s="25" t="n">
        <x:f>(CC11-CB11)/CB11</x:f>
        <x:v>0</x:v>
      </x:c>
      <x:c r="CE11" s="20" t="n">
        <x:v>78.07562570941445</x:v>
      </x:c>
      <x:c r="CF11" s="21" t="n">
        <x:v>78.07562570941445</x:v>
      </x:c>
      <x:c r="CG11" s="29" t="n">
        <x:f>(CF11-CE11)/CE11</x:f>
        <x:v>0</x:v>
      </x:c>
      <x:c r="CH11" s="20" t="n">
        <x:v>0.9929525026766165</x:v>
      </x:c>
      <x:c r="CI11" s="21" t="n">
        <x:v>0.9929525026766165</x:v>
      </x:c>
      <x:c r="CJ11" s="25" t="n">
        <x:f>(CI11-CH11)/CH11</x:f>
        <x:v>0</x:v>
      </x:c>
      <x:c r="CK11" s="20" t="n">
        <x:v>1.0952617932062743</x:v>
      </x:c>
      <x:c r="CL11" s="21" t="n">
        <x:v>1.0952617932247752</x:v>
      </x:c>
      <x:c r="CM11" s="25" t="n">
        <x:f>(CL11-CK11)/CK11</x:f>
        <x:v>1.6891832292258352e-11</x:v>
      </x:c>
      <x:c r="CN11" s="20" t="n">
        <x:v>1.3973327760600354</x:v>
      </x:c>
      <x:c r="CO11" s="21" t="n">
        <x:v>1.3973327760600354</x:v>
      </x:c>
      <x:c r="CP11" s="25" t="n">
        <x:f>(CO11-CN11)/CN11</x:f>
        <x:v>0</x:v>
      </x:c>
      <x:c r="CQ11" s="20" t="n">
        <x:v>1.302310829209715</x:v>
      </x:c>
      <x:c r="CR11" s="21" t="n">
        <x:v>1.302310829209715</x:v>
      </x:c>
      <x:c r="CS11" s="29" t="n">
        <x:f>(CR11-CQ11)/CQ11</x:f>
        <x:v>0</x:v>
      </x:c>
      <x:c r="CT11" s="20" t="n">
        <x:v>0.16757848338838088</x:v>
      </x:c>
      <x:c r="CU11" s="21" t="n">
        <x:v>0.16757848338838088</x:v>
      </x:c>
      <x:c r="CV11" s="25" t="n">
        <x:f>(CU11-CT11)/CT11</x:f>
        <x:v>0</x:v>
      </x:c>
      <x:c r="CW11" s="20" t="n">
        <x:v>0.18590940564234654</x:v>
      </x:c>
      <x:c r="CX11" s="21" t="n">
        <x:v>0.18578683097490775</x:v>
      </x:c>
      <x:c r="CY11" s="25" t="n">
        <x:f>(CX11-CW11)/CW11</x:f>
        <x:v>-0.000659324723325698</x:v>
      </x:c>
      <x:c r="CZ11" s="20" t="n">
        <x:v>0.19986794571428487</x:v>
      </x:c>
      <x:c r="DA11" s="21" t="n">
        <x:v>0.19986794571428487</x:v>
      </x:c>
      <x:c r="DB11" s="25" t="n">
        <x:f>(DA11-CZ11)/CZ11</x:f>
        <x:v>0</x:v>
      </x:c>
      <x:c r="DC11" s="20" t="n">
        <x:v>0.18894771280705278</x:v>
      </x:c>
      <x:c r="DD11" s="21" t="n">
        <x:v>0.18894771280705278</x:v>
      </x:c>
      <x:c r="DE11" s="29" t="n">
        <x:f>(DD11-DC11)/DC11</x:f>
        <x:v>0</x:v>
      </x:c>
    </x:row>
    <x:row r="12" ht="26" customHeight="1">
      <x:c r="A12" s="11" t="str">
        <x:v>CFA</x:v>
      </x:c>
      <x:c r="B12" s="20" t="n">
        <x:v>0.16785088749539434</x:v>
      </x:c>
      <x:c r="C12" s="21" t="n">
        <x:v>0.16785088749539434</x:v>
      </x:c>
      <x:c r="D12" s="25" t="n">
        <x:f>(C12-B12)/B12</x:f>
        <x:v>0</x:v>
      </x:c>
      <x:c r="E12" s="20" t="n">
        <x:v>0.2135153200313922</x:v>
      </x:c>
      <x:c r="F12" s="21" t="n">
        <x:v>0.2135153200313922</x:v>
      </x:c>
      <x:c r="G12" s="25" t="n">
        <x:f>(F12-E12)/E12</x:f>
        <x:v>0</x:v>
      </x:c>
      <x:c r="H12" s="20" t="n">
        <x:v>0.29576657031370107</x:v>
      </x:c>
      <x:c r="I12" s="21" t="n">
        <x:v>0.29576657031370107</x:v>
      </x:c>
      <x:c r="J12" s="25" t="n">
        <x:f>(I12-H12)/H12</x:f>
        <x:v>0</x:v>
      </x:c>
      <x:c r="K12" s="20" t="n">
        <x:v>0.37551116732851375</x:v>
      </x:c>
      <x:c r="L12" s="21" t="n">
        <x:v>0.3341299192220575</x:v>
      </x:c>
      <x:c r="M12" s="29" t="n">
        <x:f>(L12-K12)/K12</x:f>
        <x:v>-0.11019978021120774</x:v>
      </x:c>
      <x:c r="N12" s="20" t="n">
        <x:v>1.2072524518723515</x:v>
      </x:c>
      <x:c r="O12" s="21" t="n">
        <x:v>1.207252451827332</x:v>
      </x:c>
      <x:c r="P12" s="25" t="n">
        <x:f>(O12-N12)/N12</x:f>
        <x:v>-3.729091092648303e-11</x:v>
      </x:c>
      <x:c r="Q12" s="20" t="n">
        <x:v>1.1615048166871749</x:v>
      </x:c>
      <x:c r="R12" s="21" t="n">
        <x:v>1.1615048166871749</x:v>
      </x:c>
      <x:c r="S12" s="25" t="n">
        <x:f>(R12-Q12)/Q12</x:f>
        <x:v>0</x:v>
      </x:c>
      <x:c r="T12" s="20" t="n">
        <x:v>1.0921057930035716</x:v>
      </x:c>
      <x:c r="U12" s="21" t="n">
        <x:v>1.0921057930063105</x:v>
      </x:c>
      <x:c r="V12" s="25" t="n">
        <x:f>(U12-T12)/T12</x:f>
        <x:v>2.5079257149781497e-12</x:v>
      </x:c>
      <x:c r="W12" s="20" t="n">
        <x:v>1.116828027737457</x:v>
      </x:c>
      <x:c r="X12" s="21" t="n">
        <x:v>1.1168280277392026</x:v>
      </x:c>
      <x:c r="Y12" s="29" t="n">
        <x:f>(X12-W12)/W12</x:f>
        <x:v>1.5631007107308892e-12</x:v>
      </x:c>
      <x:c r="Z12" s="20" t="n">
        <x:v>0.17158745546126114</x:v>
      </x:c>
      <x:c r="AA12" s="21" t="n">
        <x:v>0.17138097061577887</x:v>
      </x:c>
      <x:c r="AB12" s="25" t="n">
        <x:f>(AA12-Z12)/Z12</x:f>
        <x:v>-0.0012033796114477137</x:v>
      </x:c>
      <x:c r="AC12" s="20" t="n">
        <x:v>0.19030338745728353</x:v>
      </x:c>
      <x:c r="AD12" s="21" t="n">
        <x:v>0.18486033380818037</x:v>
      </x:c>
      <x:c r="AE12" s="25" t="n">
        <x:f>(AD12-AC12)/AC12</x:f>
        <x:v>-0.028601979827211108</x:v>
      </x:c>
      <x:c r="AF12" s="20" t="n">
        <x:v>0.23586643317586922</x:v>
      </x:c>
      <x:c r="AG12" s="21" t="n">
        <x:v>0.23586643317586922</x:v>
      </x:c>
      <x:c r="AH12" s="25" t="n">
        <x:f>(AG12-AF12)/AF12</x:f>
        <x:v>0</x:v>
      </x:c>
      <x:c r="AI12" s="20" t="n">
        <x:v>0.23668466176642305</x:v>
      </x:c>
      <x:c r="AJ12" s="21" t="n">
        <x:v>0.23668466176642303</x:v>
      </x:c>
      <x:c r="AK12" s="29" t="n">
        <x:f>(AJ12-AI12)/AI12</x:f>
        <x:v>-1.1726816350702122e-16</x:v>
      </x:c>
      <x:c r="AL12" s="20" t="n">
        <x:v>0.10983223824033</x:v>
      </x:c>
      <x:c r="AM12" s="21" t="n">
        <x:v>0.10983223824033</x:v>
      </x:c>
      <x:c r="AN12" s="25" t="n">
        <x:f>(AM12-AL12)/AL12</x:f>
        <x:v>0</x:v>
      </x:c>
      <x:c r="AO12" s="20" t="n">
        <x:v>0.22252381884649639</x:v>
      </x:c>
      <x:c r="AP12" s="21" t="n">
        <x:v>0.22252381884649639</x:v>
      </x:c>
      <x:c r="AQ12" s="25" t="n">
        <x:f>(AP12-AO12)/AO12</x:f>
        <x:v>0</x:v>
      </x:c>
      <x:c r="AR12" s="20" t="n">
        <x:v>0.3763866597826456</x:v>
      </x:c>
      <x:c r="AS12" s="21" t="n">
        <x:v>0.3763866597826457</x:v>
      </x:c>
      <x:c r="AT12" s="25" t="n">
        <x:f>(AS12-AR12)/AR12</x:f>
        <x:v>1.474843748801145e-16</x:v>
      </x:c>
      <x:c r="AU12" s="20" t="n">
        <x:v>0.3953827732857235</x:v>
      </x:c>
      <x:c r="AV12" s="21" t="n">
        <x:v>0.3953827732857235</x:v>
      </x:c>
      <x:c r="AW12" s="29" t="n">
        <x:f>(AV12-AU12)/AU12</x:f>
        <x:v>0</x:v>
      </x:c>
      <x:c r="AX12" s="20" t="n">
        <x:v>0.31664634101683053</x:v>
      </x:c>
      <x:c r="AY12" s="21" t="n">
        <x:v>0.31675574694978575</x:v>
      </x:c>
      <x:c r="AZ12" s="25" t="n">
        <x:f>(AY12-AX12)/AX12</x:f>
        <x:v>0.000345514597149268</x:v>
      </x:c>
      <x:c r="BA12" s="20" t="n">
        <x:v>0.35261779682305505</x:v>
      </x:c>
      <x:c r="BB12" s="21" t="n">
        <x:v>0.35660974252944483</x:v>
      </x:c>
      <x:c r="BC12" s="25" t="n">
        <x:f>(BB12-BA12)/BA12</x:f>
        <x:v>0.011320885509340727</x:v>
      </x:c>
      <x:c r="BD12" s="20" t="n">
        <x:v>0.35717743889884385</x:v>
      </x:c>
      <x:c r="BE12" s="21" t="n">
        <x:v>0.35336967838925476</x:v>
      </x:c>
      <x:c r="BF12" s="25" t="n">
        <x:f>(BE12-BD12)/BD12</x:f>
        <x:v>-0.010660697163091204</x:v>
      </x:c>
      <x:c r="BG12" s="20" t="n">
        <x:v>0.34801837631476107</x:v>
      </x:c>
      <x:c r="BH12" s="21" t="n">
        <x:v>0.3478094772492087</x:v>
      </x:c>
      <x:c r="BI12" s="29" t="n">
        <x:f>(BH12-BG12)/BG12</x:f>
        <x:v>-0.000600252974467777</x:v>
      </x:c>
      <x:c r="BJ12" s="20" t="n">
        <x:v>1.2511063849645137</x:v>
      </x:c>
      <x:c r="BK12" s="21" t="n">
        <x:v>1.2511063849645137</x:v>
      </x:c>
      <x:c r="BL12" s="25" t="n">
        <x:f>(BK12-BJ12)/BJ12</x:f>
        <x:v>0</x:v>
      </x:c>
      <x:c r="BM12" s="20" t="n">
        <x:v>2.2477706654605583</x:v>
      </x:c>
      <x:c r="BN12" s="21" t="n">
        <x:v>2.2477706654605583</x:v>
      </x:c>
      <x:c r="BO12" s="25" t="n">
        <x:f>(BN12-BM12)/BM12</x:f>
        <x:v>0</x:v>
      </x:c>
      <x:c r="BP12" s="20" t="n">
        <x:v>3.2615469383600995</x:v>
      </x:c>
      <x:c r="BQ12" s="21" t="n">
        <x:v>3.2615469383600995</x:v>
      </x:c>
      <x:c r="BR12" s="25" t="n">
        <x:f>(BQ12-BP12)/BP12</x:f>
        <x:v>0</x:v>
      </x:c>
      <x:c r="BS12" s="20" t="n">
        <x:v>2.486236831301244</x:v>
      </x:c>
      <x:c r="BT12" s="21" t="n">
        <x:v>2.486236831301244</x:v>
      </x:c>
      <x:c r="BU12" s="29" t="n">
        <x:f>(BT12-BS12)/BS12</x:f>
        <x:v>0</x:v>
      </x:c>
      <x:c r="BV12" s="20" t="n">
        <x:v>73.16995799985796</x:v>
      </x:c>
      <x:c r="BW12" s="21" t="n">
        <x:v>73.16995799985796</x:v>
      </x:c>
      <x:c r="BX12" s="25" t="n">
        <x:f>(BW12-BV12)/BV12</x:f>
        <x:v>0</x:v>
      </x:c>
      <x:c r="BY12" s="20" t="n">
        <x:v>91.43265867362122</x:v>
      </x:c>
      <x:c r="BZ12" s="21" t="n">
        <x:v>91.43265867362122</x:v>
      </x:c>
      <x:c r="CA12" s="25" t="n">
        <x:f>(BZ12-BY12)/BY12</x:f>
        <x:v>0</x:v>
      </x:c>
      <x:c r="CB12" s="20" t="n">
        <x:v>81.72534727849892</x:v>
      </x:c>
      <x:c r="CC12" s="21" t="n">
        <x:v>81.72534727800492</x:v>
      </x:c>
      <x:c r="CD12" s="25" t="n">
        <x:f>(CC12-CB12)/CB12</x:f>
        <x:v>-6.044608534074932e-12</x:v>
      </x:c>
      <x:c r="CE12" s="20" t="n">
        <x:v>101.22611710260571</x:v>
      </x:c>
      <x:c r="CF12" s="21" t="n">
        <x:v>101.2261170885544</x:v>
      </x:c>
      <x:c r="CG12" s="29" t="n">
        <x:f>(CF12-CE12)/CE12</x:f>
        <x:v>-1.3881110776057544e-10</x:v>
      </x:c>
      <x:c r="CH12" s="20" t="n">
        <x:v>0.9942550612647435</x:v>
      </x:c>
      <x:c r="CI12" s="21" t="n">
        <x:v>0.9942550612647435</x:v>
      </x:c>
      <x:c r="CJ12" s="25" t="n">
        <x:f>(CI12-CH12)/CH12</x:f>
        <x:v>0</x:v>
      </x:c>
      <x:c r="CK12" s="20" t="n">
        <x:v>0.8982351742735893</x:v>
      </x:c>
      <x:c r="CL12" s="21" t="n">
        <x:v>0.8982351742873981</x:v>
      </x:c>
      <x:c r="CM12" s="25" t="n">
        <x:f>(CL12-CK12)/CK12</x:f>
        <x:v>1.5373181023388463e-11</x:v>
      </x:c>
      <x:c r="CN12" s="20" t="n">
        <x:v>0.9862629560847868</x:v>
      </x:c>
      <x:c r="CO12" s="21" t="n">
        <x:v>0.9862629560847868</x:v>
      </x:c>
      <x:c r="CP12" s="25" t="n">
        <x:f>(CO12-CN12)/CN12</x:f>
        <x:v>0</x:v>
      </x:c>
      <x:c r="CQ12" s="20" t="n">
        <x:v>1.1426291047109751</x:v>
      </x:c>
      <x:c r="CR12" s="21" t="n">
        <x:v>1.1426291047609711</x:v>
      </x:c>
      <x:c r="CS12" s="29" t="n">
        <x:f>(CR12-CQ12)/CQ12</x:f>
        <x:v>4.375523704761245e-11</x:v>
      </x:c>
      <x:c r="CT12" s="20" t="n">
        <x:v>0.15811983108467015</x:v>
      </x:c>
      <x:c r="CU12" s="21" t="n">
        <x:v>0.15614976557771107</x:v>
      </x:c>
      <x:c r="CV12" s="25" t="n">
        <x:f>(CU12-CT12)/CT12</x:f>
        <x:v>-0.012459319577088002</x:v>
      </x:c>
      <x:c r="CW12" s="20" t="n">
        <x:v>0.15928932672901436</x:v>
      </x:c>
      <x:c r="CX12" s="21" t="n">
        <x:v>0.15928932672901436</x:v>
      </x:c>
      <x:c r="CY12" s="25" t="n">
        <x:f>(CX12-CW12)/CW12</x:f>
        <x:v>0</x:v>
      </x:c>
      <x:c r="CZ12" s="20" t="n">
        <x:v>0.1732082597712524</x:v>
      </x:c>
      <x:c r="DA12" s="21" t="n">
        <x:v>0.1732082597712524</x:v>
      </x:c>
      <x:c r="DB12" s="25" t="n">
        <x:f>(DA12-CZ12)/CZ12</x:f>
        <x:v>0</x:v>
      </x:c>
      <x:c r="DC12" s="20" t="n">
        <x:v>0.17699060160295385</x:v>
      </x:c>
      <x:c r="DD12" s="21" t="n">
        <x:v>0.17699060160295385</x:v>
      </x:c>
      <x:c r="DE12" s="29" t="n">
        <x:f>(DD12-DC12)/DC12</x:f>
        <x:v>0</x:v>
      </x:c>
    </x:row>
    <x:row r="13" ht="26" customHeight="1">
      <x:c r="A13" s="11" t="str">
        <x:v>Aurora</x:v>
      </x:c>
      <x:c r="B13" s="20" t="n">
        <x:v>0.9220825499208489</x:v>
      </x:c>
      <x:c r="C13" s="21" t="n">
        <x:v>0.6123797379431767</x:v>
      </x:c>
      <x:c r="D13" s="25" t="n">
        <x:f>(C13-B13)/B13</x:f>
        <x:v>-0.33587319487203937</x:v>
      </x:c>
      <x:c r="E13" s="20" t="n">
        <x:v>1.000703602706396</x:v>
      </x:c>
      <x:c r="F13" s="21" t="n">
        <x:v>0.6984608144350771</x:v>
      </x:c>
      <x:c r="G13" s="25" t="n">
        <x:f>(F13-E13)/E13</x:f>
        <x:v>-0.3020302789496364</x:v>
      </x:c>
      <x:c r="H13" s="20" t="n">
        <x:v>1.0489926219606276</x:v>
      </x:c>
      <x:c r="I13" s="21" t="n">
        <x:v>0.7326247429868493</x:v>
      </x:c>
      <x:c r="J13" s="25" t="n">
        <x:f>(I13-H13)/H13</x:f>
        <x:v>-0.3015920916416633</x:v>
      </x:c>
      <x:c r="K13" s="20" t="n">
        <x:v>1.0627157999916093</x:v>
      </x:c>
      <x:c r="L13" s="21" t="n">
        <x:v>0.7716000380838873</x:v>
      </x:c>
      <x:c r="M13" s="29" t="n">
        <x:f>(L13-K13)/K13</x:f>
        <x:v>-0.2739356673816466</x:v>
      </x:c>
      <x:c r="N13" s="20" t="n">
        <x:v>1.1349327105336318</x:v>
      </x:c>
      <x:c r="O13" s="21" t="n">
        <x:v>1.1349327105976588</x:v>
      </x:c>
      <x:c r="P13" s="25" t="n">
        <x:f>(O13-N13)/N13</x:f>
        <x:v>5.641480356067797e-11</x:v>
      </x:c>
      <x:c r="Q13" s="20" t="n">
        <x:v>1.1448523384243392</x:v>
      </x:c>
      <x:c r="R13" s="21" t="n">
        <x:v>1.1448523384243392</x:v>
      </x:c>
      <x:c r="S13" s="25" t="n">
        <x:f>(R13-Q13)/Q13</x:f>
        <x:v>0</x:v>
      </x:c>
      <x:c r="T13" s="20" t="n">
        <x:v>1.160987237939077</x:v>
      </x:c>
      <x:c r="U13" s="21" t="n">
        <x:v>1.1609872381995572</x:v>
      </x:c>
      <x:c r="V13" s="25" t="n">
        <x:f>(U13-T13)/T13</x:f>
        <x:v>2.2436084862632494e-10</x:v>
      </x:c>
      <x:c r="W13" s="20" t="n">
        <x:v>1.1706371855200317</x:v>
      </x:c>
      <x:c r="X13" s="21" t="n">
        <x:v>1.1706371855200317</x:v>
      </x:c>
      <x:c r="Y13" s="29" t="n">
        <x:f>(X13-W13)/W13</x:f>
        <x:v>0</x:v>
      </x:c>
      <x:c r="Z13" s="20" t="n">
        <x:v>0.276509449314873</x:v>
      </x:c>
      <x:c r="AA13" s="21" t="n">
        <x:v>0.276509449314873</x:v>
      </x:c>
      <x:c r="AB13" s="25" t="n">
        <x:f>(AA13-Z13)/Z13</x:f>
        <x:v>0</x:v>
      </x:c>
      <x:c r="AC13" s="20" t="n">
        <x:v>0.30134888800131915</x:v>
      </x:c>
      <x:c r="AD13" s="21" t="n">
        <x:v>0.30134888800131915</x:v>
      </x:c>
      <x:c r="AE13" s="25" t="n">
        <x:f>(AD13-AC13)/AC13</x:f>
        <x:v>0</x:v>
      </x:c>
      <x:c r="AF13" s="20" t="n">
        <x:v>0.31950637541484384</x:v>
      </x:c>
      <x:c r="AG13" s="21" t="n">
        <x:v>0.31950637541484384</x:v>
      </x:c>
      <x:c r="AH13" s="25" t="n">
        <x:f>(AG13-AF13)/AF13</x:f>
        <x:v>0</x:v>
      </x:c>
      <x:c r="AI13" s="20" t="n">
        <x:v>0.3338778963764754</x:v>
      </x:c>
      <x:c r="AJ13" s="21" t="n">
        <x:v>0.3338778963764754</x:v>
      </x:c>
      <x:c r="AK13" s="29" t="n">
        <x:f>(AJ13-AI13)/AI13</x:f>
        <x:v>0</x:v>
      </x:c>
      <x:c r="AL13" s="20" t="n">
        <x:v>0.2606396293829479</x:v>
      </x:c>
      <x:c r="AM13" s="21" t="n">
        <x:v>0.2358359186150466</x:v>
      </x:c>
      <x:c r="AN13" s="25" t="n">
        <x:f>(AM13-AL13)/AL13</x:f>
        <x:v>-0.09516477147632116</x:v>
      </x:c>
      <x:c r="AO13" s="20" t="n">
        <x:v>0.3169472024030514</x:v>
      </x:c>
      <x:c r="AP13" s="21" t="n">
        <x:v>0.3169472024030514</x:v>
      </x:c>
      <x:c r="AQ13" s="25" t="n">
        <x:f>(AP13-AO13)/AO13</x:f>
        <x:v>0</x:v>
      </x:c>
      <x:c r="AR13" s="20" t="n">
        <x:v>0.3960474992539366</x:v>
      </x:c>
      <x:c r="AS13" s="21" t="n">
        <x:v>0.3960474992539366</x:v>
      </x:c>
      <x:c r="AT13" s="25" t="n">
        <x:f>(AS13-AR13)/AR13</x:f>
        <x:v>0</x:v>
      </x:c>
      <x:c r="AU13" s="20" t="n">
        <x:v>0.4675554391113816</x:v>
      </x:c>
      <x:c r="AV13" s="21" t="n">
        <x:v>0.46755543909884273</x:v>
      </x:c>
      <x:c r="AW13" s="29" t="n">
        <x:f>(AV13-AU13)/AU13</x:f>
        <x:v>-2.6817908190625276e-11</x:v>
      </x:c>
      <x:c r="AX13" s="20" t="n">
        <x:v>0.39488863757207215</x:v>
      </x:c>
      <x:c r="AY13" s="21" t="n">
        <x:v>0.3937494760086843</x:v>
      </x:c>
      <x:c r="AZ13" s="25" t="n">
        <x:f>(AY13-AX13)/AX13</x:f>
        <x:v>-0.002884766627857011</x:v>
      </x:c>
      <x:c r="BA13" s="20" t="n">
        <x:v>0.43624974417127504</x:v>
      </x:c>
      <x:c r="BB13" s="21" t="n">
        <x:v>0.4322944462143441</x:v>
      </x:c>
      <x:c r="BC13" s="25" t="n">
        <x:f>(BB13-BA13)/BA13</x:f>
        <x:v>-0.009066590891519392</x:v>
      </x:c>
      <x:c r="BD13" s="20" t="n">
        <x:v>0.4248413094029132</x:v>
      </x:c>
      <x:c r="BE13" s="21" t="n">
        <x:v>0.4240099846343492</x:v>
      </x:c>
      <x:c r="BF13" s="25" t="n">
        <x:f>(BE13-BD13)/BD13</x:f>
        <x:v>-0.0019567889236863176</x:v>
      </x:c>
      <x:c r="BG13" s="20" t="n">
        <x:v>0.4190524482224486</x:v>
      </x:c>
      <x:c r="BH13" s="21" t="n">
        <x:v>0.4197502191908395</x:v>
      </x:c>
      <x:c r="BI13" s="29" t="n">
        <x:f>(BH13-BG13)/BG13</x:f>
        <x:v>0.0016651160764022234</x:v>
      </x:c>
      <x:c r="BJ13" s="20" t="n">
        <x:v>2.9515839192135953</x:v>
      </x:c>
      <x:c r="BK13" s="21" t="n">
        <x:v>2.417123139523158</x:v>
      </x:c>
      <x:c r="BL13" s="25" t="n">
        <x:f>(BK13-BJ13)/BJ13</x:f>
        <x:v>-0.1810759220536871</x:v>
      </x:c>
      <x:c r="BM13" s="20" t="n">
        <x:v>3.68080986261969</x:v>
      </x:c>
      <x:c r="BN13" s="21" t="n">
        <x:v>3.2134414974460923</x:v>
      </x:c>
      <x:c r="BO13" s="25" t="n">
        <x:f>(BN13-BM13)/BM13</x:f>
        <x:v>-0.12697432973105657</x:v>
      </x:c>
      <x:c r="BP13" s="20" t="n">
        <x:v>3.2140425584838486</x:v>
      </x:c>
      <x:c r="BQ13" s="21" t="n">
        <x:v>3.2140425584838486</x:v>
      </x:c>
      <x:c r="BR13" s="25" t="n">
        <x:f>(BQ13-BP13)/BP13</x:f>
        <x:v>0</x:v>
      </x:c>
      <x:c r="BS13" s="20" t="n">
        <x:v>3.04441356828496</x:v>
      </x:c>
      <x:c r="BT13" s="21" t="n">
        <x:v>3.0444135682849605</x:v>
      </x:c>
      <x:c r="BU13" s="29" t="n">
        <x:f>(BT13-BS13)/BS13</x:f>
        <x:v>1.458701979508769e-16</x:v>
      </x:c>
      <x:c r="BV13" s="20" t="n">
        <x:v>77.16228360015839</x:v>
      </x:c>
      <x:c r="BW13" s="21" t="n">
        <x:v>79.83116433189004</x:v>
      </x:c>
      <x:c r="BX13" s="25" t="n">
        <x:f>(BW13-BV13)/BV13</x:f>
        <x:v>0.034587892001244104</x:v>
      </x:c>
      <x:c r="BY13" s="20" t="n">
        <x:v>81.18467338330083</x:v>
      </x:c>
      <x:c r="BZ13" s="21" t="n">
        <x:v>81.3624637965272</x:v>
      </x:c>
      <x:c r="CA13" s="25" t="n">
        <x:f>(BZ13-BY13)/BY13</x:f>
        <x:v>0.002189950464996658</x:v>
      </x:c>
      <x:c r="CB13" s="20" t="n">
        <x:v>84.90057875764339</x:v>
      </x:c>
      <x:c r="CC13" s="21" t="n">
        <x:v>84.9302949110946</x:v>
      </x:c>
      <x:c r="CD13" s="25" t="n">
        <x:f>(CC13-CB13)/CB13</x:f>
        <x:v>0.00035001119999483163</x:v>
      </x:c>
      <x:c r="CE13" s="20" t="n">
        <x:v>89.22429087175277</x:v>
      </x:c>
      <x:c r="CF13" s="21" t="n">
        <x:v>89.2499523393779</x:v>
      </x:c>
      <x:c r="CG13" s="29" t="n">
        <x:f>(CF13-CE13)/CE13</x:f>
        <x:v>0.00028760629391845943</x:v>
      </x:c>
      <x:c r="CH13" s="20" t="n">
        <x:v>1.6768303961171411</x:v>
      </x:c>
      <x:c r="CI13" s="21" t="n">
        <x:v>1.5137062200687357</x:v>
      </x:c>
      <x:c r="CJ13" s="25" t="n">
        <x:f>(CI13-CH13)/CH13</x:f>
        <x:v>-0.09728126137630548</x:v>
      </x:c>
      <x:c r="CK13" s="20" t="n">
        <x:v>1.787518923563987</x:v>
      </x:c>
      <x:c r="CL13" s="21" t="n">
        <x:v>1.6569579642730847</x:v>
      </x:c>
      <x:c r="CM13" s="25" t="n">
        <x:f>(CL13-CK13)/CK13</x:f>
        <x:v>-0.07304032285744283</x:v>
      </x:c>
      <x:c r="CN13" s="20" t="n">
        <x:v>1.8458122988986667</x:v>
      </x:c>
      <x:c r="CO13" s="21" t="n">
        <x:v>1.845812298898667</x:v>
      </x:c>
      <x:c r="CP13" s="25" t="n">
        <x:f>(CO13-CN13)/CN13</x:f>
        <x:v>1.2029641641109324e-16</x:v>
      </x:c>
      <x:c r="CQ13" s="20" t="n">
        <x:v>1.8754868897925865</x:v>
      </x:c>
      <x:c r="CR13" s="21" t="n">
        <x:v>1.8754868897925865</x:v>
      </x:c>
      <x:c r="CS13" s="29" t="n">
        <x:f>(CR13-CQ13)/CQ13</x:f>
        <x:v>0</x:v>
      </x:c>
      <x:c r="CT13" s="20" t="n">
        <x:v>0.15602859012632012</x:v>
      </x:c>
      <x:c r="CU13" s="21" t="n">
        <x:v>0.15602859012632012</x:v>
      </x:c>
      <x:c r="CV13" s="25" t="n">
        <x:f>(CU13-CT13)/CT13</x:f>
        <x:v>0</x:v>
      </x:c>
      <x:c r="CW13" s="20" t="n">
        <x:v>0.16190882453397848</x:v>
      </x:c>
      <x:c r="CX13" s="21" t="n">
        <x:v>0.16190882453397848</x:v>
      </x:c>
      <x:c r="CY13" s="25" t="n">
        <x:f>(CX13-CW13)/CW13</x:f>
        <x:v>0</x:v>
      </x:c>
      <x:c r="CZ13" s="20" t="n">
        <x:v>0.16721218643952346</x:v>
      </x:c>
      <x:c r="DA13" s="21" t="n">
        <x:v>0.16721218643952343</x:v>
      </x:c>
      <x:c r="DB13" s="25" t="n">
        <x:f>(DA13-CZ13)/CZ13</x:f>
        <x:v>-1.6599014824596786e-16</x:v>
      </x:c>
      <x:c r="DC13" s="20" t="n">
        <x:v>0.17349987474511538</x:v>
      </x:c>
      <x:c r="DD13" s="21" t="n">
        <x:v>0.17349987474511538</x:v>
      </x:c>
      <x:c r="DE13" s="29" t="n">
        <x:f>(DD13-DC13)/DC13</x:f>
        <x:v>0</x:v>
      </x:c>
    </x:row>
  </x:sheetData>
  <x:mergeCells>
    <x:mergeCell ref="A6:A8"/>
    <x:mergeCell ref="B6:M6"/>
    <x:mergeCell ref="B7:D7"/>
    <x:mergeCell ref="E7:G7"/>
    <x:mergeCell ref="H7:J7"/>
    <x:mergeCell ref="K7:M7"/>
    <x:mergeCell ref="N6:Y6"/>
    <x:mergeCell ref="N7:P7"/>
    <x:mergeCell ref="Q7:S7"/>
    <x:mergeCell ref="T7:V7"/>
    <x:mergeCell ref="W7:Y7"/>
    <x:mergeCell ref="Z6:AK6"/>
    <x:mergeCell ref="Z7:AB7"/>
    <x:mergeCell ref="AC7:AE7"/>
    <x:mergeCell ref="AF7:AH7"/>
    <x:mergeCell ref="AI7:AK7"/>
    <x:mergeCell ref="AL6:AW6"/>
    <x:mergeCell ref="AL7:AN7"/>
    <x:mergeCell ref="AO7:AQ7"/>
    <x:mergeCell ref="AR7:AT7"/>
    <x:mergeCell ref="AU7:AW7"/>
    <x:mergeCell ref="AX6:BI6"/>
    <x:mergeCell ref="AX7:AZ7"/>
    <x:mergeCell ref="BA7:BC7"/>
    <x:mergeCell ref="BD7:BF7"/>
    <x:mergeCell ref="BG7:BI7"/>
    <x:mergeCell ref="BJ6:BU6"/>
    <x:mergeCell ref="BJ7:BL7"/>
    <x:mergeCell ref="BM7:BO7"/>
    <x:mergeCell ref="BP7:BR7"/>
    <x:mergeCell ref="BS7:BU7"/>
    <x:mergeCell ref="BV6:CG6"/>
    <x:mergeCell ref="BV7:BX7"/>
    <x:mergeCell ref="BY7:CA7"/>
    <x:mergeCell ref="CB7:CD7"/>
    <x:mergeCell ref="CE7:CG7"/>
    <x:mergeCell ref="CH6:CS6"/>
    <x:mergeCell ref="CH7:CJ7"/>
    <x:mergeCell ref="CK7:CM7"/>
    <x:mergeCell ref="CN7:CP7"/>
    <x:mergeCell ref="CQ7:CS7"/>
    <x:mergeCell ref="CT6:DE6"/>
    <x:mergeCell ref="CT7:CV7"/>
    <x:mergeCell ref="CW7:CY7"/>
    <x:mergeCell ref="CZ7:DB7"/>
    <x:mergeCell ref="DC7:DE7"/>
  </x:mergeCells>
  <x:conditionalFormatting sqref="D9:D13">
    <x:cfRule type="colorScale" priority="1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0" priority="2" operator="lessThan">
      <x:formula>-5e-7</x:formula>
    </x:cfRule>
    <x:cfRule type="cellIs" dxfId="1" priority="3" operator="greaterThan">
      <x:formula>5e-7</x:formula>
    </x:cfRule>
  </x:conditionalFormatting>
  <x:conditionalFormatting sqref="G9:G13">
    <x:cfRule type="colorScale" priority="4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" priority="5" operator="lessThan">
      <x:formula>-5e-7</x:formula>
    </x:cfRule>
    <x:cfRule type="cellIs" dxfId="3" priority="6" operator="greaterThan">
      <x:formula>5e-7</x:formula>
    </x:cfRule>
  </x:conditionalFormatting>
  <x:conditionalFormatting sqref="J9:J13">
    <x:cfRule type="colorScale" priority="7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" priority="8" operator="lessThan">
      <x:formula>-5e-7</x:formula>
    </x:cfRule>
    <x:cfRule type="cellIs" dxfId="5" priority="9" operator="greaterThan">
      <x:formula>5e-7</x:formula>
    </x:cfRule>
  </x:conditionalFormatting>
  <x:conditionalFormatting sqref="M9:M13">
    <x:cfRule type="colorScale" priority="10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" priority="11" operator="lessThan">
      <x:formula>-5e-7</x:formula>
    </x:cfRule>
    <x:cfRule type="cellIs" dxfId="7" priority="12" operator="greaterThan">
      <x:formula>5e-7</x:formula>
    </x:cfRule>
  </x:conditionalFormatting>
  <x:conditionalFormatting sqref="P9:P13">
    <x:cfRule type="colorScale" priority="13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8" priority="14" operator="lessThan">
      <x:formula>-5e-7</x:formula>
    </x:cfRule>
    <x:cfRule type="cellIs" dxfId="9" priority="15" operator="greaterThan">
      <x:formula>5e-7</x:formula>
    </x:cfRule>
  </x:conditionalFormatting>
  <x:conditionalFormatting sqref="S9:S13">
    <x:cfRule type="colorScale" priority="16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10" priority="17" operator="lessThan">
      <x:formula>-5e-7</x:formula>
    </x:cfRule>
    <x:cfRule type="cellIs" dxfId="11" priority="18" operator="greaterThan">
      <x:formula>5e-7</x:formula>
    </x:cfRule>
  </x:conditionalFormatting>
  <x:conditionalFormatting sqref="V9:V13">
    <x:cfRule type="colorScale" priority="19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12" priority="20" operator="lessThan">
      <x:formula>-5e-7</x:formula>
    </x:cfRule>
    <x:cfRule type="cellIs" dxfId="13" priority="21" operator="greaterThan">
      <x:formula>5e-7</x:formula>
    </x:cfRule>
  </x:conditionalFormatting>
  <x:conditionalFormatting sqref="Y9:Y13">
    <x:cfRule type="colorScale" priority="22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14" priority="23" operator="lessThan">
      <x:formula>-5e-7</x:formula>
    </x:cfRule>
    <x:cfRule type="cellIs" dxfId="15" priority="24" operator="greaterThan">
      <x:formula>5e-7</x:formula>
    </x:cfRule>
  </x:conditionalFormatting>
  <x:conditionalFormatting sqref="AB9:AB13">
    <x:cfRule type="colorScale" priority="25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16" priority="26" operator="lessThan">
      <x:formula>-5e-7</x:formula>
    </x:cfRule>
    <x:cfRule type="cellIs" dxfId="17" priority="27" operator="greaterThan">
      <x:formula>5e-7</x:formula>
    </x:cfRule>
  </x:conditionalFormatting>
  <x:conditionalFormatting sqref="AE9:AE13">
    <x:cfRule type="colorScale" priority="28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18" priority="29" operator="lessThan">
      <x:formula>-5e-7</x:formula>
    </x:cfRule>
    <x:cfRule type="cellIs" dxfId="19" priority="30" operator="greaterThan">
      <x:formula>5e-7</x:formula>
    </x:cfRule>
  </x:conditionalFormatting>
  <x:conditionalFormatting sqref="AH9:AH13">
    <x:cfRule type="colorScale" priority="31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0" priority="32" operator="lessThan">
      <x:formula>-5e-7</x:formula>
    </x:cfRule>
    <x:cfRule type="cellIs" dxfId="21" priority="33" operator="greaterThan">
      <x:formula>5e-7</x:formula>
    </x:cfRule>
  </x:conditionalFormatting>
  <x:conditionalFormatting sqref="AK9:AK13">
    <x:cfRule type="colorScale" priority="34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2" priority="35" operator="lessThan">
      <x:formula>-5e-7</x:formula>
    </x:cfRule>
    <x:cfRule type="cellIs" dxfId="23" priority="36" operator="greaterThan">
      <x:formula>5e-7</x:formula>
    </x:cfRule>
  </x:conditionalFormatting>
  <x:conditionalFormatting sqref="AN9:AN13">
    <x:cfRule type="colorScale" priority="37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4" priority="38" operator="lessThan">
      <x:formula>-5e-7</x:formula>
    </x:cfRule>
    <x:cfRule type="cellIs" dxfId="25" priority="39" operator="greaterThan">
      <x:formula>5e-7</x:formula>
    </x:cfRule>
  </x:conditionalFormatting>
  <x:conditionalFormatting sqref="AQ9:AQ13">
    <x:cfRule type="colorScale" priority="40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6" priority="41" operator="lessThan">
      <x:formula>-5e-7</x:formula>
    </x:cfRule>
    <x:cfRule type="cellIs" dxfId="27" priority="42" operator="greaterThan">
      <x:formula>5e-7</x:formula>
    </x:cfRule>
  </x:conditionalFormatting>
  <x:conditionalFormatting sqref="AT9:AT13">
    <x:cfRule type="colorScale" priority="43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28" priority="44" operator="lessThan">
      <x:formula>-5e-7</x:formula>
    </x:cfRule>
    <x:cfRule type="cellIs" dxfId="29" priority="45" operator="greaterThan">
      <x:formula>5e-7</x:formula>
    </x:cfRule>
  </x:conditionalFormatting>
  <x:conditionalFormatting sqref="AW9:AW13">
    <x:cfRule type="colorScale" priority="46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30" priority="47" operator="lessThan">
      <x:formula>-5e-7</x:formula>
    </x:cfRule>
    <x:cfRule type="cellIs" dxfId="31" priority="48" operator="greaterThan">
      <x:formula>5e-7</x:formula>
    </x:cfRule>
  </x:conditionalFormatting>
  <x:conditionalFormatting sqref="AZ9:AZ13">
    <x:cfRule type="colorScale" priority="49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32" priority="50" operator="lessThan">
      <x:formula>-5e-7</x:formula>
    </x:cfRule>
    <x:cfRule type="cellIs" dxfId="33" priority="51" operator="greaterThan">
      <x:formula>5e-7</x:formula>
    </x:cfRule>
  </x:conditionalFormatting>
  <x:conditionalFormatting sqref="BC9:BC13">
    <x:cfRule type="colorScale" priority="52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34" priority="53" operator="lessThan">
      <x:formula>-5e-7</x:formula>
    </x:cfRule>
    <x:cfRule type="cellIs" dxfId="35" priority="54" operator="greaterThan">
      <x:formula>5e-7</x:formula>
    </x:cfRule>
  </x:conditionalFormatting>
  <x:conditionalFormatting sqref="BF9:BF13">
    <x:cfRule type="colorScale" priority="55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36" priority="56" operator="lessThan">
      <x:formula>-5e-7</x:formula>
    </x:cfRule>
    <x:cfRule type="cellIs" dxfId="37" priority="57" operator="greaterThan">
      <x:formula>5e-7</x:formula>
    </x:cfRule>
  </x:conditionalFormatting>
  <x:conditionalFormatting sqref="BI9:BI13">
    <x:cfRule type="colorScale" priority="58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38" priority="59" operator="lessThan">
      <x:formula>-5e-7</x:formula>
    </x:cfRule>
    <x:cfRule type="cellIs" dxfId="39" priority="60" operator="greaterThan">
      <x:formula>5e-7</x:formula>
    </x:cfRule>
  </x:conditionalFormatting>
  <x:conditionalFormatting sqref="BL9:BL13">
    <x:cfRule type="colorScale" priority="61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0" priority="62" operator="lessThan">
      <x:formula>-5e-7</x:formula>
    </x:cfRule>
    <x:cfRule type="cellIs" dxfId="41" priority="63" operator="greaterThan">
      <x:formula>5e-7</x:formula>
    </x:cfRule>
  </x:conditionalFormatting>
  <x:conditionalFormatting sqref="BO9:BO13">
    <x:cfRule type="colorScale" priority="64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2" priority="65" operator="lessThan">
      <x:formula>-5e-7</x:formula>
    </x:cfRule>
    <x:cfRule type="cellIs" dxfId="43" priority="66" operator="greaterThan">
      <x:formula>5e-7</x:formula>
    </x:cfRule>
  </x:conditionalFormatting>
  <x:conditionalFormatting sqref="BR9:BR13">
    <x:cfRule type="colorScale" priority="67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4" priority="68" operator="lessThan">
      <x:formula>-5e-7</x:formula>
    </x:cfRule>
    <x:cfRule type="cellIs" dxfId="45" priority="69" operator="greaterThan">
      <x:formula>5e-7</x:formula>
    </x:cfRule>
  </x:conditionalFormatting>
  <x:conditionalFormatting sqref="BU9:BU13">
    <x:cfRule type="colorScale" priority="70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6" priority="71" operator="lessThan">
      <x:formula>-5e-7</x:formula>
    </x:cfRule>
    <x:cfRule type="cellIs" dxfId="47" priority="72" operator="greaterThan">
      <x:formula>5e-7</x:formula>
    </x:cfRule>
  </x:conditionalFormatting>
  <x:conditionalFormatting sqref="BX9:BX13">
    <x:cfRule type="colorScale" priority="73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48" priority="74" operator="lessThan">
      <x:formula>-5e-7</x:formula>
    </x:cfRule>
    <x:cfRule type="cellIs" dxfId="49" priority="75" operator="greaterThan">
      <x:formula>5e-7</x:formula>
    </x:cfRule>
  </x:conditionalFormatting>
  <x:conditionalFormatting sqref="CA9:CA13">
    <x:cfRule type="colorScale" priority="76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50" priority="77" operator="lessThan">
      <x:formula>-5e-7</x:formula>
    </x:cfRule>
    <x:cfRule type="cellIs" dxfId="51" priority="78" operator="greaterThan">
      <x:formula>5e-7</x:formula>
    </x:cfRule>
  </x:conditionalFormatting>
  <x:conditionalFormatting sqref="CD9:CD13">
    <x:cfRule type="colorScale" priority="79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52" priority="80" operator="lessThan">
      <x:formula>-5e-7</x:formula>
    </x:cfRule>
    <x:cfRule type="cellIs" dxfId="53" priority="81" operator="greaterThan">
      <x:formula>5e-7</x:formula>
    </x:cfRule>
  </x:conditionalFormatting>
  <x:conditionalFormatting sqref="CG9:CG13">
    <x:cfRule type="colorScale" priority="82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54" priority="83" operator="lessThan">
      <x:formula>-5e-7</x:formula>
    </x:cfRule>
    <x:cfRule type="cellIs" dxfId="55" priority="84" operator="greaterThan">
      <x:formula>5e-7</x:formula>
    </x:cfRule>
  </x:conditionalFormatting>
  <x:conditionalFormatting sqref="CJ9:CJ13">
    <x:cfRule type="colorScale" priority="85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56" priority="86" operator="lessThan">
      <x:formula>-5e-7</x:formula>
    </x:cfRule>
    <x:cfRule type="cellIs" dxfId="57" priority="87" operator="greaterThan">
      <x:formula>5e-7</x:formula>
    </x:cfRule>
  </x:conditionalFormatting>
  <x:conditionalFormatting sqref="CM9:CM13">
    <x:cfRule type="colorScale" priority="88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58" priority="89" operator="lessThan">
      <x:formula>-5e-7</x:formula>
    </x:cfRule>
    <x:cfRule type="cellIs" dxfId="59" priority="90" operator="greaterThan">
      <x:formula>5e-7</x:formula>
    </x:cfRule>
  </x:conditionalFormatting>
  <x:conditionalFormatting sqref="CP9:CP13">
    <x:cfRule type="colorScale" priority="91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0" priority="92" operator="lessThan">
      <x:formula>-5e-7</x:formula>
    </x:cfRule>
    <x:cfRule type="cellIs" dxfId="61" priority="93" operator="greaterThan">
      <x:formula>5e-7</x:formula>
    </x:cfRule>
  </x:conditionalFormatting>
  <x:conditionalFormatting sqref="CS9:CS13">
    <x:cfRule type="colorScale" priority="94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2" priority="95" operator="lessThan">
      <x:formula>-5e-7</x:formula>
    </x:cfRule>
    <x:cfRule type="cellIs" dxfId="63" priority="96" operator="greaterThan">
      <x:formula>5e-7</x:formula>
    </x:cfRule>
  </x:conditionalFormatting>
  <x:conditionalFormatting sqref="CV9:CV13">
    <x:cfRule type="colorScale" priority="97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4" priority="98" operator="lessThan">
      <x:formula>-5e-7</x:formula>
    </x:cfRule>
    <x:cfRule type="cellIs" dxfId="65" priority="99" operator="greaterThan">
      <x:formula>5e-7</x:formula>
    </x:cfRule>
  </x:conditionalFormatting>
  <x:conditionalFormatting sqref="CY9:CY13">
    <x:cfRule type="colorScale" priority="100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6" priority="101" operator="lessThan">
      <x:formula>-5e-7</x:formula>
    </x:cfRule>
    <x:cfRule type="cellIs" dxfId="67" priority="102" operator="greaterThan">
      <x:formula>5e-7</x:formula>
    </x:cfRule>
  </x:conditionalFormatting>
  <x:conditionalFormatting sqref="DB9:DB13">
    <x:cfRule type="colorScale" priority="103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68" priority="104" operator="lessThan">
      <x:formula>-5e-7</x:formula>
    </x:cfRule>
    <x:cfRule type="cellIs" dxfId="69" priority="105" operator="greaterThan">
      <x:formula>5e-7</x:formula>
    </x:cfRule>
  </x:conditionalFormatting>
  <x:conditionalFormatting sqref="DE9:DE13">
    <x:cfRule type="colorScale" priority="106">
      <x:colorScale>
        <x:cfvo type="num" val="-0.1"/>
        <x:cfvo type="num" val="0"/>
        <x:cfvo type="num" val="0.1"/>
        <x:color rgb="FF6DC391"/>
        <x:color rgb="FFFFFFFF"/>
        <x:color rgb="FFE9A2A2"/>
      </x:colorScale>
    </x:cfRule>
    <x:cfRule type="cellIs" dxfId="70" priority="107" operator="lessThan">
      <x:formula>-5e-7</x:formula>
    </x:cfRule>
    <x:cfRule type="cellIs" dxfId="71" priority="108" operator="greaterThan">
      <x:formula>5e-7</x:formula>
    </x:cfRule>
  </x:conditionalFormatting>
  <x:pageMargins left="0.7" right="0.7" top="0.75" bottom="0.75" header="0.3" footer="0.3"/>
</x:worksheet>
</file>