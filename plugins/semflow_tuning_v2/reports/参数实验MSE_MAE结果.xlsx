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9c2341c1c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汇总" sheetId="1" r:id="Re8765b19cbe34ff8"/>
    <x:sheet xmlns:r="http://schemas.openxmlformats.org/officeDocument/2006/relationships" name="180项结果" sheetId="2" r:id="Rdafee941d99a4f21"/>
    <x:sheet xmlns:r="http://schemas.openxmlformats.org/officeDocument/2006/relationships" name="参数筛选" sheetId="3" r:id="Rab841a8e0090461d"/>
    <x:sheet xmlns:r="http://schemas.openxmlformats.org/officeDocument/2006/relationships" name="540项种子数据" sheetId="4" r:id="R100a4beb2a7f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0%"/>
    <x:numFmt numFmtId="202" formatCode="0"/>
    <x:numFmt numFmtId="203" formatCode="0.00"/>
  </x:numFmts>
  <x:fonts count="6">
    <x:font>
      <x:sz val="11"/>
      <x:name val="Carlito"/>
    </x:font>
    <x:font>
      <x:b/>
      <x:sz val="14"/>
      <x:color rgb="FF253E58"/>
      <x:name val="Arial"/>
    </x:font>
    <x:font>
      <x:i/>
      <x:sz val="10"/>
      <x:color rgb="FF5C6674"/>
      <x:name val="Arial"/>
    </x:font>
    <x:font>
      <x:sz val="10"/>
      <x:color rgb="FF202D3D"/>
      <x:name val="Arial"/>
    </x:font>
    <x:font>
      <x:b/>
      <x:sz val="10"/>
      <x:color rgb="FFFFFFFF"/>
      <x:name val="Arial"/>
    </x:font>
    <x:font>
      <x:sz val="10"/>
      <x:color rgb="FF5C667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E5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  <x:dxfs count="4">
    <x:dxf>
      <x:font>
        <x:color rgb="FF236543"/>
      </x:font>
      <x:fill>
        <x:patternFill patternType="solid">
          <x:bgColor rgb="FFE4F0EC"/>
        </x:patternFill>
      </x:fill>
    </x:dxf>
    <x:dxf>
      <x:font>
        <x:color rgb="FFA13B32"/>
      </x:font>
      <x:fill>
        <x:patternFill patternType="solid">
          <x:bgColor rgb="FFFAE8E5"/>
        </x:patternFill>
      </x:fill>
    </x:dxf>
    <x:dxf>
      <x:font>
        <x:color rgb="FF236543"/>
      </x:font>
      <x:fill>
        <x:patternFill patternType="solid">
          <x:bgColor rgb="FFE4F0EC"/>
        </x:patternFill>
      </x:fill>
    </x:dxf>
    <x:dxf>
      <x:font>
        <x:color rgb="FFA13B32"/>
      </x:font>
      <x:fill>
        <x:patternFill patternType="solid">
          <x:bgColor rgb="FFFAE8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5cc3788ea4992" /><Relationship Type="http://schemas.openxmlformats.org/officeDocument/2006/relationships/theme" Target="/xl/theme/theme1.xml" Id="R898c535a128b465b" /><Relationship Type="http://schemas.microsoft.com/office/2022/11/relationships/FeaturePropertyBag" Target="/xl/featurePropertyBag/featurePropertyBag.xml" Id="Rd99c9cfbeac442cf" /><Relationship Type="http://schemas.openxmlformats.org/officeDocument/2006/relationships/sharedStrings" Target="/xl/sharedStrings.xml" Id="R1fcb9d7c3e8e46e6" /><Relationship Type="http://schemas.openxmlformats.org/officeDocument/2006/relationships/worksheet" Target="/xl/worksheets/sheet1.xml" Id="Re8765b19cbe34ff8" /><Relationship Type="http://schemas.openxmlformats.org/officeDocument/2006/relationships/worksheet" Target="/xl/worksheets/sheet2.xml" Id="Rdafee941d99a4f21" /><Relationship Type="http://schemas.openxmlformats.org/officeDocument/2006/relationships/worksheet" Target="/xl/worksheets/sheet3.xml" Id="Rab841a8e0090461d" /><Relationship Type="http://schemas.openxmlformats.org/officeDocument/2006/relationships/worksheet" Target="/xl/worksheets/sheet4.xml" Id="R100a4beb2a7f48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Table58" displayName="Table58" ref="A5:H10" headerRowCount="1" totalsRowCount="0" totalsRowShown="0">
  <x:tableColumns count="8">
    <x:tableColumn id="1" name="模型"/>
    <x:tableColumn id="2" name="任务数"/>
    <x:tableColumn id="3" name="有启用任务"/>
    <x:tableColumn id="4" name="MSE MAE双改善"/>
    <x:tableColumn id="5" name="至少一项退化"/>
    <x:tableColumn id="6" name="保持原预测"/>
    <x:tableColumn id="7" name="平均MSE变化"/>
    <x:tableColumn id="8" name="平均MAE变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ble18015" displayName="Table18015" ref="A5:O185" headerRowCount="1" totalsRowCount="0" totalsRowShown="0">
  <x:tableColumns count="15">
    <x:tableColumn id="1" name="领域"/>
    <x:tableColumn id="2" name="预测步长"/>
    <x:tableColumn id="3" name="模型"/>
    <x:tableColumn id="4" name="原MSE"/>
    <x:tableColumn id="5" name="上一版MSE"/>
    <x:tableColumn id="6" name="本轮MSE均值"/>
    <x:tableColumn id="7" name="MSE标准差"/>
    <x:tableColumn id="8" name="MSE变化"/>
    <x:tableColumn id="9" name="原MAE"/>
    <x:tableColumn id="10" name="上一版MAE"/>
    <x:tableColumn id="11" name="本轮MAE均值"/>
    <x:tableColumn id="12" name="MAE标准差"/>
    <x:tableColumn id="13" name="MAE变化"/>
    <x:tableColumn id="14" name="启用种子数"/>
    <x:tableColumn id="15" name="双改善种子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513" displayName="Table513" ref="A5:M19" headerRowCount="1" totalsRowCount="0" totalsRowShown="0">
  <x:tableColumns count="13">
    <x:tableColumn id="1" name="配置"/>
    <x:tableColumn id="2" name="修正上限"/>
    <x:tableColumn id="3" name="初始logit"/>
    <x:tableColumn id="4" name="方差系数"/>
    <x:tableColumn id="5" name="K上限"/>
    <x:tableColumn id="6" name="NLL权重"/>
    <x:tableColumn id="7" name="语义权重"/>
    <x:tableColumn id="8" name="文本汇聚"/>
    <x:tableColumn id="9" name="模型条件"/>
    <x:tableColumn id="10" name="文本输入"/>
    <x:tableColumn id="11" name="验证MSE变化"/>
    <x:tableColumn id="12" name="验证MAE变化"/>
    <x:tableColumn id="13" name="验证综合变化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54019" displayName="Table54019" ref="A3:S543" headerRowCount="1" totalsRowCount="0" totalsRowShown="0">
  <x:tableColumns count="19">
    <x:tableColumn id="1" name="model"/>
    <x:tableColumn id="2" name="domain"/>
    <x:tableColumn id="3" name="horizon"/>
    <x:tableColumn id="4" name="seed"/>
    <x:tableColumn id="5" name="variant"/>
    <x:tableColumn id="6" name="alpha"/>
    <x:tableColumn id="7" name="baseline_mse"/>
    <x:tableColumn id="8" name="baseline_mae"/>
    <x:tableColumn id="9" name="plugin_mse"/>
    <x:tableColumn id="10" name="plugin_mae"/>
    <x:tableColumn id="11" name="raw_mse"/>
    <x:tableColumn id="12" name="raw_mae"/>
    <x:tableColumn id="13" name="mse_delta_pct"/>
    <x:tableColumn id="14" name="mae_delta_pct"/>
    <x:tableColumn id="15" name="gate_mean"/>
    <x:tableColumn id="16" name="correction_std_units"/>
    <x:tableColumn id="17" name="test_windows"/>
    <x:tableColumn id="18" name="best_epoch"/>
    <x:tableColumn id="19" name="effective_enab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605adc592a47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72681b856f49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d27d99559a49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ca9a8552234e3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4" hidden="0" customWidth="1"/>
    <x:col min="4" max="4" width="17" hidden="0" customWidth="1"/>
    <x:col min="5" max="5" width="16" hidden="0" customWidth="1"/>
    <x:col min="6" max="6" width="15" hidden="0" customWidth="1"/>
    <x:col min="7" max="7" width="18" hidden="0" customWidth="1"/>
    <x:col min="8" max="8" width="18" hidden="0" customWidth="1"/>
  </x:cols>
  <x:sheetData>
    <x:row r="2" ht="25" customHeight="1">
      <x:c r="A2" s="1" t="str">
        <x:v>五模型参数实验汇总</x:v>
      </x:c>
    </x:row>
    <x:row r="3">
      <x:c r="A3" s="2" t="str">
        <x:v>锁定配置：no_variance_shrink；9领域 × 4步长 × 3种子。</x:v>
      </x:c>
    </x:row>
    <x:row r="5" ht="34" customHeight="1">
      <x:c r="A5" s="8" t="str">
        <x:v>模型</x:v>
      </x:c>
      <x:c r="B5" s="8" t="str">
        <x:v>任务数</x:v>
      </x:c>
      <x:c r="C5" s="8" t="str">
        <x:v>有启用任务</x:v>
      </x:c>
      <x:c r="D5" s="8" t="str">
        <x:v>MSE MAE双改善</x:v>
      </x:c>
      <x:c r="E5" s="8" t="str">
        <x:v>至少一项退化</x:v>
      </x:c>
      <x:c r="F5" s="8" t="str">
        <x:v>保持原预测</x:v>
      </x:c>
      <x:c r="G5" s="8" t="str">
        <x:v>平均MSE变化</x:v>
      </x:c>
      <x:c r="H5" s="8" t="str">
        <x:v>平均MAE变化</x:v>
      </x:c>
    </x:row>
    <x:row r="6" ht="22" customHeight="1">
      <x:c r="A6" s="4" t="str">
        <x:v>TaTS</x:v>
      </x:c>
      <x:c r="B6" s="4" t="n">
        <x:f>COUNTIF('180项结果'!$C$6:$C$185,A6)</x:f>
        <x:v>36</x:v>
      </x:c>
      <x:c r="C6" s="4" t="n">
        <x:f>COUNTIFS('180项结果'!$C$6:$C$185,A6,'180项结果'!$N$6:$N$185,"&gt;0")</x:f>
        <x:v>19</x:v>
      </x:c>
      <x:c r="D6" s="4" t="n">
        <x:f>COUNTIFS('180项结果'!$C$6:$C$185,A6,'180项结果'!$H$6:$H$185,"&lt;-0.0000001",'180项结果'!$M$6:$M$185,"&lt;-0.0000001")</x:f>
        <x:v>16</x:v>
      </x:c>
      <x:c r="E6" s="4" t="n">
        <x:f>COUNTIFS('180项结果'!$C$6:$C$185,A6,'180项结果'!$H$6:$H$185,"&gt;0.0000001")+COUNTIFS('180项结果'!$C$6:$C$185,A6,'180项结果'!$M$6:$M$185,"&gt;0.0000001")-COUNTIFS('180项结果'!$C$6:$C$185,A6,'180项结果'!$H$6:$H$185,"&gt;0.0000001",'180项结果'!$M$6:$M$185,"&gt;0.0000001")</x:f>
        <x:v>3</x:v>
      </x:c>
      <x:c r="F6" s="4" t="n">
        <x:f>COUNTIFS('180项结果'!$C$6:$C$185,A6,'180项结果'!$H$6:$H$185,"&gt;=-0.0000001",'180项结果'!$H$6:$H$185,"&lt;=0.0000001",'180项结果'!$M$6:$M$185,"&gt;=-0.0000001",'180项结果'!$M$6:$M$185,"&lt;=0.0000001")</x:f>
        <x:v>17</x:v>
      </x:c>
      <x:c r="G6" s="10" t="n">
        <x:f>AVERAGEIF('180项结果'!$C$6:$C$185,A6,'180项结果'!$H$6:$H$185)</x:f>
        <x:v>-0.026796444582253928</x:v>
      </x:c>
      <x:c r="H6" s="10" t="n">
        <x:f>AVERAGEIF('180项结果'!$C$6:$C$185,A6,'180项结果'!$M$6:$M$185)</x:f>
        <x:v>-0.02017558400472934</x:v>
      </x:c>
    </x:row>
    <x:row r="7" ht="22" customHeight="1">
      <x:c r="A7" s="4" t="str">
        <x:v>MM-TSFlib</x:v>
      </x:c>
      <x:c r="B7" s="4" t="n">
        <x:f>COUNTIF('180项结果'!$C$6:$C$185,A7)</x:f>
        <x:v>36</x:v>
      </x:c>
      <x:c r="C7" s="4" t="n">
        <x:f>COUNTIFS('180项结果'!$C$6:$C$185,A7,'180项结果'!$N$6:$N$185,"&gt;0")</x:f>
        <x:v>20</x:v>
      </x:c>
      <x:c r="D7" s="4" t="n">
        <x:f>COUNTIFS('180项结果'!$C$6:$C$185,A7,'180项结果'!$H$6:$H$185,"&lt;-0.0000001",'180项结果'!$M$6:$M$185,"&lt;-0.0000001")</x:f>
        <x:v>19</x:v>
      </x:c>
      <x:c r="E7" s="4" t="n">
        <x:f>COUNTIFS('180项结果'!$C$6:$C$185,A7,'180项结果'!$H$6:$H$185,"&gt;0.0000001")+COUNTIFS('180项结果'!$C$6:$C$185,A7,'180项结果'!$M$6:$M$185,"&gt;0.0000001")-COUNTIFS('180项结果'!$C$6:$C$185,A7,'180项结果'!$H$6:$H$185,"&gt;0.0000001",'180项结果'!$M$6:$M$185,"&gt;0.0000001")</x:f>
        <x:v>1</x:v>
      </x:c>
      <x:c r="F7" s="4" t="n">
        <x:f>COUNTIFS('180项结果'!$C$6:$C$185,A7,'180项结果'!$H$6:$H$185,"&gt;=-0.0000001",'180项结果'!$H$6:$H$185,"&lt;=0.0000001",'180项结果'!$M$6:$M$185,"&gt;=-0.0000001",'180项结果'!$M$6:$M$185,"&lt;=0.0000001")</x:f>
        <x:v>16</x:v>
      </x:c>
      <x:c r="G7" s="10" t="n">
        <x:f>AVERAGEIF('180项结果'!$C$6:$C$185,A7,'180项结果'!$H$6:$H$185)</x:f>
        <x:v>-0.05320950862295535</x:v>
      </x:c>
      <x:c r="H7" s="10" t="n">
        <x:f>AVERAGEIF('180项结果'!$C$6:$C$185,A7,'180项结果'!$M$6:$M$185)</x:f>
        <x:v>-0.037646974708745236</x:v>
      </x:c>
    </x:row>
    <x:row r="8" ht="22" customHeight="1">
      <x:c r="A8" s="4" t="str">
        <x:v>SpecTF</x:v>
      </x:c>
      <x:c r="B8" s="4" t="n">
        <x:f>COUNTIF('180项结果'!$C$6:$C$185,A8)</x:f>
        <x:v>36</x:v>
      </x:c>
      <x:c r="C8" s="4" t="n">
        <x:f>COUNTIFS('180项结果'!$C$6:$C$185,A8,'180项结果'!$N$6:$N$185,"&gt;0")</x:f>
        <x:v>11</x:v>
      </x:c>
      <x:c r="D8" s="4" t="n">
        <x:f>COUNTIFS('180项结果'!$C$6:$C$185,A8,'180项结果'!$H$6:$H$185,"&lt;-0.0000001",'180项结果'!$M$6:$M$185,"&lt;-0.0000001")</x:f>
        <x:v>10</x:v>
      </x:c>
      <x:c r="E8" s="4" t="n">
        <x:f>COUNTIFS('180项结果'!$C$6:$C$185,A8,'180项结果'!$H$6:$H$185,"&gt;0.0000001")+COUNTIFS('180项结果'!$C$6:$C$185,A8,'180项结果'!$M$6:$M$185,"&gt;0.0000001")-COUNTIFS('180项结果'!$C$6:$C$185,A8,'180项结果'!$H$6:$H$185,"&gt;0.0000001",'180项结果'!$M$6:$M$185,"&gt;0.0000001")</x:f>
        <x:v>1</x:v>
      </x:c>
      <x:c r="F8" s="4" t="n">
        <x:f>COUNTIFS('180项结果'!$C$6:$C$185,A8,'180项结果'!$H$6:$H$185,"&gt;=-0.0000001",'180项结果'!$H$6:$H$185,"&lt;=0.0000001",'180项结果'!$M$6:$M$185,"&gt;=-0.0000001",'180项结果'!$M$6:$M$185,"&lt;=0.0000001")</x:f>
        <x:v>25</x:v>
      </x:c>
      <x:c r="G8" s="10" t="n">
        <x:f>AVERAGEIF('180项结果'!$C$6:$C$185,A8,'180项结果'!$H$6:$H$185)</x:f>
        <x:v>-0.0059112035808147065</x:v>
      </x:c>
      <x:c r="H8" s="10" t="n">
        <x:f>AVERAGEIF('180项结果'!$C$6:$C$185,A8,'180项结果'!$M$6:$M$185)</x:f>
        <x:v>-0.003990099560129587</x:v>
      </x:c>
    </x:row>
    <x:row r="9" ht="22" customHeight="1">
      <x:c r="A9" s="4" t="str">
        <x:v>CFA</x:v>
      </x:c>
      <x:c r="B9" s="4" t="n">
        <x:f>COUNTIF('180项结果'!$C$6:$C$185,A9)</x:f>
        <x:v>36</x:v>
      </x:c>
      <x:c r="C9" s="4" t="n">
        <x:f>COUNTIFS('180项结果'!$C$6:$C$185,A9,'180项结果'!$N$6:$N$185,"&gt;0")</x:f>
        <x:v>10</x:v>
      </x:c>
      <x:c r="D9" s="4" t="n">
        <x:f>COUNTIFS('180项结果'!$C$6:$C$185,A9,'180项结果'!$H$6:$H$185,"&lt;-0.0000001",'180项结果'!$M$6:$M$185,"&lt;-0.0000001")</x:f>
        <x:v>6</x:v>
      </x:c>
      <x:c r="E9" s="4" t="n">
        <x:f>COUNTIFS('180项结果'!$C$6:$C$185,A9,'180项结果'!$H$6:$H$185,"&gt;0.0000001")+COUNTIFS('180项结果'!$C$6:$C$185,A9,'180项结果'!$M$6:$M$185,"&gt;0.0000001")-COUNTIFS('180项结果'!$C$6:$C$185,A9,'180项结果'!$H$6:$H$185,"&gt;0.0000001",'180项结果'!$M$6:$M$185,"&gt;0.0000001")</x:f>
        <x:v>4</x:v>
      </x:c>
      <x:c r="F9" s="4" t="n">
        <x:f>COUNTIFS('180项结果'!$C$6:$C$185,A9,'180项结果'!$H$6:$H$185,"&gt;=-0.0000001",'180项结果'!$H$6:$H$185,"&lt;=0.0000001",'180项结果'!$M$6:$M$185,"&gt;=-0.0000001",'180项结果'!$M$6:$M$185,"&lt;=0.0000001")</x:f>
        <x:v>26</x:v>
      </x:c>
      <x:c r="G9" s="10" t="n">
        <x:f>AVERAGEIF('180项结果'!$C$6:$C$185,A9,'180项结果'!$H$6:$H$185)</x:f>
        <x:v>-0.004216042604891007</x:v>
      </x:c>
      <x:c r="H9" s="10" t="n">
        <x:f>AVERAGEIF('180项结果'!$C$6:$C$185,A9,'180项结果'!$M$6:$M$185)</x:f>
        <x:v>-0.002523347155556431</x:v>
      </x:c>
    </x:row>
    <x:row r="10" ht="22" customHeight="1">
      <x:c r="A10" s="4" t="str">
        <x:v>Aurora</x:v>
      </x:c>
      <x:c r="B10" s="4" t="n">
        <x:f>COUNTIF('180项结果'!$C$6:$C$185,A10)</x:f>
        <x:v>36</x:v>
      </x:c>
      <x:c r="C10" s="4" t="n">
        <x:f>COUNTIFS('180项结果'!$C$6:$C$185,A10,'180项结果'!$N$6:$N$185,"&gt;0")</x:f>
        <x:v>16</x:v>
      </x:c>
      <x:c r="D10" s="4" t="n">
        <x:f>COUNTIFS('180项结果'!$C$6:$C$185,A10,'180项结果'!$H$6:$H$185,"&lt;-0.0000001",'180项结果'!$M$6:$M$185,"&lt;-0.0000001")</x:f>
        <x:v>11</x:v>
      </x:c>
      <x:c r="E10" s="4" t="n">
        <x:f>COUNTIFS('180项结果'!$C$6:$C$185,A10,'180项结果'!$H$6:$H$185,"&gt;0.0000001")+COUNTIFS('180项结果'!$C$6:$C$185,A10,'180项结果'!$M$6:$M$185,"&gt;0.0000001")-COUNTIFS('180项结果'!$C$6:$C$185,A10,'180项结果'!$H$6:$H$185,"&gt;0.0000001",'180项结果'!$M$6:$M$185,"&gt;0.0000001")</x:f>
        <x:v>5</x:v>
      </x:c>
      <x:c r="F10" s="4" t="n">
        <x:f>COUNTIFS('180项结果'!$C$6:$C$185,A10,'180项结果'!$H$6:$H$185,"&gt;=-0.0000001",'180项结果'!$H$6:$H$185,"&lt;=0.0000001",'180项结果'!$M$6:$M$185,"&gt;=-0.0000001",'180项结果'!$M$6:$M$185,"&lt;=0.0000001")</x:f>
        <x:v>20</x:v>
      </x:c>
      <x:c r="G10" s="10" t="n">
        <x:f>AVERAGEIF('180项结果'!$C$6:$C$185,A10,'180项结果'!$H$6:$H$185)</x:f>
        <x:v>-0.04532534405743979</x:v>
      </x:c>
      <x:c r="H10" s="10" t="n">
        <x:f>AVERAGEIF('180项结果'!$C$6:$C$185,A10,'180项结果'!$M$6:$M$185)</x:f>
        <x:v>-0.021140256629705104</x:v>
      </x:c>
    </x:row>
    <x:row r="13">
      <x:c r="A13" s="12" t="str">
        <x:v>平均变化为各任务相对变化的宏平均，未经原始误差大小加权。</x:v>
      </x:c>
    </x:row>
    <x:row r="14">
      <x:c r="A14" s="12" t="str">
        <x:v>原始候选预测及各种子完整指标见“540项种子数据”；协议与消融见结果分析。</x:v>
      </x:c>
    </x:row>
  </x:sheetData>
  <x:pageMargins left="0.7" right="0.7" top="0.75" bottom="0.75" header="0.3" footer="0.3"/>
  <x:tableParts count="1">
    <x:tablePart xmlns:r="http://schemas.openxmlformats.org/officeDocument/2006/relationships" r:id="Rd3605adc592a470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  <x:col min="14" max="14" width="12" hidden="0" customWidth="1"/>
    <x:col min="15" max="15" width="14" hidden="0" customWidth="1"/>
  </x:cols>
  <x:sheetData>
    <x:row r="2" ht="25" customHeight="1">
      <x:c r="A2" s="1" t="str">
        <x:v>九领域四步长的 MSE 与 MAE</x:v>
      </x:c>
    </x:row>
    <x:row r="3">
      <x:c r="A3" s="2" t="str">
        <x:v>三种子独立训练的性能均值和样本标准差；负的变化表示误差下降。</x:v>
      </x:c>
    </x:row>
    <x:row r="5" ht="34" customHeight="1">
      <x:c r="A5" s="8" t="str">
        <x:v>领域</x:v>
      </x:c>
      <x:c r="B5" s="8" t="str">
        <x:v>预测步长</x:v>
      </x:c>
      <x:c r="C5" s="8" t="str">
        <x:v>模型</x:v>
      </x:c>
      <x:c r="D5" s="8" t="str">
        <x:v>原MSE</x:v>
      </x:c>
      <x:c r="E5" s="8" t="str">
        <x:v>上一版MSE</x:v>
      </x:c>
      <x:c r="F5" s="8" t="str">
        <x:v>本轮MSE均值</x:v>
      </x:c>
      <x:c r="G5" s="8" t="str">
        <x:v>MSE标准差</x:v>
      </x:c>
      <x:c r="H5" s="8" t="str">
        <x:v>MSE变化</x:v>
      </x:c>
      <x:c r="I5" s="8" t="str">
        <x:v>原MAE</x:v>
      </x:c>
      <x:c r="J5" s="8" t="str">
        <x:v>上一版MAE</x:v>
      </x:c>
      <x:c r="K5" s="8" t="str">
        <x:v>本轮MAE均值</x:v>
      </x:c>
      <x:c r="L5" s="8" t="str">
        <x:v>MAE标准差</x:v>
      </x:c>
      <x:c r="M5" s="8" t="str">
        <x:v>MAE变化</x:v>
      </x:c>
      <x:c r="N5" s="8" t="str">
        <x:v>启用种子数</x:v>
      </x:c>
      <x:c r="O5" s="8" t="str">
        <x:v>双改善种子数</x:v>
      </x:c>
    </x:row>
    <x:row r="6" ht="22" customHeight="1">
      <x:c r="A6" s="4" t="str">
        <x:v>Agriculture</x:v>
      </x:c>
      <x:c r="B6" s="4" t="n">
        <x:v>6</x:v>
      </x:c>
      <x:c r="C6" s="4" t="str">
        <x:v>TaTS</x:v>
      </x:c>
      <x:c r="D6" s="9" t="n">
        <x:v>0.495795076040653</x:v>
      </x:c>
      <x:c r="E6" s="9" t="n">
        <x:v>0.489544147234431</x:v>
      </x:c>
      <x:c r="F6" s="9" t="n">
        <x:v>0.401410063565621</x:v>
      </x:c>
      <x:c r="G6" s="9" t="n">
        <x:v>0.002400863830289</x:v>
      </x:c>
      <x:c r="H6" s="10" t="n">
        <x:f>(F6-D6)/D6</x:f>
        <x:v>-0.1903710162448101</x:v>
      </x:c>
      <x:c r="I6" s="9" t="n">
        <x:v>0.597170186592332</x:v>
      </x:c>
      <x:c r="J6" s="9" t="n">
        <x:v>0.593402433057203</x:v>
      </x:c>
      <x:c r="K6" s="9" t="n">
        <x:v>0.533817222777833</x:v>
      </x:c>
      <x:c r="L6" s="9" t="n">
        <x:v>0.002615813408797</x:v>
      </x:c>
      <x:c r="M6" s="10" t="n">
        <x:f>(K6-I6)/I6</x:f>
        <x:v>-0.10608862471184952</x:v>
      </x:c>
      <x:c r="N6" s="11" t="n">
        <x:v>3</x:v>
      </x:c>
      <x:c r="O6" s="11" t="n">
        <x:v>3</x:v>
      </x:c>
    </x:row>
    <x:row r="7" ht="22" customHeight="1">
      <x:c r="A7" s="4" t="str">
        <x:v>Agriculture</x:v>
      </x:c>
      <x:c r="B7" s="4" t="n">
        <x:v>6</x:v>
      </x:c>
      <x:c r="C7" s="4" t="str">
        <x:v>MM-TSFlib</x:v>
      </x:c>
      <x:c r="D7" s="9" t="n">
        <x:v>3.020122841615103</x:v>
      </x:c>
      <x:c r="E7" s="9" t="n">
        <x:v>2.986941633946801</x:v>
      </x:c>
      <x:c r="F7" s="9" t="n">
        <x:v>2.352993453336627</x:v>
      </x:c>
      <x:c r="G7" s="9" t="n">
        <x:v>0.005466550254546</x:v>
      </x:c>
      <x:c r="H7" s="10" t="n">
        <x:f>(F7-D7)/D7</x:f>
        <x:v>-0.22089478582987315</x:v>
      </x:c>
      <x:c r="I7" s="9" t="n">
        <x:v>1.279374996609722</x:v>
      </x:c>
      <x:c r="J7" s="9" t="n">
        <x:v>1.271848171949387</x:v>
      </x:c>
      <x:c r="K7" s="9" t="n">
        <x:v>1.113358017541556</x:v>
      </x:c>
      <x:c r="L7" s="9" t="n">
        <x:v>0.001674029340428</x:v>
      </x:c>
      <x:c r="M7" s="10" t="n">
        <x:f>(K7-I7)/I7</x:f>
        <x:v>-0.12976412663066145</x:v>
      </x:c>
      <x:c r="N7" s="11" t="n">
        <x:v>3</x:v>
      </x:c>
      <x:c r="O7" s="11" t="n">
        <x:v>3</x:v>
      </x:c>
    </x:row>
    <x:row r="8" ht="22" customHeight="1">
      <x:c r="A8" s="4" t="str">
        <x:v>Agriculture</x:v>
      </x:c>
      <x:c r="B8" s="4" t="n">
        <x:v>6</x:v>
      </x:c>
      <x:c r="C8" s="4" t="str">
        <x:v>SpecTF</x:v>
      </x:c>
      <x:c r="D8" s="9" t="n">
        <x:v>0.209841164552612</x:v>
      </x:c>
      <x:c r="E8" s="9" t="n">
        <x:v>0.206104270043595</x:v>
      </x:c>
      <x:c r="F8" s="9" t="n">
        <x:v>0.19651182598102</x:v>
      </x:c>
      <x:c r="G8" s="9" t="n">
        <x:v>0.001393314198772</x:v>
      </x:c>
      <x:c r="H8" s="10" t="n">
        <x:f>(F8-D8)/D8</x:f>
        <x:v>-0.06352108557923128</x:v>
      </x:c>
      <x:c r="I8" s="9" t="n">
        <x:v>0.299483883888163</x:v>
      </x:c>
      <x:c r="J8" s="9" t="n">
        <x:v>0.29788428481589</x:v>
      </x:c>
      <x:c r="K8" s="9" t="n">
        <x:v>0.296014481966095</x:v>
      </x:c>
      <x:c r="L8" s="9" t="n">
        <x:v>0.000874641120101</x:v>
      </x:c>
      <x:c r="M8" s="10" t="n">
        <x:f>(K8-I8)/I8</x:f>
        <x:v>-0.011584603074546755</x:v>
      </x:c>
      <x:c r="N8" s="11" t="n">
        <x:v>3</x:v>
      </x:c>
      <x:c r="O8" s="11" t="n">
        <x:v>3</x:v>
      </x:c>
    </x:row>
    <x:row r="9" ht="22" customHeight="1">
      <x:c r="A9" s="4" t="str">
        <x:v>Agriculture</x:v>
      </x:c>
      <x:c r="B9" s="4" t="n">
        <x:v>6</x:v>
      </x:c>
      <x:c r="C9" s="4" t="str">
        <x:v>CFA</x:v>
      </x:c>
      <x:c r="D9" s="9" t="n">
        <x:v>0.167850887495394</x:v>
      </x:c>
      <x:c r="E9" s="9" t="n">
        <x:v>0.167850887661437</x:v>
      </x:c>
      <x:c r="F9" s="9" t="n">
        <x:v>0.167850887495394</x:v>
      </x:c>
      <x:c r="G9" s="9" t="n">
        <x:v>0</x:v>
      </x:c>
      <x:c r="H9" s="10" t="n">
        <x:f>(F9-D9)/D9</x:f>
        <x:v>0</x:v>
      </x:c>
      <x:c r="I9" s="9" t="n">
        <x:v>0.289600725715042</x:v>
      </x:c>
      <x:c r="J9" s="9" t="n">
        <x:v>0.289600725715042</x:v>
      </x:c>
      <x:c r="K9" s="9" t="n">
        <x:v>0.289600725715042</x:v>
      </x:c>
      <x:c r="L9" s="9" t="n">
        <x:v>0</x:v>
      </x:c>
      <x:c r="M9" s="10" t="n">
        <x:f>(K9-I9)/I9</x:f>
        <x:v>0</x:v>
      </x:c>
      <x:c r="N9" s="11" t="n">
        <x:v>0</x:v>
      </x:c>
      <x:c r="O9" s="11" t="n">
        <x:v>0</x:v>
      </x:c>
    </x:row>
    <x:row r="10" ht="22" customHeight="1">
      <x:c r="A10" s="4" t="str">
        <x:v>Agriculture</x:v>
      </x:c>
      <x:c r="B10" s="4" t="n">
        <x:v>6</x:v>
      </x:c>
      <x:c r="C10" s="4" t="str">
        <x:v>Aurora</x:v>
      </x:c>
      <x:c r="D10" s="9" t="n">
        <x:v>0.922082549920849</x:v>
      </x:c>
      <x:c r="E10" s="9" t="n">
        <x:v>0.90167644482288</x:v>
      </x:c>
      <x:c r="F10" s="9" t="n">
        <x:v>0.616036226056478</x:v>
      </x:c>
      <x:c r="G10" s="9" t="n">
        <x:v>0.00206656577484</x:v>
      </x:c>
      <x:c r="H10" s="10" t="n">
        <x:f>(F10-D10)/D10</x:f>
        <x:v>-0.3319077276656432</x:v>
      </x:c>
      <x:c r="I10" s="9" t="n">
        <x:v>0.690809362957664</x:v>
      </x:c>
      <x:c r="J10" s="9" t="n">
        <x:v>0.684342387086111</x:v>
      </x:c>
      <x:c r="K10" s="9" t="n">
        <x:v>0.585774951863232</x:v>
      </x:c>
      <x:c r="L10" s="9" t="n">
        <x:v>0.00165202018023</x:v>
      </x:c>
      <x:c r="M10" s="10" t="n">
        <x:f>(K10-I10)/I10</x:f>
        <x:v>-0.15204543644969243</x:v>
      </x:c>
      <x:c r="N10" s="11" t="n">
        <x:v>3</x:v>
      </x:c>
      <x:c r="O10" s="11" t="n">
        <x:v>3</x:v>
      </x:c>
    </x:row>
    <x:row r="11" ht="22" customHeight="1">
      <x:c r="A11" s="4" t="str">
        <x:v>Agriculture</x:v>
      </x:c>
      <x:c r="B11" s="4" t="n">
        <x:v>8</x:v>
      </x:c>
      <x:c r="C11" s="4" t="str">
        <x:v>TaTS</x:v>
      </x:c>
      <x:c r="D11" s="9" t="n">
        <x:v>0.484192567678627</x:v>
      </x:c>
      <x:c r="E11" s="9" t="n">
        <x:v>0.484192568507331</x:v>
      </x:c>
      <x:c r="F11" s="9" t="n">
        <x:v>0.445423245756569</x:v>
      </x:c>
      <x:c r="G11" s="9" t="n">
        <x:v>0.002844097815702</x:v>
      </x:c>
      <x:c r="H11" s="10" t="n">
        <x:f>(F11-D11)/D11</x:f>
        <x:v>-0.08007004755965268</x:v>
      </x:c>
      <x:c r="I11" s="9" t="n">
        <x:v>0.572499158265798</x:v>
      </x:c>
      <x:c r="J11" s="9" t="n">
        <x:v>0.572499158265798</x:v>
      </x:c>
      <x:c r="K11" s="9" t="n">
        <x:v>0.535901063702245</x:v>
      </x:c>
      <x:c r="L11" s="9" t="n">
        <x:v>0.000931882878685</x:v>
      </x:c>
      <x:c r="M11" s="10" t="n">
        <x:f>(K11-I11)/I11</x:f>
        <x:v>-0.06392689672141207</x:v>
      </x:c>
      <x:c r="N11" s="11" t="n">
        <x:v>3</x:v>
      </x:c>
      <x:c r="O11" s="11" t="n">
        <x:v>3</x:v>
      </x:c>
    </x:row>
    <x:row r="12" ht="22" customHeight="1">
      <x:c r="A12" s="4" t="str">
        <x:v>Agriculture</x:v>
      </x:c>
      <x:c r="B12" s="4" t="n">
        <x:v>8</x:v>
      </x:c>
      <x:c r="C12" s="4" t="str">
        <x:v>MM-TSFlib</x:v>
      </x:c>
      <x:c r="D12" s="9" t="n">
        <x:v>3.108282918725828</x:v>
      </x:c>
      <x:c r="E12" s="9" t="n">
        <x:v>3.108282920511877</x:v>
      </x:c>
      <x:c r="F12" s="9" t="n">
        <x:v>2.438406055987393</x:v>
      </x:c>
      <x:c r="G12" s="9" t="n">
        <x:v>0.001067578007336</x:v>
      </x:c>
      <x:c r="H12" s="10" t="n">
        <x:f>(F12-D12)/D12</x:f>
        <x:v>-0.21551347810161248</x:v>
      </x:c>
      <x:c r="I12" s="9" t="n">
        <x:v>1.289645807250686</x:v>
      </x:c>
      <x:c r="J12" s="9" t="n">
        <x:v>1.289645807412656</x:v>
      </x:c>
      <x:c r="K12" s="9" t="n">
        <x:v>1.126734328280756</x:v>
      </x:c>
      <x:c r="L12" s="9" t="n">
        <x:v>0.000440791432009</x:v>
      </x:c>
      <x:c r="M12" s="10" t="n">
        <x:f>(K12-I12)/I12</x:f>
        <x:v>-0.12632265235462642</x:v>
      </x:c>
      <x:c r="N12" s="11" t="n">
        <x:v>3</x:v>
      </x:c>
      <x:c r="O12" s="11" t="n">
        <x:v>3</x:v>
      </x:c>
    </x:row>
    <x:row r="13" ht="22" customHeight="1">
      <x:c r="A13" s="4" t="str">
        <x:v>Agriculture</x:v>
      </x:c>
      <x:c r="B13" s="4" t="n">
        <x:v>8</x:v>
      </x:c>
      <x:c r="C13" s="4" t="str">
        <x:v>SpecTF</x:v>
      </x:c>
      <x:c r="D13" s="9" t="n">
        <x:v>0.285905947009229</x:v>
      </x:c>
      <x:c r="E13" s="9" t="n">
        <x:v>0.285905947860421</x:v>
      </x:c>
      <x:c r="F13" s="9" t="n">
        <x:v>0.285905947009229</x:v>
      </x:c>
      <x:c r="G13" s="9" t="n">
        <x:v>0</x:v>
      </x:c>
      <x:c r="H13" s="10" t="n">
        <x:f>(F13-D13)/D13</x:f>
        <x:v>0</x:v>
      </x:c>
      <x:c r="I13" s="9" t="n">
        <x:v>0.372190048351236</x:v>
      </x:c>
      <x:c r="J13" s="9" t="n">
        <x:v>0.372190048351236</x:v>
      </x:c>
      <x:c r="K13" s="9" t="n">
        <x:v>0.372190048351236</x:v>
      </x:c>
      <x:c r="L13" s="9" t="n">
        <x:v>0</x:v>
      </x:c>
      <x:c r="M13" s="10" t="n">
        <x:f>(K13-I13)/I13</x:f>
        <x:v>0</x:v>
      </x:c>
      <x:c r="N13" s="11" t="n">
        <x:v>0</x:v>
      </x:c>
      <x:c r="O13" s="11" t="n">
        <x:v>0</x:v>
      </x:c>
    </x:row>
    <x:row r="14" ht="22" customHeight="1">
      <x:c r="A14" s="4" t="str">
        <x:v>Agriculture</x:v>
      </x:c>
      <x:c r="B14" s="4" t="n">
        <x:v>8</x:v>
      </x:c>
      <x:c r="C14" s="4" t="str">
        <x:v>CFA</x:v>
      </x:c>
      <x:c r="D14" s="9" t="n">
        <x:v>0.213515320031392</x:v>
      </x:c>
      <x:c r="E14" s="9" t="n">
        <x:v>0.213515320783216</x:v>
      </x:c>
      <x:c r="F14" s="9" t="n">
        <x:v>0.213515320031392</x:v>
      </x:c>
      <x:c r="G14" s="9" t="n">
        <x:v>0</x:v>
      </x:c>
      <x:c r="H14" s="10" t="n">
        <x:f>(F14-D14)/D14</x:f>
        <x:v>0</x:v>
      </x:c>
      <x:c r="I14" s="9" t="n">
        <x:v>0.319564600029717</x:v>
      </x:c>
      <x:c r="J14" s="9" t="n">
        <x:v>0.319564600029717</x:v>
      </x:c>
      <x:c r="K14" s="9" t="n">
        <x:v>0.319564600029717</x:v>
      </x:c>
      <x:c r="L14" s="9" t="n">
        <x:v>0</x:v>
      </x:c>
      <x:c r="M14" s="10" t="n">
        <x:f>(K14-I14)/I14</x:f>
        <x:v>0</x:v>
      </x:c>
      <x:c r="N14" s="11" t="n">
        <x:v>0</x:v>
      </x:c>
      <x:c r="O14" s="11" t="n">
        <x:v>0</x:v>
      </x:c>
    </x:row>
    <x:row r="15" ht="22" customHeight="1">
      <x:c r="A15" s="4" t="str">
        <x:v>Agriculture</x:v>
      </x:c>
      <x:c r="B15" s="4" t="n">
        <x:v>8</x:v>
      </x:c>
      <x:c r="C15" s="4" t="str">
        <x:v>Aurora</x:v>
      </x:c>
      <x:c r="D15" s="9" t="n">
        <x:v>1.000703602706396</x:v>
      </x:c>
      <x:c r="E15" s="9" t="n">
        <x:v>1.00070360122134</x:v>
      </x:c>
      <x:c r="F15" s="9" t="n">
        <x:v>0.685317021954748</x:v>
      </x:c>
      <x:c r="G15" s="9" t="n">
        <x:v>0.001004276329942</x:v>
      </x:c>
      <x:c r="H15" s="10" t="n">
        <x:f>(F15-D15)/D15</x:f>
        <x:v>-0.3151648299243524</x:v>
      </x:c>
      <x:c r="I15" s="9" t="n">
        <x:v>0.722275969288919</x:v>
      </x:c>
      <x:c r="J15" s="9" t="n">
        <x:v>0.722275969288919</x:v>
      </x:c>
      <x:c r="K15" s="9" t="n">
        <x:v>0.619230427603791</x:v>
      </x:c>
      <x:c r="L15" s="9" t="n">
        <x:v>0.000815867517652</x:v>
      </x:c>
      <x:c r="M15" s="10" t="n">
        <x:f>(K15-I15)/I15</x:f>
        <x:v>-0.1426678251341747</x:v>
      </x:c>
      <x:c r="N15" s="11" t="n">
        <x:v>3</x:v>
      </x:c>
      <x:c r="O15" s="11" t="n">
        <x:v>3</x:v>
      </x:c>
    </x:row>
    <x:row r="16" ht="22" customHeight="1">
      <x:c r="A16" s="4" t="str">
        <x:v>Agriculture</x:v>
      </x:c>
      <x:c r="B16" s="4" t="n">
        <x:v>10</x:v>
      </x:c>
      <x:c r="C16" s="4" t="str">
        <x:v>TaTS</x:v>
      </x:c>
      <x:c r="D16" s="9" t="n">
        <x:v>0.66027575358582</x:v>
      </x:c>
      <x:c r="E16" s="9" t="n">
        <x:v>0.652690148406146</x:v>
      </x:c>
      <x:c r="F16" s="9" t="n">
        <x:v>0.568681941831913</x:v>
      </x:c>
      <x:c r="G16" s="9" t="n">
        <x:v>0.002840973358526</x:v>
      </x:c>
      <x:c r="H16" s="10" t="n">
        <x:f>(F16-D16)/D16</x:f>
        <x:v>-0.1387205440400925</x:v>
      </x:c>
      <x:c r="I16" s="9" t="n">
        <x:v>0.644641374879413</x:v>
      </x:c>
      <x:c r="J16" s="9" t="n">
        <x:v>0.640855781369739</x:v>
      </x:c>
      <x:c r="K16" s="9" t="n">
        <x:v>0.587444459420663</x:v>
      </x:c>
      <x:c r="L16" s="9" t="n">
        <x:v>0.003716453142391</x:v>
      </x:c>
      <x:c r="M16" s="10" t="n">
        <x:f>(K16-I16)/I16</x:f>
        <x:v>-0.08872672106944614</x:v>
      </x:c>
      <x:c r="N16" s="11" t="n">
        <x:v>3</x:v>
      </x:c>
      <x:c r="O16" s="11" t="n">
        <x:v>3</x:v>
      </x:c>
    </x:row>
    <x:row r="17" ht="22" customHeight="1">
      <x:c r="A17" s="4" t="str">
        <x:v>Agriculture</x:v>
      </x:c>
      <x:c r="B17" s="4" t="n">
        <x:v>10</x:v>
      </x:c>
      <x:c r="C17" s="4" t="str">
        <x:v>MM-TSFlib</x:v>
      </x:c>
      <x:c r="D17" s="9" t="n">
        <x:v>3.134140358334833</x:v>
      </x:c>
      <x:c r="E17" s="9" t="n">
        <x:v>3.094025925918271</x:v>
      </x:c>
      <x:c r="F17" s="9" t="n">
        <x:v>2.47127944390969</x:v>
      </x:c>
      <x:c r="G17" s="9" t="n">
        <x:v>0.001601598062381</x:v>
      </x:c>
      <x:c r="H17" s="10" t="n">
        <x:f>(F17-D17)/D17</x:f>
        <x:v>-0.21149688228300043</x:v>
      </x:c>
      <x:c r="I17" s="9" t="n">
        <x:v>1.297273069355223</x:v>
      </x:c>
      <x:c r="J17" s="9" t="n">
        <x:v>1.288526533577177</x:v>
      </x:c>
      <x:c r="K17" s="9" t="n">
        <x:v>1.136452271585111</x:v>
      </x:c>
      <x:c r="L17" s="9" t="n">
        <x:v>0.000529449113798</x:v>
      </x:c>
      <x:c r="M17" s="10" t="n">
        <x:f>(K17-I17)/I17</x:f>
        <x:v>-0.12396834681077891</x:v>
      </x:c>
      <x:c r="N17" s="11" t="n">
        <x:v>3</x:v>
      </x:c>
      <x:c r="O17" s="11" t="n">
        <x:v>3</x:v>
      </x:c>
    </x:row>
    <x:row r="18" ht="22" customHeight="1">
      <x:c r="A18" s="4" t="str">
        <x:v>Agriculture</x:v>
      </x:c>
      <x:c r="B18" s="4" t="n">
        <x:v>10</x:v>
      </x:c>
      <x:c r="C18" s="4" t="str">
        <x:v>SpecTF</x:v>
      </x:c>
      <x:c r="D18" s="9" t="n">
        <x:v>0.374515693974826</x:v>
      </x:c>
      <x:c r="E18" s="9" t="n">
        <x:v>0.374515694352088</x:v>
      </x:c>
      <x:c r="F18" s="9" t="n">
        <x:v>0.358109629192078</x:v>
      </x:c>
      <x:c r="G18" s="9" t="n">
        <x:v>0.001354280238686</x:v>
      </x:c>
      <x:c r="H18" s="10" t="n">
        <x:f>(F18-D18)/D18</x:f>
        <x:v>-0.0438060808844255</x:v>
      </x:c>
      <x:c r="I18" s="9" t="n">
        <x:v>0.44496886783176</x:v>
      </x:c>
      <x:c r="J18" s="9" t="n">
        <x:v>0.44496886783176</x:v>
      </x:c>
      <x:c r="K18" s="9" t="n">
        <x:v>0.441791641358976</x:v>
      </x:c>
      <x:c r="L18" s="9" t="n">
        <x:v>0.000889342150826</x:v>
      </x:c>
      <x:c r="M18" s="10" t="n">
        <x:f>(K18-I18)/I18</x:f>
        <x:v>-0.007140334307579697</x:v>
      </x:c>
      <x:c r="N18" s="11" t="n">
        <x:v>3</x:v>
      </x:c>
      <x:c r="O18" s="11" t="n">
        <x:v>3</x:v>
      </x:c>
    </x:row>
    <x:row r="19" ht="22" customHeight="1">
      <x:c r="A19" s="4" t="str">
        <x:v>Agriculture</x:v>
      </x:c>
      <x:c r="B19" s="4" t="n">
        <x:v>10</x:v>
      </x:c>
      <x:c r="C19" s="4" t="str">
        <x:v>CFA</x:v>
      </x:c>
      <x:c r="D19" s="9" t="n">
        <x:v>0.295766570313701</x:v>
      </x:c>
      <x:c r="E19" s="9" t="n">
        <x:v>0.295766570397706</x:v>
      </x:c>
      <x:c r="F19" s="9" t="n">
        <x:v>0.295766570313701</x:v>
      </x:c>
      <x:c r="G19" s="9" t="n">
        <x:v>0</x:v>
      </x:c>
      <x:c r="H19" s="10" t="n">
        <x:f>(F19-D19)/D19</x:f>
        <x:v>0</x:v>
      </x:c>
      <x:c r="I19" s="9" t="n">
        <x:v>0.370982690122392</x:v>
      </x:c>
      <x:c r="J19" s="9" t="n">
        <x:v>0.370982690122392</x:v>
      </x:c>
      <x:c r="K19" s="9" t="n">
        <x:v>0.370982690122392</x:v>
      </x:c>
      <x:c r="L19" s="9" t="n">
        <x:v>6.79869977755259e-17</x:v>
      </x:c>
      <x:c r="M19" s="10" t="n">
        <x:f>(K19-I19)/I19</x:f>
        <x:v>0</x:v>
      </x:c>
      <x:c r="N19" s="11" t="n">
        <x:v>0</x:v>
      </x:c>
      <x:c r="O19" s="11" t="n">
        <x:v>0</x:v>
      </x:c>
    </x:row>
    <x:row r="20" ht="22" customHeight="1">
      <x:c r="A20" s="4" t="str">
        <x:v>Agriculture</x:v>
      </x:c>
      <x:c r="B20" s="4" t="n">
        <x:v>10</x:v>
      </x:c>
      <x:c r="C20" s="4" t="str">
        <x:v>Aurora</x:v>
      </x:c>
      <x:c r="D20" s="9" t="n">
        <x:v>1.048992621960628</x:v>
      </x:c>
      <x:c r="E20" s="9" t="n">
        <x:v>1.027218797720908</x:v>
      </x:c>
      <x:c r="F20" s="9" t="n">
        <x:v>0.737722053390836</x:v>
      </x:c>
      <x:c r="G20" s="9" t="n">
        <x:v>0.00584441640669</x:v>
      </x:c>
      <x:c r="H20" s="10" t="n">
        <x:f>(F20-D20)/D20</x:f>
        <x:v>-0.2967328483092754</x:v>
      </x:c>
      <x:c r="I20" s="9" t="n">
        <x:v>0.741444878578186</x:v>
      </x:c>
      <x:c r="J20" s="9" t="n">
        <x:v>0.734902274343702</x:v>
      </x:c>
      <x:c r="K20" s="9" t="n">
        <x:v>0.644319639470842</x:v>
      </x:c>
      <x:c r="L20" s="9" t="n">
        <x:v>0.003388366047977</x:v>
      </x:c>
      <x:c r="M20" s="10" t="n">
        <x:f>(K20-I20)/I20</x:f>
        <x:v>-0.13099455119791756</x:v>
      </x:c>
      <x:c r="N20" s="11" t="n">
        <x:v>3</x:v>
      </x:c>
      <x:c r="O20" s="11" t="n">
        <x:v>3</x:v>
      </x:c>
    </x:row>
    <x:row r="21" ht="22" customHeight="1">
      <x:c r="A21" s="4" t="str">
        <x:v>Agriculture</x:v>
      </x:c>
      <x:c r="B21" s="4" t="n">
        <x:v>12</x:v>
      </x:c>
      <x:c r="C21" s="4" t="str">
        <x:v>TaTS</x:v>
      </x:c>
      <x:c r="D21" s="9" t="n">
        <x:v>0.809189509922338</x:v>
      </x:c>
      <x:c r="E21" s="9" t="n">
        <x:v>0.800699797520369</x:v>
      </x:c>
      <x:c r="F21" s="9" t="n">
        <x:v>0.686341652745031</x:v>
      </x:c>
      <x:c r="G21" s="9" t="n">
        <x:v>0.002576449536583</x:v>
      </x:c>
      <x:c r="H21" s="10" t="n">
        <x:f>(F21-D21)/D21</x:f>
        <x:v>-0.1518159289893628</x:v>
      </x:c>
      <x:c r="I21" s="9" t="n">
        <x:v>0.717221935590108</x:v>
      </x:c>
      <x:c r="J21" s="9" t="n">
        <x:v>0.713640864261172</x:v>
      </x:c>
      <x:c r="K21" s="9" t="n">
        <x:v>0.65438608531699</x:v>
      </x:c>
      <x:c r="L21" s="9" t="n">
        <x:v>0.002896333874567</x:v>
      </x:c>
      <x:c r="M21" s="10" t="n">
        <x:f>(K21-I21)/I21</x:f>
        <x:v>-0.0876100508853213</x:v>
      </x:c>
      <x:c r="N21" s="11" t="n">
        <x:v>3</x:v>
      </x:c>
      <x:c r="O21" s="11" t="n">
        <x:v>3</x:v>
      </x:c>
    </x:row>
    <x:row r="22" ht="22" customHeight="1">
      <x:c r="A22" s="4" t="str">
        <x:v>Agriculture</x:v>
      </x:c>
      <x:c r="B22" s="4" t="n">
        <x:v>12</x:v>
      </x:c>
      <x:c r="C22" s="4" t="str">
        <x:v>MM-TSFlib</x:v>
      </x:c>
      <x:c r="D22" s="9" t="n">
        <x:v>3.444487867309843</x:v>
      </x:c>
      <x:c r="E22" s="9" t="n">
        <x:v>3.408319799724144</x:v>
      </x:c>
      <x:c r="F22" s="9" t="n">
        <x:v>2.77434436377026</x:v>
      </x:c>
      <x:c r="G22" s="9" t="n">
        <x:v>0.00572668137487</x:v>
      </x:c>
      <x:c r="H22" s="10" t="n">
        <x:f>(F22-D22)/D22</x:f>
        <x:v>-0.19455533866140967</x:v>
      </x:c>
      <x:c r="I22" s="9" t="n">
        <x:v>1.390887038612908</x:v>
      </x:c>
      <x:c r="J22" s="9" t="n">
        <x:v>1.383409130979668</x:v>
      </x:c>
      <x:c r="K22" s="9" t="n">
        <x:v>1.236533342362052</x:v>
      </x:c>
      <x:c r="L22" s="9" t="n">
        <x:v>0.001505238667121</x:v>
      </x:c>
      <x:c r="M22" s="10" t="n">
        <x:f>(K22-I22)/I22</x:f>
        <x:v>-0.11097500513398169</x:v>
      </x:c>
      <x:c r="N22" s="11" t="n">
        <x:v>3</x:v>
      </x:c>
      <x:c r="O22" s="11" t="n">
        <x:v>3</x:v>
      </x:c>
    </x:row>
    <x:row r="23" ht="22" customHeight="1">
      <x:c r="A23" s="4" t="str">
        <x:v>Agriculture</x:v>
      </x:c>
      <x:c r="B23" s="4" t="n">
        <x:v>12</x:v>
      </x:c>
      <x:c r="C23" s="4" t="str">
        <x:v>SpecTF</x:v>
      </x:c>
      <x:c r="D23" s="9" t="n">
        <x:v>0.35785318025578</x:v>
      </x:c>
      <x:c r="E23" s="9" t="n">
        <x:v>0.357853180937307</x:v>
      </x:c>
      <x:c r="F23" s="9" t="n">
        <x:v>0.35785318025578</x:v>
      </x:c>
      <x:c r="G23" s="9" t="n">
        <x:v>0</x:v>
      </x:c>
      <x:c r="H23" s="10" t="n">
        <x:f>(F23-D23)/D23</x:f>
        <x:v>0</x:v>
      </x:c>
      <x:c r="I23" s="9" t="n">
        <x:v>0.420916967884158</x:v>
      </x:c>
      <x:c r="J23" s="9" t="n">
        <x:v>0.420916967884158</x:v>
      </x:c>
      <x:c r="K23" s="9" t="n">
        <x:v>0.420916967884158</x:v>
      </x:c>
      <x:c r="L23" s="9" t="n">
        <x:v>0</x:v>
      </x:c>
      <x:c r="M23" s="10" t="n">
        <x:f>(K23-I23)/I23</x:f>
        <x:v>0</x:v>
      </x:c>
      <x:c r="N23" s="11" t="n">
        <x:v>0</x:v>
      </x:c>
      <x:c r="O23" s="11" t="n">
        <x:v>0</x:v>
      </x:c>
    </x:row>
    <x:row r="24" ht="22" customHeight="1">
      <x:c r="A24" s="4" t="str">
        <x:v>Agriculture</x:v>
      </x:c>
      <x:c r="B24" s="4" t="n">
        <x:v>12</x:v>
      </x:c>
      <x:c r="C24" s="4" t="str">
        <x:v>CFA</x:v>
      </x:c>
      <x:c r="D24" s="9" t="n">
        <x:v>0.375511167328514</x:v>
      </x:c>
      <x:c r="E24" s="9" t="n">
        <x:v>0.369541510392437</x:v>
      </x:c>
      <x:c r="F24" s="9" t="n">
        <x:v>0.337138284550206</x:v>
      </x:c>
      <x:c r="G24" s="9" t="n">
        <x:v>0.0018785671453</x:v>
      </x:c>
      <x:c r="H24" s="10" t="n">
        <x:f>(F24-D24)/D24</x:f>
        <x:v>-0.1021883930944127</x:v>
      </x:c>
      <x:c r="I24" s="9" t="n">
        <x:v>0.414420480981018</x:v>
      </x:c>
      <x:c r="J24" s="9" t="n">
        <x:v>0.411666504812963</x:v>
      </x:c>
      <x:c r="K24" s="9" t="n">
        <x:v>0.402545257574982</x:v>
      </x:c>
      <x:c r="L24" s="9" t="n">
        <x:v>0.001435204110335</x:v>
      </x:c>
      <x:c r="M24" s="10" t="n">
        <x:f>(K24-I24)/I24</x:f>
        <x:v>-0.02865501091530261</x:v>
      </x:c>
      <x:c r="N24" s="11" t="n">
        <x:v>3</x:v>
      </x:c>
      <x:c r="O24" s="11" t="n">
        <x:v>3</x:v>
      </x:c>
    </x:row>
    <x:row r="25" ht="22" customHeight="1">
      <x:c r="A25" s="4" t="str">
        <x:v>Agriculture</x:v>
      </x:c>
      <x:c r="B25" s="4" t="n">
        <x:v>12</x:v>
      </x:c>
      <x:c r="C25" s="4" t="str">
        <x:v>Aurora</x:v>
      </x:c>
      <x:c r="D25" s="9" t="n">
        <x:v>1.062715799991609</x:v>
      </x:c>
      <x:c r="E25" s="9" t="n">
        <x:v>1.042601719417036</x:v>
      </x:c>
      <x:c r="F25" s="9" t="n">
        <x:v>0.766138614007162</x:v>
      </x:c>
      <x:c r="G25" s="9" t="n">
        <x:v>0.004896930881937</x:v>
      </x:c>
      <x:c r="H25" s="10" t="n">
        <x:f>(F25-D25)/D25</x:f>
        <x:v>-0.27907478743309244</x:v>
      </x:c>
      <x:c r="I25" s="9" t="n">
        <x:v>0.746248825707219</x:v>
      </x:c>
      <x:c r="J25" s="9" t="n">
        <x:v>0.740240576253696</x:v>
      </x:c>
      <x:c r="K25" s="9" t="n">
        <x:v>0.655455168449518</x:v>
      </x:c>
      <x:c r="L25" s="9" t="n">
        <x:v>0.002656703346031</x:v>
      </x:c>
      <x:c r="M25" s="10" t="n">
        <x:f>(K25-I25)/I25</x:f>
        <x:v>-0.12166673384263745</x:v>
      </x:c>
      <x:c r="N25" s="11" t="n">
        <x:v>3</x:v>
      </x:c>
      <x:c r="O25" s="11" t="n">
        <x:v>3</x:v>
      </x:c>
    </x:row>
    <x:row r="26" ht="22" customHeight="1">
      <x:c r="A26" s="4" t="str">
        <x:v>Climate</x:v>
      </x:c>
      <x:c r="B26" s="4" t="n">
        <x:v>6</x:v>
      </x:c>
      <x:c r="C26" s="4" t="str">
        <x:v>TaTS</x:v>
      </x:c>
      <x:c r="D26" s="9" t="n">
        <x:v>1.143348655095016</x:v>
      </x:c>
      <x:c r="E26" s="9" t="n">
        <x:v>1.14334865004923</x:v>
      </x:c>
      <x:c r="F26" s="9" t="n">
        <x:v>1.143348655095016</x:v>
      </x:c>
      <x:c r="G26" s="9" t="n">
        <x:v>0</x:v>
      </x:c>
      <x:c r="H26" s="10" t="n">
        <x:f>(F26-D26)/D26</x:f>
        <x:v>0</x:v>
      </x:c>
      <x:c r="I26" s="9" t="n">
        <x:v>0.851276233239126</x:v>
      </x:c>
      <x:c r="J26" s="9" t="n">
        <x:v>0.851276232524121</x:v>
      </x:c>
      <x:c r="K26" s="9" t="n">
        <x:v>0.851276233239126</x:v>
      </x:c>
      <x:c r="L26" s="9" t="n">
        <x:v>0</x:v>
      </x:c>
      <x:c r="M26" s="10" t="n">
        <x:f>(K26-I26)/I26</x:f>
        <x:v>0</x:v>
      </x:c>
      <x:c r="N26" s="11" t="n">
        <x:v>0</x:v>
      </x:c>
      <x:c r="O26" s="11" t="n">
        <x:v>0</x:v>
      </x:c>
    </x:row>
    <x:row r="27" ht="22" customHeight="1">
      <x:c r="A27" s="4" t="str">
        <x:v>Climate</x:v>
      </x:c>
      <x:c r="B27" s="4" t="n">
        <x:v>6</x:v>
      </x:c>
      <x:c r="C27" s="4" t="str">
        <x:v>MM-TSFlib</x:v>
      </x:c>
      <x:c r="D27" s="9" t="n">
        <x:v>1.194147740010936</x:v>
      </x:c>
      <x:c r="E27" s="9" t="n">
        <x:v>1.194147741105908</x:v>
      </x:c>
      <x:c r="F27" s="9" t="n">
        <x:v>1.194147740010936</x:v>
      </x:c>
      <x:c r="G27" s="9" t="n">
        <x:v>0</x:v>
      </x:c>
      <x:c r="H27" s="10" t="n">
        <x:f>(F27-D27)/D27</x:f>
        <x:v>0</x:v>
      </x:c>
      <x:c r="I27" s="9" t="n">
        <x:v>0.87856884133434</x:v>
      </x:c>
      <x:c r="J27" s="9" t="n">
        <x:v>0.878568841494514</x:v>
      </x:c>
      <x:c r="K27" s="9" t="n">
        <x:v>0.87856884133434</x:v>
      </x:c>
      <x:c r="L27" s="9" t="n">
        <x:v>0</x:v>
      </x:c>
      <x:c r="M27" s="10" t="n">
        <x:f>(K27-I27)/I27</x:f>
        <x:v>0</x:v>
      </x:c>
      <x:c r="N27" s="11" t="n">
        <x:v>0</x:v>
      </x:c>
      <x:c r="O27" s="11" t="n">
        <x:v>0</x:v>
      </x:c>
    </x:row>
    <x:row r="28" ht="22" customHeight="1">
      <x:c r="A28" s="4" t="str">
        <x:v>Climate</x:v>
      </x:c>
      <x:c r="B28" s="4" t="n">
        <x:v>6</x:v>
      </x:c>
      <x:c r="C28" s="4" t="str">
        <x:v>SpecTF</x:v>
      </x:c>
      <x:c r="D28" s="9" t="n">
        <x:v>1.057241405225904</x:v>
      </x:c>
      <x:c r="E28" s="9" t="n">
        <x:v>1.05724140499254</x:v>
      </x:c>
      <x:c r="F28" s="9" t="n">
        <x:v>1.057241405227141</x:v>
      </x:c>
      <x:c r="G28" s="9" t="n">
        <x:v>0</x:v>
      </x:c>
      <x:c r="H28" s="10" t="n">
        <x:f>(F28-D28)/D28</x:f>
        <x:v>1.1700359898154325e-12</x:v>
      </x:c>
      <x:c r="I28" s="9" t="n">
        <x:v>0.834196669426053</x:v>
      </x:c>
      <x:c r="J28" s="9" t="n">
        <x:v>0.834196669373212</x:v>
      </x:c>
      <x:c r="K28" s="9" t="n">
        <x:v>0.834196669431007</x:v>
      </x:c>
      <x:c r="L28" s="9" t="n">
        <x:v>0</x:v>
      </x:c>
      <x:c r="M28" s="10" t="n">
        <x:f>(K28-I28)/I28</x:f>
        <x:v>5.938692111886359e-12</x:v>
      </x:c>
      <x:c r="N28" s="11" t="n">
        <x:v>0</x:v>
      </x:c>
      <x:c r="O28" s="11" t="n">
        <x:v>0</x:v>
      </x:c>
    </x:row>
    <x:row r="29" ht="22" customHeight="1">
      <x:c r="A29" s="4" t="str">
        <x:v>Climate</x:v>
      </x:c>
      <x:c r="B29" s="4" t="n">
        <x:v>6</x:v>
      </x:c>
      <x:c r="C29" s="4" t="str">
        <x:v>CFA</x:v>
      </x:c>
      <x:c r="D29" s="9" t="n">
        <x:v>1.207252451872352</x:v>
      </x:c>
      <x:c r="E29" s="9" t="n">
        <x:v>1.207252451012758</x:v>
      </x:c>
      <x:c r="F29" s="9" t="n">
        <x:v>1.207252451854487</x:v>
      </x:c>
      <x:c r="G29" s="9" t="n">
        <x:v>0</x:v>
      </x:c>
      <x:c r="H29" s="10" t="n">
        <x:f>(F29-D29)/D29</x:f>
        <x:v>-1.4798100223980488e-11</x:v>
      </x:c>
      <x:c r="I29" s="9" t="n">
        <x:v>0.887742212884366</x:v>
      </x:c>
      <x:c r="J29" s="9" t="n">
        <x:v>0.887742213188202</x:v>
      </x:c>
      <x:c r="K29" s="9" t="n">
        <x:v>0.887742212873839</x:v>
      </x:c>
      <x:c r="L29" s="9" t="n">
        <x:v>0</x:v>
      </x:c>
      <x:c r="M29" s="10" t="n">
        <x:f>(K29-I29)/I29</x:f>
        <x:v>-1.1858198860443828e-11</x:v>
      </x:c>
      <x:c r="N29" s="11" t="n">
        <x:v>0</x:v>
      </x:c>
      <x:c r="O29" s="11" t="n">
        <x:v>0</x:v>
      </x:c>
    </x:row>
    <x:row r="30" ht="22" customHeight="1">
      <x:c r="A30" s="4" t="str">
        <x:v>Climate</x:v>
      </x:c>
      <x:c r="B30" s="4" t="n">
        <x:v>6</x:v>
      </x:c>
      <x:c r="C30" s="4" t="str">
        <x:v>Aurora</x:v>
      </x:c>
      <x:c r="D30" s="9" t="n">
        <x:v>1.134932710533632</x:v>
      </x:c>
      <x:c r="E30" s="9" t="n">
        <x:v>1.134932721749923</x:v>
      </x:c>
      <x:c r="F30" s="9" t="n">
        <x:v>1.134932710586661</x:v>
      </x:c>
      <x:c r="G30" s="9" t="n">
        <x:v>0</x:v>
      </x:c>
      <x:c r="H30" s="10" t="n">
        <x:f>(F30-D30)/D30</x:f>
        <x:v>4.672428074424547e-11</x:v>
      </x:c>
      <x:c r="I30" s="9" t="n">
        <x:v>0.861618795169713</x:v>
      </x:c>
      <x:c r="J30" s="9" t="n">
        <x:v>0.861618797492949</x:v>
      </x:c>
      <x:c r="K30" s="9" t="n">
        <x:v>0.861618795189283</x:v>
      </x:c>
      <x:c r="L30" s="9" t="n">
        <x:v>1.35973995551052e-16</x:v>
      </x:c>
      <x:c r="M30" s="10" t="n">
        <x:f>(K30-I30)/I30</x:f>
        <x:v>2.271307495505062e-11</x:v>
      </x:c>
      <x:c r="N30" s="11" t="n">
        <x:v>0</x:v>
      </x:c>
      <x:c r="O30" s="11" t="n">
        <x:v>0</x:v>
      </x:c>
    </x:row>
    <x:row r="31" ht="22" customHeight="1">
      <x:c r="A31" s="4" t="str">
        <x:v>Climate</x:v>
      </x:c>
      <x:c r="B31" s="4" t="n">
        <x:v>8</x:v>
      </x:c>
      <x:c r="C31" s="4" t="str">
        <x:v>TaTS</x:v>
      </x:c>
      <x:c r="D31" s="9" t="n">
        <x:v>1.167597304259481</x:v>
      </x:c>
      <x:c r="E31" s="9" t="n">
        <x:v>1.167597301324532</x:v>
      </x:c>
      <x:c r="F31" s="9" t="n">
        <x:v>1.16759730444178</x:v>
      </x:c>
      <x:c r="G31" s="9" t="n">
        <x:v>0</x:v>
      </x:c>
      <x:c r="H31" s="10" t="n">
        <x:f>(F31-D31)/D31</x:f>
        <x:v>1.5613179652575433e-10</x:v>
      </x:c>
      <x:c r="I31" s="9" t="n">
        <x:v>0.867811394055657</x:v>
      </x:c>
      <x:c r="J31" s="9" t="n">
        <x:v>0.867811391901974</x:v>
      </x:c>
      <x:c r="K31" s="9" t="n">
        <x:v>0.867811394119559</x:v>
      </x:c>
      <x:c r="L31" s="9" t="n">
        <x:v>0</x:v>
      </x:c>
      <x:c r="M31" s="10" t="n">
        <x:f>(K31-I31)/I31</x:f>
        <x:v>7.363580985970725e-11</x:v>
      </x:c>
      <x:c r="N31" s="11" t="n">
        <x:v>0</x:v>
      </x:c>
      <x:c r="O31" s="11" t="n">
        <x:v>0</x:v>
      </x:c>
    </x:row>
    <x:row r="32" ht="22" customHeight="1">
      <x:c r="A32" s="4" t="str">
        <x:v>Climate</x:v>
      </x:c>
      <x:c r="B32" s="4" t="n">
        <x:v>8</x:v>
      </x:c>
      <x:c r="C32" s="4" t="str">
        <x:v>MM-TSFlib</x:v>
      </x:c>
      <x:c r="D32" s="9" t="n">
        <x:v>1.320285579060983</x:v>
      </x:c>
      <x:c r="E32" s="9" t="n">
        <x:v>1.320285579850339</x:v>
      </x:c>
      <x:c r="F32" s="9" t="n">
        <x:v>1.320285579092022</x:v>
      </x:c>
      <x:c r="G32" s="9" t="n">
        <x:v>0</x:v>
      </x:c>
      <x:c r="H32" s="10" t="n">
        <x:f>(F32-D32)/D32</x:f>
        <x:v>2.350926926788896e-11</x:v>
      </x:c>
      <x:c r="I32" s="9" t="n">
        <x:v>0.924705491657812</x:v>
      </x:c>
      <x:c r="J32" s="9" t="n">
        <x:v>0.92470549085714</x:v>
      </x:c>
      <x:c r="K32" s="9" t="n">
        <x:v>0.924705491645316</x:v>
      </x:c>
      <x:c r="L32" s="9" t="n">
        <x:v>0</x:v>
      </x:c>
      <x:c r="M32" s="10" t="n">
        <x:f>(K32-I32)/I32</x:f>
        <x:v>-1.351349629054668e-11</x:v>
      </x:c>
      <x:c r="N32" s="11" t="n">
        <x:v>0</x:v>
      </x:c>
      <x:c r="O32" s="11" t="n">
        <x:v>0</x:v>
      </x:c>
    </x:row>
    <x:row r="33" ht="22" customHeight="1">
      <x:c r="A33" s="4" t="str">
        <x:v>Climate</x:v>
      </x:c>
      <x:c r="B33" s="4" t="n">
        <x:v>8</x:v>
      </x:c>
      <x:c r="C33" s="4" t="str">
        <x:v>SpecTF</x:v>
      </x:c>
      <x:c r="D33" s="9" t="n">
        <x:v>1.07353160690252</x:v>
      </x:c>
      <x:c r="E33" s="9" t="n">
        <x:v>1.073531604826786</x:v>
      </x:c>
      <x:c r="F33" s="9" t="n">
        <x:v>1.07353160690252</x:v>
      </x:c>
      <x:c r="G33" s="9" t="n">
        <x:v>0</x:v>
      </x:c>
      <x:c r="H33" s="10" t="n">
        <x:f>(F33-D33)/D33</x:f>
        <x:v>0</x:v>
      </x:c>
      <x:c r="I33" s="9" t="n">
        <x:v>0.840314075127994</x:v>
      </x:c>
      <x:c r="J33" s="9" t="n">
        <x:v>0.840314075001516</x:v>
      </x:c>
      <x:c r="K33" s="9" t="n">
        <x:v>0.840314075127994</x:v>
      </x:c>
      <x:c r="L33" s="9" t="n">
        <x:v>1.35973995551052e-16</x:v>
      </x:c>
      <x:c r="M33" s="10" t="n">
        <x:f>(K33-I33)/I33</x:f>
        <x:v>0</x:v>
      </x:c>
      <x:c r="N33" s="11" t="n">
        <x:v>0</x:v>
      </x:c>
      <x:c r="O33" s="11" t="n">
        <x:v>0</x:v>
      </x:c>
    </x:row>
    <x:row r="34" ht="22" customHeight="1">
      <x:c r="A34" s="4" t="str">
        <x:v>Climate</x:v>
      </x:c>
      <x:c r="B34" s="4" t="n">
        <x:v>8</x:v>
      </x:c>
      <x:c r="C34" s="4" t="str">
        <x:v>CFA</x:v>
      </x:c>
      <x:c r="D34" s="9" t="n">
        <x:v>1.161504816687175</x:v>
      </x:c>
      <x:c r="E34" s="9" t="n">
        <x:v>1.161504812100226</x:v>
      </x:c>
      <x:c r="F34" s="9" t="n">
        <x:v>1.161504816662217</x:v>
      </x:c>
      <x:c r="G34" s="9" t="n">
        <x:v>0</x:v>
      </x:c>
      <x:c r="H34" s="10" t="n">
        <x:f>(F34-D34)/D34</x:f>
        <x:v>-2.1487672956332065e-11</x:v>
      </x:c>
      <x:c r="I34" s="9" t="n">
        <x:v>0.879487159076076</x:v>
      </x:c>
      <x:c r="J34" s="9" t="n">
        <x:v>0.879487156888227</x:v>
      </x:c>
      <x:c r="K34" s="9" t="n">
        <x:v>0.879487159071963</x:v>
      </x:c>
      <x:c r="L34" s="9" t="n">
        <x:v>0</x:v>
      </x:c>
      <x:c r="M34" s="10" t="n">
        <x:f>(K34-I34)/I34</x:f>
        <x:v>-4.6766381940694574e-12</x:v>
      </x:c>
      <x:c r="N34" s="11" t="n">
        <x:v>0</x:v>
      </x:c>
      <x:c r="O34" s="11" t="n">
        <x:v>0</x:v>
      </x:c>
    </x:row>
    <x:row r="35" ht="22" customHeight="1">
      <x:c r="A35" s="4" t="str">
        <x:v>Climate</x:v>
      </x:c>
      <x:c r="B35" s="4" t="n">
        <x:v>8</x:v>
      </x:c>
      <x:c r="C35" s="4" t="str">
        <x:v>Aurora</x:v>
      </x:c>
      <x:c r="D35" s="9" t="n">
        <x:v>1.144852338424339</x:v>
      </x:c>
      <x:c r="E35" s="9" t="n">
        <x:v>1.144852351707018</x:v>
      </x:c>
      <x:c r="F35" s="9" t="n">
        <x:v>1.144852338424339</x:v>
      </x:c>
      <x:c r="G35" s="9" t="n">
        <x:v>0</x:v>
      </x:c>
      <x:c r="H35" s="10" t="n">
        <x:f>(F35-D35)/D35</x:f>
        <x:v>0</x:v>
      </x:c>
      <x:c r="I35" s="9" t="n">
        <x:v>0.867424801511699</x:v>
      </x:c>
      <x:c r="J35" s="9" t="n">
        <x:v>0.867424804454102</x:v>
      </x:c>
      <x:c r="K35" s="9" t="n">
        <x:v>0.867424801511699</x:v>
      </x:c>
      <x:c r="L35" s="9" t="n">
        <x:v>0</x:v>
      </x:c>
      <x:c r="M35" s="10" t="n">
        <x:f>(K35-I35)/I35</x:f>
        <x:v>0</x:v>
      </x:c>
      <x:c r="N35" s="11" t="n">
        <x:v>0</x:v>
      </x:c>
      <x:c r="O35" s="11" t="n">
        <x:v>0</x:v>
      </x:c>
    </x:row>
    <x:row r="36" ht="22" customHeight="1">
      <x:c r="A36" s="4" t="str">
        <x:v>Climate</x:v>
      </x:c>
      <x:c r="B36" s="4" t="n">
        <x:v>10</x:v>
      </x:c>
      <x:c r="C36" s="4" t="str">
        <x:v>TaTS</x:v>
      </x:c>
      <x:c r="D36" s="9" t="n">
        <x:v>1.161944658964559</x:v>
      </x:c>
      <x:c r="E36" s="9" t="n">
        <x:v>1.16194465309064</x:v>
      </x:c>
      <x:c r="F36" s="9" t="n">
        <x:v>1.161944659133274</x:v>
      </x:c>
      <x:c r="G36" s="9" t="n">
        <x:v>0</x:v>
      </x:c>
      <x:c r="H36" s="10" t="n">
        <x:f>(F36-D36)/D36</x:f>
        <x:v>1.4520058303594987e-10</x:v>
      </x:c>
      <x:c r="I36" s="9" t="n">
        <x:v>0.860819576697217</x:v>
      </x:c>
      <x:c r="J36" s="9" t="n">
        <x:v>0.860819575534099</x:v>
      </x:c>
      <x:c r="K36" s="9" t="n">
        <x:v>0.860819576716426</x:v>
      </x:c>
      <x:c r="L36" s="9" t="n">
        <x:v>0</x:v>
      </x:c>
      <x:c r="M36" s="10" t="n">
        <x:f>(K36-I36)/I36</x:f>
        <x:v>2.231474314683078e-11</x:v>
      </x:c>
      <x:c r="N36" s="11" t="n">
        <x:v>0</x:v>
      </x:c>
      <x:c r="O36" s="11" t="n">
        <x:v>0</x:v>
      </x:c>
    </x:row>
    <x:row r="37" ht="22" customHeight="1">
      <x:c r="A37" s="4" t="str">
        <x:v>Climate</x:v>
      </x:c>
      <x:c r="B37" s="4" t="n">
        <x:v>10</x:v>
      </x:c>
      <x:c r="C37" s="4" t="str">
        <x:v>MM-TSFlib</x:v>
      </x:c>
      <x:c r="D37" s="9" t="n">
        <x:v>1.240591447723062</x:v>
      </x:c>
      <x:c r="E37" s="9" t="n">
        <x:v>1.240591446480515</x:v>
      </x:c>
      <x:c r="F37" s="9" t="n">
        <x:v>1.240591447754212</x:v>
      </x:c>
      <x:c r="G37" s="9" t="n">
        <x:v>0</x:v>
      </x:c>
      <x:c r="H37" s="10" t="n">
        <x:f>(F37-D37)/D37</x:f>
        <x:v>2.510896842654319e-11</x:v>
      </x:c>
      <x:c r="I37" s="9" t="n">
        <x:v>0.897915285691722</x:v>
      </x:c>
      <x:c r="J37" s="9" t="n">
        <x:v>0.89791528550701</x:v>
      </x:c>
      <x:c r="K37" s="9" t="n">
        <x:v>0.897915285690946</x:v>
      </x:c>
      <x:c r="L37" s="9" t="n">
        <x:v>0</x:v>
      </x:c>
      <x:c r="M37" s="10" t="n">
        <x:f>(K37-I37)/I37</x:f>
        <x:v>-8.641515344209441e-13</x:v>
      </x:c>
      <x:c r="N37" s="11" t="n">
        <x:v>0</x:v>
      </x:c>
      <x:c r="O37" s="11" t="n">
        <x:v>0</x:v>
      </x:c>
    </x:row>
    <x:row r="38" ht="22" customHeight="1">
      <x:c r="A38" s="4" t="str">
        <x:v>Climate</x:v>
      </x:c>
      <x:c r="B38" s="4" t="n">
        <x:v>10</x:v>
      </x:c>
      <x:c r="C38" s="4" t="str">
        <x:v>SpecTF</x:v>
      </x:c>
      <x:c r="D38" s="9" t="n">
        <x:v>1.122673223891788</x:v>
      </x:c>
      <x:c r="E38" s="9" t="n">
        <x:v>1.122673221953801</x:v>
      </x:c>
      <x:c r="F38" s="9" t="n">
        <x:v>1.122673223906378</x:v>
      </x:c>
      <x:c r="G38" s="9" t="n">
        <x:v>0</x:v>
      </x:c>
      <x:c r="H38" s="10" t="n">
        <x:f>(F38-D38)/D38</x:f>
        <x:v>1.2995664762746064e-11</x:v>
      </x:c>
      <x:c r="I38" s="9" t="n">
        <x:v>0.851501527198933</x:v>
      </x:c>
      <x:c r="J38" s="9" t="n">
        <x:v>0.85150152751555</x:v>
      </x:c>
      <x:c r="K38" s="9" t="n">
        <x:v>0.851501527251611</x:v>
      </x:c>
      <x:c r="L38" s="9" t="n">
        <x:v>0</x:v>
      </x:c>
      <x:c r="M38" s="10" t="n">
        <x:f>(K38-I38)/I38</x:f>
        <x:v>6.186480166160634e-11</x:v>
      </x:c>
      <x:c r="N38" s="11" t="n">
        <x:v>0</x:v>
      </x:c>
      <x:c r="O38" s="11" t="n">
        <x:v>0</x:v>
      </x:c>
    </x:row>
    <x:row r="39" ht="22" customHeight="1">
      <x:c r="A39" s="4" t="str">
        <x:v>Climate</x:v>
      </x:c>
      <x:c r="B39" s="4" t="n">
        <x:v>10</x:v>
      </x:c>
      <x:c r="C39" s="4" t="str">
        <x:v>CFA</x:v>
      </x:c>
      <x:c r="D39" s="9" t="n">
        <x:v>1.092105793003572</x:v>
      </x:c>
      <x:c r="E39" s="9" t="n">
        <x:v>1.092105793381428</x:v>
      </x:c>
      <x:c r="F39" s="9" t="n">
        <x:v>1.092105792991781</x:v>
      </x:c>
      <x:c r="G39" s="9" t="n">
        <x:v>0</x:v>
      </x:c>
      <x:c r="H39" s="10" t="n">
        <x:f>(F39-D39)/D39</x:f>
        <x:v>-1.079658462235668e-11</x:v>
      </x:c>
      <x:c r="I39" s="9" t="n">
        <x:v>0.849865562887862</x:v>
      </x:c>
      <x:c r="J39" s="9" t="n">
        <x:v>0.84986556350357</x:v>
      </x:c>
      <x:c r="K39" s="9" t="n">
        <x:v>0.849865562886828</x:v>
      </x:c>
      <x:c r="L39" s="9" t="n">
        <x:v>0</x:v>
      </x:c>
      <x:c r="M39" s="10" t="n">
        <x:f>(K39-I39)/I39</x:f>
        <x:v>-1.2166050114091232e-12</x:v>
      </x:c>
      <x:c r="N39" s="11" t="n">
        <x:v>0</x:v>
      </x:c>
      <x:c r="O39" s="11" t="n">
        <x:v>0</x:v>
      </x:c>
    </x:row>
    <x:row r="40" ht="22" customHeight="1">
      <x:c r="A40" s="4" t="str">
        <x:v>Climate</x:v>
      </x:c>
      <x:c r="B40" s="4" t="n">
        <x:v>10</x:v>
      </x:c>
      <x:c r="C40" s="4" t="str">
        <x:v>Aurora</x:v>
      </x:c>
      <x:c r="D40" s="9" t="n">
        <x:v>1.160987237939077</x:v>
      </x:c>
      <x:c r="E40" s="9" t="n">
        <x:v>1.160987251945506</x:v>
      </x:c>
      <x:c r="F40" s="9" t="n">
        <x:v>1.160987237980061</x:v>
      </x:c>
      <x:c r="G40" s="9" t="n">
        <x:v>0</x:v>
      </x:c>
      <x:c r="H40" s="10" t="n">
        <x:f>(F40-D40)/D40</x:f>
        <x:v>3.5300890151721274e-11</x:v>
      </x:c>
      <x:c r="I40" s="9" t="n">
        <x:v>0.876268171430056</x:v>
      </x:c>
      <x:c r="J40" s="9" t="n">
        <x:v>0.876268174561362</x:v>
      </x:c>
      <x:c r="K40" s="9" t="n">
        <x:v>0.876268171460405</x:v>
      </x:c>
      <x:c r="L40" s="9" t="n">
        <x:v>0</x:v>
      </x:c>
      <x:c r="M40" s="10" t="n">
        <x:f>(K40-I40)/I40</x:f>
        <x:v>3.463443908001827e-11</x:v>
      </x:c>
      <x:c r="N40" s="11" t="n">
        <x:v>0</x:v>
      </x:c>
      <x:c r="O40" s="11" t="n">
        <x:v>0</x:v>
      </x:c>
    </x:row>
    <x:row r="41" ht="22" customHeight="1">
      <x:c r="A41" s="4" t="str">
        <x:v>Climate</x:v>
      </x:c>
      <x:c r="B41" s="4" t="n">
        <x:v>12</x:v>
      </x:c>
      <x:c r="C41" s="4" t="str">
        <x:v>TaTS</x:v>
      </x:c>
      <x:c r="D41" s="9" t="n">
        <x:v>1.140930466018564</x:v>
      </x:c>
      <x:c r="E41" s="9" t="n">
        <x:v>1.140930466561277</x:v>
      </x:c>
      <x:c r="F41" s="9" t="n">
        <x:v>1.140930466018564</x:v>
      </x:c>
      <x:c r="G41" s="9" t="n">
        <x:v>0</x:v>
      </x:c>
      <x:c r="H41" s="10" t="n">
        <x:f>(F41-D41)/D41</x:f>
        <x:v>0</x:v>
      </x:c>
      <x:c r="I41" s="9" t="n">
        <x:v>0.855393638605054</x:v>
      </x:c>
      <x:c r="J41" s="9" t="n">
        <x:v>0.855393639055282</x:v>
      </x:c>
      <x:c r="K41" s="9" t="n">
        <x:v>0.855393638605054</x:v>
      </x:c>
      <x:c r="L41" s="9" t="n">
        <x:v>0</x:v>
      </x:c>
      <x:c r="M41" s="10" t="n">
        <x:f>(K41-I41)/I41</x:f>
        <x:v>0</x:v>
      </x:c>
      <x:c r="N41" s="11" t="n">
        <x:v>0</x:v>
      </x:c>
      <x:c r="O41" s="11" t="n">
        <x:v>0</x:v>
      </x:c>
    </x:row>
    <x:row r="42" ht="22" customHeight="1">
      <x:c r="A42" s="4" t="str">
        <x:v>Climate</x:v>
      </x:c>
      <x:c r="B42" s="4" t="n">
        <x:v>12</x:v>
      </x:c>
      <x:c r="C42" s="4" t="str">
        <x:v>MM-TSFlib</x:v>
      </x:c>
      <x:c r="D42" s="9" t="n">
        <x:v>1.216266717246754</x:v>
      </x:c>
      <x:c r="E42" s="9" t="n">
        <x:v>1.216266716641858</x:v>
      </x:c>
      <x:c r="F42" s="9" t="n">
        <x:v>1.216266717246754</x:v>
      </x:c>
      <x:c r="G42" s="9" t="n">
        <x:v>0</x:v>
      </x:c>
      <x:c r="H42" s="10" t="n">
        <x:f>(F42-D42)/D42</x:f>
        <x:v>0</x:v>
      </x:c>
      <x:c r="I42" s="9" t="n">
        <x:v>0.885144782672962</x:v>
      </x:c>
      <x:c r="J42" s="9" t="n">
        <x:v>0.885144783258015</x:v>
      </x:c>
      <x:c r="K42" s="9" t="n">
        <x:v>0.885144782672962</x:v>
      </x:c>
      <x:c r="L42" s="9" t="n">
        <x:v>0</x:v>
      </x:c>
      <x:c r="M42" s="10" t="n">
        <x:f>(K42-I42)/I42</x:f>
        <x:v>0</x:v>
      </x:c>
      <x:c r="N42" s="11" t="n">
        <x:v>0</x:v>
      </x:c>
      <x:c r="O42" s="11" t="n">
        <x:v>0</x:v>
      </x:c>
    </x:row>
    <x:row r="43" ht="22" customHeight="1">
      <x:c r="A43" s="4" t="str">
        <x:v>Climate</x:v>
      </x:c>
      <x:c r="B43" s="4" t="n">
        <x:v>12</x:v>
      </x:c>
      <x:c r="C43" s="4" t="str">
        <x:v>SpecTF</x:v>
      </x:c>
      <x:c r="D43" s="9" t="n">
        <x:v>1.126308159398555</x:v>
      </x:c>
      <x:c r="E43" s="9" t="n">
        <x:v>1.1263081595495</x:v>
      </x:c>
      <x:c r="F43" s="9" t="n">
        <x:v>1.126308159397878</x:v>
      </x:c>
      <x:c r="G43" s="9" t="n">
        <x:v>0</x:v>
      </x:c>
      <x:c r="H43" s="10" t="n">
        <x:f>(F43-D43)/D43</x:f>
        <x:v>-6.010912686435156e-13</x:v>
      </x:c>
      <x:c r="I43" s="9" t="n">
        <x:v>0.868520213850195</x:v>
      </x:c>
      <x:c r="J43" s="9" t="n">
        <x:v>0.868520214296454</x:v>
      </x:c>
      <x:c r="K43" s="9" t="n">
        <x:v>0.868520213854054</x:v>
      </x:c>
      <x:c r="L43" s="9" t="n">
        <x:v>0</x:v>
      </x:c>
      <x:c r="M43" s="10" t="n">
        <x:f>(K43-I43)/I43</x:f>
        <x:v>4.44321749771065e-12</x:v>
      </x:c>
      <x:c r="N43" s="11" t="n">
        <x:v>0</x:v>
      </x:c>
      <x:c r="O43" s="11" t="n">
        <x:v>0</x:v>
      </x:c>
    </x:row>
    <x:row r="44" ht="22" customHeight="1">
      <x:c r="A44" s="4" t="str">
        <x:v>Climate</x:v>
      </x:c>
      <x:c r="B44" s="4" t="n">
        <x:v>12</x:v>
      </x:c>
      <x:c r="C44" s="4" t="str">
        <x:v>CFA</x:v>
      </x:c>
      <x:c r="D44" s="9" t="n">
        <x:v>1.116828027737457</x:v>
      </x:c>
      <x:c r="E44" s="9" t="n">
        <x:v>1.116828025327457</x:v>
      </x:c>
      <x:c r="F44" s="9" t="n">
        <x:v>1.116828027738776</x:v>
      </x:c>
      <x:c r="G44" s="9" t="n">
        <x:v>0</x:v>
      </x:c>
      <x:c r="H44" s="10" t="n">
        <x:f>(F44-D44)/D44</x:f>
        <x:v>1.1811728977934638e-12</x:v>
      </x:c>
      <x:c r="I44" s="9" t="n">
        <x:v>0.853213429208457</x:v>
      </x:c>
      <x:c r="J44" s="9" t="n">
        <x:v>0.853213427969339</x:v>
      </x:c>
      <x:c r="K44" s="9" t="n">
        <x:v>0.853213429212866</x:v>
      </x:c>
      <x:c r="L44" s="9" t="n">
        <x:v>0</x:v>
      </x:c>
      <x:c r="M44" s="10" t="n">
        <x:f>(K44-I44)/I44</x:f>
        <x:v>5.1675566121647046e-12</x:v>
      </x:c>
      <x:c r="N44" s="11" t="n">
        <x:v>0</x:v>
      </x:c>
      <x:c r="O44" s="11" t="n">
        <x:v>0</x:v>
      </x:c>
    </x:row>
    <x:row r="45" ht="22" customHeight="1">
      <x:c r="A45" s="4" t="str">
        <x:v>Climate</x:v>
      </x:c>
      <x:c r="B45" s="4" t="n">
        <x:v>12</x:v>
      </x:c>
      <x:c r="C45" s="4" t="str">
        <x:v>Aurora</x:v>
      </x:c>
      <x:c r="D45" s="9" t="n">
        <x:v>1.170637185520032</x:v>
      </x:c>
      <x:c r="E45" s="9" t="n">
        <x:v>1.170637196344912</x:v>
      </x:c>
      <x:c r="F45" s="9" t="n">
        <x:v>1.170637185520032</x:v>
      </x:c>
      <x:c r="G45" s="9" t="n">
        <x:v>0</x:v>
      </x:c>
      <x:c r="H45" s="10" t="n">
        <x:f>(F45-D45)/D45</x:f>
        <x:v>0</x:v>
      </x:c>
      <x:c r="I45" s="9" t="n">
        <x:v>0.883802741623991</x:v>
      </x:c>
      <x:c r="J45" s="9" t="n">
        <x:v>0.883802744055477</x:v>
      </x:c>
      <x:c r="K45" s="9" t="n">
        <x:v>0.883802741623991</x:v>
      </x:c>
      <x:c r="L45" s="9" t="n">
        <x:v>0</x:v>
      </x:c>
      <x:c r="M45" s="10" t="n">
        <x:f>(K45-I45)/I45</x:f>
        <x:v>0</x:v>
      </x:c>
      <x:c r="N45" s="11" t="n">
        <x:v>0</x:v>
      </x:c>
      <x:c r="O45" s="11" t="n">
        <x:v>0</x:v>
      </x:c>
    </x:row>
    <x:row r="46" ht="22" customHeight="1">
      <x:c r="A46" s="4" t="str">
        <x:v>Economy</x:v>
      </x:c>
      <x:c r="B46" s="4" t="n">
        <x:v>6</x:v>
      </x:c>
      <x:c r="C46" s="4" t="str">
        <x:v>TaTS</x:v>
      </x:c>
      <x:c r="D46" s="9" t="n">
        <x:v>0.162710749813631</x:v>
      </x:c>
      <x:c r="E46" s="9" t="n">
        <x:v>0.162710749870205</x:v>
      </x:c>
      <x:c r="F46" s="9" t="n">
        <x:v>0.163354562527212</x:v>
      </x:c>
      <x:c r="G46" s="9" t="n">
        <x:v>0.001115116330482</x:v>
      </x:c>
      <x:c r="H46" s="10" t="n">
        <x:f>(F46-D46)/D46</x:f>
        <x:v>0.003956792739990547</x:v>
      </x:c>
      <x:c r="I46" s="9" t="n">
        <x:v>0.321473991569084</x:v>
      </x:c>
      <x:c r="J46" s="9" t="n">
        <x:v>0.321473991569084</x:v>
      </x:c>
      <x:c r="K46" s="9" t="n">
        <x:v>0.322442953764302</x:v>
      </x:c>
      <x:c r="L46" s="9" t="n">
        <x:v>0.001678291752731</x:v>
      </x:c>
      <x:c r="M46" s="10" t="n">
        <x:f>(K46-I46)/I46</x:f>
        <x:v>0.0030141231347785187</x:v>
      </x:c>
      <x:c r="N46" s="11" t="n">
        <x:v>1</x:v>
      </x:c>
      <x:c r="O46" s="11" t="n">
        <x:v>0</x:v>
      </x:c>
    </x:row>
    <x:row r="47" ht="22" customHeight="1">
      <x:c r="A47" s="4" t="str">
        <x:v>Economy</x:v>
      </x:c>
      <x:c r="B47" s="4" t="n">
        <x:v>6</x:v>
      </x:c>
      <x:c r="C47" s="4" t="str">
        <x:v>MM-TSFlib</x:v>
      </x:c>
      <x:c r="D47" s="9" t="n">
        <x:v>0.856517591452121</x:v>
      </x:c>
      <x:c r="E47" s="9" t="n">
        <x:v>0.856517587448229</x:v>
      </x:c>
      <x:c r="F47" s="9" t="n">
        <x:v>0.842933336051916</x:v>
      </x:c>
      <x:c r="G47" s="9" t="n">
        <x:v>0.023608169158848</x:v>
      </x:c>
      <x:c r="H47" s="10" t="n">
        <x:f>(F47-D47)/D47</x:f>
        <x:v>-0.01585986736965271</x:v>
      </x:c>
      <x:c r="I47" s="9" t="n">
        <x:v>0.775636082711602</x:v>
      </x:c>
      <x:c r="J47" s="9" t="n">
        <x:v>0.775636081957113</x:v>
      </x:c>
      <x:c r="K47" s="9" t="n">
        <x:v>0.768657348494657</x:v>
      </x:c>
      <x:c r="L47" s="9" t="n">
        <x:v>0.0121922890295</x:v>
      </x:c>
      <x:c r="M47" s="10" t="n">
        <x:f>(K47-I47)/I47</x:f>
        <x:v>-0.008997433683780672</x:v>
      </x:c>
      <x:c r="N47" s="11" t="n">
        <x:v>2</x:v>
      </x:c>
      <x:c r="O47" s="11" t="n">
        <x:v>1</x:v>
      </x:c>
    </x:row>
    <x:row r="48" ht="22" customHeight="1">
      <x:c r="A48" s="4" t="str">
        <x:v>Economy</x:v>
      </x:c>
      <x:c r="B48" s="4" t="n">
        <x:v>6</x:v>
      </x:c>
      <x:c r="C48" s="4" t="str">
        <x:v>SpecTF</x:v>
      </x:c>
      <x:c r="D48" s="9" t="n">
        <x:v>0.153985580901613</x:v>
      </x:c>
      <x:c r="E48" s="9" t="n">
        <x:v>0.153985580697766</x:v>
      </x:c>
      <x:c r="F48" s="9" t="n">
        <x:v>0.15425642061566</x:v>
      </x:c>
      <x:c r="G48" s="9" t="n">
        <x:v>0.000263364454474</x:v>
      </x:c>
      <x:c r="H48" s="10" t="n">
        <x:f>(F48-D48)/D48</x:f>
        <x:v>0.0017588641252070237</x:v>
      </x:c>
      <x:c r="I48" s="9" t="n">
        <x:v>0.308695395410312</x:v>
      </x:c>
      <x:c r="J48" s="9" t="n">
        <x:v>0.308695395410312</x:v>
      </x:c>
      <x:c r="K48" s="9" t="n">
        <x:v>0.307966954052532</x:v>
      </x:c>
      <x:c r="L48" s="9" t="n">
        <x:v>0.00216338087593</x:v>
      </x:c>
      <x:c r="M48" s="10" t="n">
        <x:f>(K48-I48)/I48</x:f>
        <x:v>-0.0023597415724707074</x:v>
      </x:c>
      <x:c r="N48" s="11" t="n">
        <x:v>3</x:v>
      </x:c>
      <x:c r="O48" s="11" t="n">
        <x:v>0</x:v>
      </x:c>
    </x:row>
    <x:row r="49" ht="22" customHeight="1">
      <x:c r="A49" s="4" t="str">
        <x:v>Economy</x:v>
      </x:c>
      <x:c r="B49" s="4" t="n">
        <x:v>6</x:v>
      </x:c>
      <x:c r="C49" s="4" t="str">
        <x:v>CFA</x:v>
      </x:c>
      <x:c r="D49" s="9" t="n">
        <x:v>0.171587455461261</x:v>
      </x:c>
      <x:c r="E49" s="9" t="n">
        <x:v>0.171587456118832</x:v>
      </x:c>
      <x:c r="F49" s="9" t="n">
        <x:v>0.174932682619869</x:v>
      </x:c>
      <x:c r="G49" s="9" t="n">
        <x:v>0.005297455318814</x:v>
      </x:c>
      <x:c r="H49" s="10" t="n">
        <x:f>(F49-D49)/D49</x:f>
        <x:v>0.01949575596663149</x:v>
      </x:c>
      <x:c r="I49" s="9" t="n">
        <x:v>0.317980554787922</x:v>
      </x:c>
      <x:c r="J49" s="9" t="n">
        <x:v>0.317980554787922</x:v>
      </x:c>
      <x:c r="K49" s="9" t="n">
        <x:v>0.320800626747383</x:v>
      </x:c>
      <x:c r="L49" s="9" t="n">
        <x:v>0.004276327835233</x:v>
      </x:c>
      <x:c r="M49" s="10" t="n">
        <x:f>(K49-I49)/I49</x:f>
        <x:v>0.00886869312289206</x:v>
      </x:c>
      <x:c r="N49" s="11" t="n">
        <x:v>3</x:v>
      </x:c>
      <x:c r="O49" s="11" t="n">
        <x:v>1</x:v>
      </x:c>
    </x:row>
    <x:row r="50" ht="22" customHeight="1">
      <x:c r="A50" s="4" t="str">
        <x:v>Economy</x:v>
      </x:c>
      <x:c r="B50" s="4" t="n">
        <x:v>6</x:v>
      </x:c>
      <x:c r="C50" s="4" t="str">
        <x:v>Aurora</x:v>
      </x:c>
      <x:c r="D50" s="9" t="n">
        <x:v>0.276509449314873</x:v>
      </x:c>
      <x:c r="E50" s="9" t="n">
        <x:v>0.276509451695512</x:v>
      </x:c>
      <x:c r="F50" s="9" t="n">
        <x:v>0.277237190805048</x:v>
      </x:c>
      <x:c r="G50" s="9" t="n">
        <x:v>0.001260485235759</x:v>
      </x:c>
      <x:c r="H50" s="10" t="n">
        <x:f>(F50-D50)/D50</x:f>
        <x:v>0.0026318865122989185</x:v>
      </x:c>
      <x:c r="I50" s="9" t="n">
        <x:v>0.390272002934404</x:v>
      </x:c>
      <x:c r="J50" s="9" t="n">
        <x:v>0.3902720031859</x:v>
      </x:c>
      <x:c r="K50" s="9" t="n">
        <x:v>0.391128135674781</x:v>
      </x:c>
      <x:c r="L50" s="9" t="n">
        <x:v>0.001482865404357</x:v>
      </x:c>
      <x:c r="M50" s="10" t="n">
        <x:f>(K50-I50)/I50</x:f>
        <x:v>0.0021936821856034807</x:v>
      </x:c>
      <x:c r="N50" s="11" t="n">
        <x:v>1</x:v>
      </x:c>
      <x:c r="O50" s="11" t="n">
        <x:v>0</x:v>
      </x:c>
    </x:row>
    <x:row r="51" ht="22" customHeight="1">
      <x:c r="A51" s="4" t="str">
        <x:v>Economy</x:v>
      </x:c>
      <x:c r="B51" s="4" t="n">
        <x:v>8</x:v>
      </x:c>
      <x:c r="C51" s="4" t="str">
        <x:v>TaTS</x:v>
      </x:c>
      <x:c r="D51" s="9" t="n">
        <x:v>0.171935305376891</x:v>
      </x:c>
      <x:c r="E51" s="9" t="n">
        <x:v>0.17193530527386</x:v>
      </x:c>
      <x:c r="F51" s="9" t="n">
        <x:v>0.167863324638518</x:v>
      </x:c>
      <x:c r="G51" s="9" t="n">
        <x:v>0.002770999389617</x:v>
      </x:c>
      <x:c r="H51" s="10" t="n">
        <x:f>(F51-D51)/D51</x:f>
        <x:v>-0.02368321462219184</x:v>
      </x:c>
      <x:c r="I51" s="9" t="n">
        <x:v>0.3322616248065</x:v>
      </x:c>
      <x:c r="J51" s="9" t="n">
        <x:v>0.33226162485488</x:v>
      </x:c>
      <x:c r="K51" s="9" t="n">
        <x:v>0.325937630810263</x:v>
      </x:c>
      <x:c r="L51" s="9" t="n">
        <x:v>0.002348554208169</x:v>
      </x:c>
      <x:c r="M51" s="10" t="n">
        <x:f>(K51-I51)/I51</x:f>
        <x:v>-0.01903317603987499</x:v>
      </x:c>
      <x:c r="N51" s="11" t="n">
        <x:v>3</x:v>
      </x:c>
      <x:c r="O51" s="11" t="n">
        <x:v>3</x:v>
      </x:c>
    </x:row>
    <x:row r="52" ht="22" customHeight="1">
      <x:c r="A52" s="4" t="str">
        <x:v>Economy</x:v>
      </x:c>
      <x:c r="B52" s="4" t="n">
        <x:v>8</x:v>
      </x:c>
      <x:c r="C52" s="4" t="str">
        <x:v>MM-TSFlib</x:v>
      </x:c>
      <x:c r="D52" s="9" t="n">
        <x:v>0.990009682828601</x:v>
      </x:c>
      <x:c r="E52" s="9" t="n">
        <x:v>0.990009677267719</x:v>
      </x:c>
      <x:c r="F52" s="9" t="n">
        <x:v>0.815737104061706</x:v>
      </x:c>
      <x:c r="G52" s="9" t="n">
        <x:v>0.011642409563735</x:v>
      </x:c>
      <x:c r="H52" s="10" t="n">
        <x:f>(F52-D52)/D52</x:f>
        <x:v>-0.1760311861485769</x:v>
      </x:c>
      <x:c r="I52" s="9" t="n">
        <x:v>0.845209826412913</x:v>
      </x:c>
      <x:c r="J52" s="9" t="n">
        <x:v>0.845209825542066</x:v>
      </x:c>
      <x:c r="K52" s="9" t="n">
        <x:v>0.75576116376883</x:v>
      </x:c>
      <x:c r="L52" s="9" t="n">
        <x:v>0.005668946050649</x:v>
      </x:c>
      <x:c r="M52" s="10" t="n">
        <x:f>(K52-I52)/I52</x:f>
        <x:v>-0.10583012625835751</x:v>
      </x:c>
      <x:c r="N52" s="11" t="n">
        <x:v>3</x:v>
      </x:c>
      <x:c r="O52" s="11" t="n">
        <x:v>3</x:v>
      </x:c>
    </x:row>
    <x:row r="53" ht="22" customHeight="1">
      <x:c r="A53" s="4" t="str">
        <x:v>Economy</x:v>
      </x:c>
      <x:c r="B53" s="4" t="n">
        <x:v>8</x:v>
      </x:c>
      <x:c r="C53" s="4" t="str">
        <x:v>SpecTF</x:v>
      </x:c>
      <x:c r="D53" s="9" t="n">
        <x:v>0.207940320493256</x:v>
      </x:c>
      <x:c r="E53" s="9" t="n">
        <x:v>0.207940320951021</x:v>
      </x:c>
      <x:c r="F53" s="9" t="n">
        <x:v>0.199347131188731</x:v>
      </x:c>
      <x:c r="G53" s="9" t="n">
        <x:v>0.001062291889152</x:v>
      </x:c>
      <x:c r="H53" s="10" t="n">
        <x:f>(F53-D53)/D53</x:f>
        <x:v>-0.041325267192726514</x:v>
      </x:c>
      <x:c r="I53" s="9" t="n">
        <x:v>0.361840058650289</x:v>
      </x:c>
      <x:c r="J53" s="9" t="n">
        <x:v>0.361840058650289</x:v>
      </x:c>
      <x:c r="K53" s="9" t="n">
        <x:v>0.353878067878934</x:v>
      </x:c>
      <x:c r="L53" s="9" t="n">
        <x:v>0.001443431886848</x:v>
      </x:c>
      <x:c r="M53" s="10" t="n">
        <x:f>(K53-I53)/I53</x:f>
        <x:v>-0.02200417168031169</x:v>
      </x:c>
      <x:c r="N53" s="11" t="n">
        <x:v>3</x:v>
      </x:c>
      <x:c r="O53" s="11" t="n">
        <x:v>3</x:v>
      </x:c>
    </x:row>
    <x:row r="54" ht="22" customHeight="1">
      <x:c r="A54" s="4" t="str">
        <x:v>Economy</x:v>
      </x:c>
      <x:c r="B54" s="4" t="n">
        <x:v>8</x:v>
      </x:c>
      <x:c r="C54" s="4" t="str">
        <x:v>CFA</x:v>
      </x:c>
      <x:c r="D54" s="9" t="n">
        <x:v>0.190303387457284</x:v>
      </x:c>
      <x:c r="E54" s="9" t="n">
        <x:v>0.190303387496314</x:v>
      </x:c>
      <x:c r="F54" s="9" t="n">
        <x:v>0.18360899753853</x:v>
      </x:c>
      <x:c r="G54" s="9" t="n">
        <x:v>0.00115936945536</x:v>
      </x:c>
      <x:c r="H54" s="10" t="n">
        <x:f>(F54-D54)/D54</x:f>
        <x:v>-0.035177460623272684</x:v>
      </x:c>
      <x:c r="I54" s="9" t="n">
        <x:v>0.342834749682383</x:v>
      </x:c>
      <x:c r="J54" s="9" t="n">
        <x:v>0.342834749682383</x:v>
      </x:c>
      <x:c r="K54" s="9" t="n">
        <x:v>0.333644988087865</x:v>
      </x:c>
      <x:c r="L54" s="9" t="n">
        <x:v>0.001189191735373</x:v>
      </x:c>
      <x:c r="M54" s="10" t="n">
        <x:f>(K54-I54)/I54</x:f>
        <x:v>-0.02680522205824161</x:v>
      </x:c>
      <x:c r="N54" s="11" t="n">
        <x:v>3</x:v>
      </x:c>
      <x:c r="O54" s="11" t="n">
        <x:v>3</x:v>
      </x:c>
    </x:row>
    <x:row r="55" ht="22" customHeight="1">
      <x:c r="A55" s="4" t="str">
        <x:v>Economy</x:v>
      </x:c>
      <x:c r="B55" s="4" t="n">
        <x:v>8</x:v>
      </x:c>
      <x:c r="C55" s="4" t="str">
        <x:v>Aurora</x:v>
      </x:c>
      <x:c r="D55" s="9" t="n">
        <x:v>0.301348888001319</x:v>
      </x:c>
      <x:c r="E55" s="9" t="n">
        <x:v>0.301348888927806</x:v>
      </x:c>
      <x:c r="F55" s="9" t="n">
        <x:v>0.301348888001319</x:v>
      </x:c>
      <x:c r="G55" s="9" t="n">
        <x:v>0</x:v>
      </x:c>
      <x:c r="H55" s="10" t="n">
        <x:f>(F55-D55)/D55</x:f>
        <x:v>0</x:v>
      </x:c>
      <x:c r="I55" s="9" t="n">
        <x:v>0.40555489189052</x:v>
      </x:c>
      <x:c r="J55" s="9" t="n">
        <x:v>0.405554891793759</x:v>
      </x:c>
      <x:c r="K55" s="9" t="n">
        <x:v>0.40555489189052</x:v>
      </x:c>
      <x:c r="L55" s="9" t="n">
        <x:v>0</x:v>
      </x:c>
      <x:c r="M55" s="10" t="n">
        <x:f>(K55-I55)/I55</x:f>
        <x:v>0</x:v>
      </x:c>
      <x:c r="N55" s="11" t="n">
        <x:v>0</x:v>
      </x:c>
      <x:c r="O55" s="11" t="n">
        <x:v>0</x:v>
      </x:c>
    </x:row>
    <x:row r="56" ht="22" customHeight="1">
      <x:c r="A56" s="4" t="str">
        <x:v>Economy</x:v>
      </x:c>
      <x:c r="B56" s="4" t="n">
        <x:v>10</x:v>
      </x:c>
      <x:c r="C56" s="4" t="str">
        <x:v>TaTS</x:v>
      </x:c>
      <x:c r="D56" s="9" t="n">
        <x:v>0.180585488816606</x:v>
      </x:c>
      <x:c r="E56" s="9" t="n">
        <x:v>0.180585488678878</x:v>
      </x:c>
      <x:c r="F56" s="9" t="n">
        <x:v>0.177032663740366</x:v>
      </x:c>
      <x:c r="G56" s="9" t="n">
        <x:v>0.006153673542452</x:v>
      </x:c>
      <x:c r="H56" s="10" t="n">
        <x:f>(F56-D56)/D56</x:f>
        <x:v>-0.01967392341168717</x:v>
      </x:c>
      <x:c r="I56" s="9" t="n">
        <x:v>0.336816858768463</x:v>
      </x:c>
      <x:c r="J56" s="9" t="n">
        <x:v>0.336816858768463</x:v>
      </x:c>
      <x:c r="K56" s="9" t="n">
        <x:v>0.33285214776463</x:v>
      </x:c>
      <x:c r="L56" s="9" t="n">
        <x:v>0.006867080895967</x:v>
      </x:c>
      <x:c r="M56" s="10" t="n">
        <x:f>(K56-I56)/I56</x:f>
        <x:v>-0.011771118044178568</x:v>
      </x:c>
      <x:c r="N56" s="11" t="n">
        <x:v>1</x:v>
      </x:c>
      <x:c r="O56" s="11" t="n">
        <x:v>1</x:v>
      </x:c>
    </x:row>
    <x:row r="57" ht="22" customHeight="1">
      <x:c r="A57" s="4" t="str">
        <x:v>Economy</x:v>
      </x:c>
      <x:c r="B57" s="4" t="n">
        <x:v>10</x:v>
      </x:c>
      <x:c r="C57" s="4" t="str">
        <x:v>MM-TSFlib</x:v>
      </x:c>
      <x:c r="D57" s="9" t="n">
        <x:v>0.935232833407182</x:v>
      </x:c>
      <x:c r="E57" s="9" t="n">
        <x:v>0.93523283183863</x:v>
      </x:c>
      <x:c r="F57" s="9" t="n">
        <x:v>0.822852179490397</x:v>
      </x:c>
      <x:c r="G57" s="9" t="n">
        <x:v>0.082637613109033</x:v>
      </x:c>
      <x:c r="H57" s="10" t="n">
        <x:f>(F57-D57)/D57</x:f>
        <x:v>-0.12016328972045044</x:v>
      </x:c>
      <x:c r="I57" s="9" t="n">
        <x:v>0.8021725076437</x:v>
      </x:c>
      <x:c r="J57" s="9" t="n">
        <x:v>0.80217250752449</x:v>
      </x:c>
      <x:c r="K57" s="9" t="n">
        <x:v>0.748251900116603</x:v>
      </x:c>
      <x:c r="L57" s="9" t="n">
        <x:v>0.044570278972489</x:v>
      </x:c>
      <x:c r="M57" s="10" t="n">
        <x:f>(K57-I57)/I57</x:f>
        <x:v>-0.06721821928986724</x:v>
      </x:c>
      <x:c r="N57" s="11" t="n">
        <x:v>3</x:v>
      </x:c>
      <x:c r="O57" s="11" t="n">
        <x:v>3</x:v>
      </x:c>
    </x:row>
    <x:row r="58" ht="22" customHeight="1">
      <x:c r="A58" s="4" t="str">
        <x:v>Economy</x:v>
      </x:c>
      <x:c r="B58" s="4" t="n">
        <x:v>10</x:v>
      </x:c>
      <x:c r="C58" s="4" t="str">
        <x:v>SpecTF</x:v>
      </x:c>
      <x:c r="D58" s="9" t="n">
        <x:v>0.198226024700599</x:v>
      </x:c>
      <x:c r="E58" s="9" t="n">
        <x:v>0.198226023968898</x:v>
      </x:c>
      <x:c r="F58" s="9" t="n">
        <x:v>0.196302355639446</x:v>
      </x:c>
      <x:c r="G58" s="9" t="n">
        <x:v>0.003331892550865</x:v>
      </x:c>
      <x:c r="H58" s="10" t="n">
        <x:f>(F58-D58)/D58</x:f>
        <x:v>-0.009704422333336413</x:v>
      </x:c>
      <x:c r="I58" s="9" t="n">
        <x:v>0.347217749834061</x:v>
      </x:c>
      <x:c r="J58" s="9" t="n">
        <x:v>0.347217749834061</x:v>
      </x:c>
      <x:c r="K58" s="9" t="n">
        <x:v>0.345206406089995</x:v>
      </x:c>
      <x:c r="L58" s="9" t="n">
        <x:v>0.003483749556208</x:v>
      </x:c>
      <x:c r="M58" s="10" t="n">
        <x:f>(K58-I58)/I58</x:f>
        <x:v>-0.005792744596228943</x:v>
      </x:c>
      <x:c r="N58" s="11" t="n">
        <x:v>1</x:v>
      </x:c>
      <x:c r="O58" s="11" t="n">
        <x:v>1</x:v>
      </x:c>
    </x:row>
    <x:row r="59" ht="22" customHeight="1">
      <x:c r="A59" s="4" t="str">
        <x:v>Economy</x:v>
      </x:c>
      <x:c r="B59" s="4" t="n">
        <x:v>10</x:v>
      </x:c>
      <x:c r="C59" s="4" t="str">
        <x:v>CFA</x:v>
      </x:c>
      <x:c r="D59" s="9" t="n">
        <x:v>0.235866433175869</x:v>
      </x:c>
      <x:c r="E59" s="9" t="n">
        <x:v>0.235866432810356</x:v>
      </x:c>
      <x:c r="F59" s="9" t="n">
        <x:v>0.231493158640247</x:v>
      </x:c>
      <x:c r="G59" s="9" t="n">
        <x:v>0.007574733691144</x:v>
      </x:c>
      <x:c r="H59" s="10" t="n">
        <x:f>(F59-D59)/D59</x:f>
        <x:v>-0.018541317968551966</x:v>
      </x:c>
      <x:c r="I59" s="9" t="n">
        <x:v>0.386379762411118</x:v>
      </x:c>
      <x:c r="J59" s="9" t="n">
        <x:v>0.386379762570063</x:v>
      </x:c>
      <x:c r="K59" s="9" t="n">
        <x:v>0.381265484730403</x:v>
      </x:c>
      <x:c r="L59" s="9" t="n">
        <x:v>0.008858188787014</x:v>
      </x:c>
      <x:c r="M59" s="10" t="n">
        <x:f>(K59-I59)/I59</x:f>
        <x:v>-0.013236401536147906</x:v>
      </x:c>
      <x:c r="N59" s="11" t="n">
        <x:v>1</x:v>
      </x:c>
      <x:c r="O59" s="11" t="n">
        <x:v>1</x:v>
      </x:c>
    </x:row>
    <x:row r="60" ht="22" customHeight="1">
      <x:c r="A60" s="4" t="str">
        <x:v>Economy</x:v>
      </x:c>
      <x:c r="B60" s="4" t="n">
        <x:v>10</x:v>
      </x:c>
      <x:c r="C60" s="4" t="str">
        <x:v>Aurora</x:v>
      </x:c>
      <x:c r="D60" s="9" t="n">
        <x:v>0.319506375414844</x:v>
      </x:c>
      <x:c r="E60" s="9" t="n">
        <x:v>0.319506377189861</x:v>
      </x:c>
      <x:c r="F60" s="9" t="n">
        <x:v>0.319506375414844</x:v>
      </x:c>
      <x:c r="G60" s="9" t="n">
        <x:v>0</x:v>
      </x:c>
      <x:c r="H60" s="10" t="n">
        <x:f>(F60-D60)/D60</x:f>
        <x:v>0</x:v>
      </x:c>
      <x:c r="I60" s="9" t="n">
        <x:v>0.415448498169581</x:v>
      </x:c>
      <x:c r="J60" s="9" t="n">
        <x:v>0.415448498249054</x:v>
      </x:c>
      <x:c r="K60" s="9" t="n">
        <x:v>0.415448498169581</x:v>
      </x:c>
      <x:c r="L60" s="9" t="n">
        <x:v>0</x:v>
      </x:c>
      <x:c r="M60" s="10" t="n">
        <x:f>(K60-I60)/I60</x:f>
        <x:v>0</x:v>
      </x:c>
      <x:c r="N60" s="11" t="n">
        <x:v>0</x:v>
      </x:c>
      <x:c r="O60" s="11" t="n">
        <x:v>0</x:v>
      </x:c>
    </x:row>
    <x:row r="61" ht="22" customHeight="1">
      <x:c r="A61" s="4" t="str">
        <x:v>Economy</x:v>
      </x:c>
      <x:c r="B61" s="4" t="n">
        <x:v>12</x:v>
      </x:c>
      <x:c r="C61" s="4" t="str">
        <x:v>TaTS</x:v>
      </x:c>
      <x:c r="D61" s="9" t="n">
        <x:v>0.202618284588142</x:v>
      </x:c>
      <x:c r="E61" s="9" t="n">
        <x:v>0.202618284172785</x:v>
      </x:c>
      <x:c r="F61" s="9" t="n">
        <x:v>0.202618284588142</x:v>
      </x:c>
      <x:c r="G61" s="9" t="n">
        <x:v>3.3993498887763e-17</x:v>
      </x:c>
      <x:c r="H61" s="10" t="n">
        <x:f>(F61-D61)/D61</x:f>
        <x:v>0</x:v>
      </x:c>
      <x:c r="I61" s="9" t="n">
        <x:v>0.359618533419692</x:v>
      </x:c>
      <x:c r="J61" s="9" t="n">
        <x:v>0.35961853335165</x:v>
      </x:c>
      <x:c r="K61" s="9" t="n">
        <x:v>0.359618533419692</x:v>
      </x:c>
      <x:c r="L61" s="9" t="n">
        <x:v>0</x:v>
      </x:c>
      <x:c r="M61" s="10" t="n">
        <x:f>(K61-I61)/I61</x:f>
        <x:v>0</x:v>
      </x:c>
      <x:c r="N61" s="11" t="n">
        <x:v>0</x:v>
      </x:c>
      <x:c r="O61" s="11" t="n">
        <x:v>0</x:v>
      </x:c>
    </x:row>
    <x:row r="62" ht="22" customHeight="1">
      <x:c r="A62" s="4" t="str">
        <x:v>Economy</x:v>
      </x:c>
      <x:c r="B62" s="4" t="n">
        <x:v>12</x:v>
      </x:c>
      <x:c r="C62" s="4" t="str">
        <x:v>MM-TSFlib</x:v>
      </x:c>
      <x:c r="D62" s="9" t="n">
        <x:v>0.98994579563506</x:v>
      </x:c>
      <x:c r="E62" s="9" t="n">
        <x:v>0.98994579527304</x:v>
      </x:c>
      <x:c r="F62" s="9" t="n">
        <x:v>0.970995345162446</x:v>
      </x:c>
      <x:c r="G62" s="9" t="n">
        <x:v>0.017508021499714</x:v>
      </x:c>
      <x:c r="H62" s="10" t="n">
        <x:f>(F62-D62)/D62</x:f>
        <x:v>-0.019142917275038387</x:v>
      </x:c>
      <x:c r="I62" s="9" t="n">
        <x:v>0.827972932255159</x:v>
      </x:c>
      <x:c r="J62" s="9" t="n">
        <x:v>0.827972931608762</x:v>
      </x:c>
      <x:c r="K62" s="9" t="n">
        <x:v>0.820030476518055</x:v>
      </x:c>
      <x:c r="L62" s="9" t="n">
        <x:v>0.007510138672766</x:v>
      </x:c>
      <x:c r="M62" s="10" t="n">
        <x:f>(K62-I62)/I62</x:f>
        <x:v>-0.009592651435441246</x:v>
      </x:c>
      <x:c r="N62" s="11" t="n">
        <x:v>2</x:v>
      </x:c>
      <x:c r="O62" s="11" t="n">
        <x:v>2</x:v>
      </x:c>
    </x:row>
    <x:row r="63" ht="22" customHeight="1">
      <x:c r="A63" s="4" t="str">
        <x:v>Economy</x:v>
      </x:c>
      <x:c r="B63" s="4" t="n">
        <x:v>12</x:v>
      </x:c>
      <x:c r="C63" s="4" t="str">
        <x:v>SpecTF</x:v>
      </x:c>
      <x:c r="D63" s="9" t="n">
        <x:v>0.228452418649981</x:v>
      </x:c>
      <x:c r="E63" s="9" t="n">
        <x:v>0.228452418952284</x:v>
      </x:c>
      <x:c r="F63" s="9" t="n">
        <x:v>0.228452418649981</x:v>
      </x:c>
      <x:c r="G63" s="9" t="n">
        <x:v>0</x:v>
      </x:c>
      <x:c r="H63" s="10" t="n">
        <x:f>(F63-D63)/D63</x:f>
        <x:v>0</x:v>
      </x:c>
      <x:c r="I63" s="9" t="n">
        <x:v>0.373276615727982</x:v>
      </x:c>
      <x:c r="J63" s="9" t="n">
        <x:v>0.373276615796024</x:v>
      </x:c>
      <x:c r="K63" s="9" t="n">
        <x:v>0.373276615727982</x:v>
      </x:c>
      <x:c r="L63" s="9" t="n">
        <x:v>6.79869977755259e-17</x:v>
      </x:c>
      <x:c r="M63" s="10" t="n">
        <x:f>(K63-I63)/I63</x:f>
        <x:v>0</x:v>
      </x:c>
      <x:c r="N63" s="11" t="n">
        <x:v>0</x:v>
      </x:c>
      <x:c r="O63" s="11" t="n">
        <x:v>0</x:v>
      </x:c>
    </x:row>
    <x:row r="64" ht="22" customHeight="1">
      <x:c r="A64" s="4" t="str">
        <x:v>Economy</x:v>
      </x:c>
      <x:c r="B64" s="4" t="n">
        <x:v>12</x:v>
      </x:c>
      <x:c r="C64" s="4" t="str">
        <x:v>CFA</x:v>
      </x:c>
      <x:c r="D64" s="9" t="n">
        <x:v>0.236684661766423</x:v>
      </x:c>
      <x:c r="E64" s="9" t="n">
        <x:v>0.236684661491883</x:v>
      </x:c>
      <x:c r="F64" s="9" t="n">
        <x:v>0.236684661766423</x:v>
      </x:c>
      <x:c r="G64" s="9" t="n">
        <x:v>0</x:v>
      </x:c>
      <x:c r="H64" s="10" t="n">
        <x:f>(F64-D64)/D64</x:f>
        <x:v>0</x:v>
      </x:c>
      <x:c r="I64" s="9" t="n">
        <x:v>0.385989985781718</x:v>
      </x:c>
      <x:c r="J64" s="9" t="n">
        <x:v>0.385989985713676</x:v>
      </x:c>
      <x:c r="K64" s="9" t="n">
        <x:v>0.385989985781718</x:v>
      </x:c>
      <x:c r="L64" s="9" t="n">
        <x:v>0</x:v>
      </x:c>
      <x:c r="M64" s="10" t="n">
        <x:f>(K64-I64)/I64</x:f>
        <x:v>0</x:v>
      </x:c>
      <x:c r="N64" s="11" t="n">
        <x:v>0</x:v>
      </x:c>
      <x:c r="O64" s="11" t="n">
        <x:v>0</x:v>
      </x:c>
    </x:row>
    <x:row r="65" ht="22" customHeight="1">
      <x:c r="A65" s="4" t="str">
        <x:v>Economy</x:v>
      </x:c>
      <x:c r="B65" s="4" t="n">
        <x:v>12</x:v>
      </x:c>
      <x:c r="C65" s="4" t="str">
        <x:v>Aurora</x:v>
      </x:c>
      <x:c r="D65" s="9" t="n">
        <x:v>0.333877896376475</x:v>
      </x:c>
      <x:c r="E65" s="9" t="n">
        <x:v>0.333877897776987</x:v>
      </x:c>
      <x:c r="F65" s="9" t="n">
        <x:v>0.333877896376475</x:v>
      </x:c>
      <x:c r="G65" s="9" t="n">
        <x:v>0</x:v>
      </x:c>
      <x:c r="H65" s="10" t="n">
        <x:f>(F65-D65)/D65</x:f>
        <x:v>0</x:v>
      </x:c>
      <x:c r="I65" s="9" t="n">
        <x:v>0.425290697037357</x:v>
      </x:c>
      <x:c r="J65" s="9" t="n">
        <x:v>0.425290697173441</x:v>
      </x:c>
      <x:c r="K65" s="9" t="n">
        <x:v>0.425290697037357</x:v>
      </x:c>
      <x:c r="L65" s="9" t="n">
        <x:v>0</x:v>
      </x:c>
      <x:c r="M65" s="10" t="n">
        <x:f>(K65-I65)/I65</x:f>
        <x:v>0</x:v>
      </x:c>
      <x:c r="N65" s="11" t="n">
        <x:v>0</x:v>
      </x:c>
      <x:c r="O65" s="11" t="n">
        <x:v>0</x:v>
      </x:c>
    </x:row>
    <x:row r="66" ht="22" customHeight="1">
      <x:c r="A66" s="4" t="str">
        <x:v>Energy</x:v>
      </x:c>
      <x:c r="B66" s="4" t="n">
        <x:v>12</x:v>
      </x:c>
      <x:c r="C66" s="4" t="str">
        <x:v>TaTS</x:v>
      </x:c>
      <x:c r="D66" s="9" t="n">
        <x:v>0.183861160155904</x:v>
      </x:c>
      <x:c r="E66" s="9" t="n">
        <x:v>0.183861159466952</x:v>
      </x:c>
      <x:c r="F66" s="9" t="n">
        <x:v>0.183861160155904</x:v>
      </x:c>
      <x:c r="G66" s="9" t="n">
        <x:v>0</x:v>
      </x:c>
      <x:c r="H66" s="10" t="n">
        <x:f>(F66-D66)/D66</x:f>
        <x:v>0</x:v>
      </x:c>
      <x:c r="I66" s="9" t="n">
        <x:v>0.336688694518995</x:v>
      </x:c>
      <x:c r="J66" s="9" t="n">
        <x:v>0.336688694140236</x:v>
      </x:c>
      <x:c r="K66" s="9" t="n">
        <x:v>0.336688694518995</x:v>
      </x:c>
      <x:c r="L66" s="9" t="n">
        <x:v>6.79869977755259e-17</x:v>
      </x:c>
      <x:c r="M66" s="10" t="n">
        <x:f>(K66-I66)/I66</x:f>
        <x:v>0</x:v>
      </x:c>
      <x:c r="N66" s="11" t="n">
        <x:v>0</x:v>
      </x:c>
      <x:c r="O66" s="11" t="n">
        <x:v>0</x:v>
      </x:c>
    </x:row>
    <x:row r="67" ht="22" customHeight="1">
      <x:c r="A67" s="4" t="str">
        <x:v>Energy</x:v>
      </x:c>
      <x:c r="B67" s="4" t="n">
        <x:v>12</x:v>
      </x:c>
      <x:c r="C67" s="4" t="str">
        <x:v>MM-TSFlib</x:v>
      </x:c>
      <x:c r="D67" s="9" t="n">
        <x:v>0.13332712110841</x:v>
      </x:c>
      <x:c r="E67" s="9" t="n">
        <x:v>0.133327121055218</x:v>
      </x:c>
      <x:c r="F67" s="9" t="n">
        <x:v>0.13332712110841</x:v>
      </x:c>
      <x:c r="G67" s="9" t="n">
        <x:v>0</x:v>
      </x:c>
      <x:c r="H67" s="10" t="n">
        <x:f>(F67-D67)/D67</x:f>
        <x:v>0</x:v>
      </x:c>
      <x:c r="I67" s="9" t="n">
        <x:v>0.2584491496858</x:v>
      </x:c>
      <x:c r="J67" s="9" t="n">
        <x:v>0.258449149607711</x:v>
      </x:c>
      <x:c r="K67" s="9" t="n">
        <x:v>0.2584491496858</x:v>
      </x:c>
      <x:c r="L67" s="9" t="n">
        <x:v>0</x:v>
      </x:c>
      <x:c r="M67" s="10" t="n">
        <x:f>(K67-I67)/I67</x:f>
        <x:v>0</x:v>
      </x:c>
      <x:c r="N67" s="11" t="n">
        <x:v>0</x:v>
      </x:c>
      <x:c r="O67" s="11" t="n">
        <x:v>0</x:v>
      </x:c>
    </x:row>
    <x:row r="68" ht="22" customHeight="1">
      <x:c r="A68" s="4" t="str">
        <x:v>Energy</x:v>
      </x:c>
      <x:c r="B68" s="4" t="n">
        <x:v>12</x:v>
      </x:c>
      <x:c r="C68" s="4" t="str">
        <x:v>SpecTF</x:v>
      </x:c>
      <x:c r="D68" s="9" t="n">
        <x:v>0.095777299901297</x:v>
      </x:c>
      <x:c r="E68" s="9" t="n">
        <x:v>0.09577729984054</x:v>
      </x:c>
      <x:c r="F68" s="9" t="n">
        <x:v>0.095777299901297</x:v>
      </x:c>
      <x:c r="G68" s="9" t="n">
        <x:v>0</x:v>
      </x:c>
      <x:c r="H68" s="10" t="n">
        <x:f>(F68-D68)/D68</x:f>
        <x:v>0</x:v>
      </x:c>
      <x:c r="I68" s="9" t="n">
        <x:v>0.217430789568686</x:v>
      </x:c>
      <x:c r="J68" s="9" t="n">
        <x:v>0.217430789418794</x:v>
      </x:c>
      <x:c r="K68" s="9" t="n">
        <x:v>0.217430789568685</x:v>
      </x:c>
      <x:c r="L68" s="9" t="n">
        <x:v>3.3993498887763e-17</x:v>
      </x:c>
      <x:c r="M68" s="10" t="n">
        <x:f>(K68-I68)/I68</x:f>
        <x:v>-4.595488634083238e-15</x:v>
      </x:c>
      <x:c r="N68" s="11" t="n">
        <x:v>0</x:v>
      </x:c>
      <x:c r="O68" s="11" t="n">
        <x:v>0</x:v>
      </x:c>
    </x:row>
    <x:row r="69" ht="22" customHeight="1">
      <x:c r="A69" s="4" t="str">
        <x:v>Energy</x:v>
      </x:c>
      <x:c r="B69" s="4" t="n">
        <x:v>12</x:v>
      </x:c>
      <x:c r="C69" s="4" t="str">
        <x:v>CFA</x:v>
      </x:c>
      <x:c r="D69" s="9" t="n">
        <x:v>0.10983223824033</x:v>
      </x:c>
      <x:c r="E69" s="9" t="n">
        <x:v>0.109832238096437</x:v>
      </x:c>
      <x:c r="F69" s="9" t="n">
        <x:v>0.10983223824033</x:v>
      </x:c>
      <x:c r="G69" s="9" t="n">
        <x:v>0</x:v>
      </x:c>
      <x:c r="H69" s="10" t="n">
        <x:f>(F69-D69)/D69</x:f>
        <x:v>0</x:v>
      </x:c>
      <x:c r="I69" s="9" t="n">
        <x:v>0.239653441024739</x:v>
      </x:c>
      <x:c r="J69" s="9" t="n">
        <x:v>0.239653440996591</x:v>
      </x:c>
      <x:c r="K69" s="9" t="n">
        <x:v>0.239653441024739</x:v>
      </x:c>
      <x:c r="L69" s="9" t="n">
        <x:v>0</x:v>
      </x:c>
      <x:c r="M69" s="10" t="n">
        <x:f>(K69-I69)/I69</x:f>
        <x:v>0</x:v>
      </x:c>
      <x:c r="N69" s="11" t="n">
        <x:v>0</x:v>
      </x:c>
      <x:c r="O69" s="11" t="n">
        <x:v>0</x:v>
      </x:c>
    </x:row>
    <x:row r="70" ht="22" customHeight="1">
      <x:c r="A70" s="4" t="str">
        <x:v>Energy</x:v>
      </x:c>
      <x:c r="B70" s="4" t="n">
        <x:v>12</x:v>
      </x:c>
      <x:c r="C70" s="4" t="str">
        <x:v>Aurora</x:v>
      </x:c>
      <x:c r="D70" s="9" t="n">
        <x:v>0.260639629382948</x:v>
      </x:c>
      <x:c r="E70" s="9" t="n">
        <x:v>0.260639629581445</x:v>
      </x:c>
      <x:c r="F70" s="9" t="n">
        <x:v>0.260639629382948</x:v>
      </x:c>
      <x:c r="G70" s="9" t="n">
        <x:v>0</x:v>
      </x:c>
      <x:c r="H70" s="10" t="n">
        <x:f>(F70-D70)/D70</x:f>
        <x:v>0</x:v>
      </x:c>
      <x:c r="I70" s="9" t="n">
        <x:v>0.396710379944799</x:v>
      </x:c>
      <x:c r="J70" s="9" t="n">
        <x:v>0.396710379843594</x:v>
      </x:c>
      <x:c r="K70" s="9" t="n">
        <x:v>0.396710379944799</x:v>
      </x:c>
      <x:c r="L70" s="9" t="n">
        <x:v>0</x:v>
      </x:c>
      <x:c r="M70" s="10" t="n">
        <x:f>(K70-I70)/I70</x:f>
        <x:v>0</x:v>
      </x:c>
      <x:c r="N70" s="11" t="n">
        <x:v>0</x:v>
      </x:c>
      <x:c r="O70" s="11" t="n">
        <x:v>0</x:v>
      </x:c>
    </x:row>
    <x:row r="71" ht="22" customHeight="1">
      <x:c r="A71" s="4" t="str">
        <x:v>Energy</x:v>
      </x:c>
      <x:c r="B71" s="4" t="n">
        <x:v>24</x:v>
      </x:c>
      <x:c r="C71" s="4" t="str">
        <x:v>TaTS</x:v>
      </x:c>
      <x:c r="D71" s="9" t="n">
        <x:v>0.267951351719079</x:v>
      </x:c>
      <x:c r="E71" s="9" t="n">
        <x:v>0.267951351691966</x:v>
      </x:c>
      <x:c r="F71" s="9" t="n">
        <x:v>0.267951351719079</x:v>
      </x:c>
      <x:c r="G71" s="9" t="n">
        <x:v>0</x:v>
      </x:c>
      <x:c r="H71" s="10" t="n">
        <x:f>(F71-D71)/D71</x:f>
        <x:v>0</x:v>
      </x:c>
      <x:c r="I71" s="9" t="n">
        <x:v>0.392285640964937</x:v>
      </x:c>
      <x:c r="J71" s="9" t="n">
        <x:v>0.39228564087948</x:v>
      </x:c>
      <x:c r="K71" s="9" t="n">
        <x:v>0.392285640964937</x:v>
      </x:c>
      <x:c r="L71" s="9" t="n">
        <x:v>0</x:v>
      </x:c>
      <x:c r="M71" s="10" t="n">
        <x:f>(K71-I71)/I71</x:f>
        <x:v>0</x:v>
      </x:c>
      <x:c r="N71" s="11" t="n">
        <x:v>0</x:v>
      </x:c>
      <x:c r="O71" s="11" t="n">
        <x:v>0</x:v>
      </x:c>
    </x:row>
    <x:row r="72" ht="22" customHeight="1">
      <x:c r="A72" s="4" t="str">
        <x:v>Energy</x:v>
      </x:c>
      <x:c r="B72" s="4" t="n">
        <x:v>24</x:v>
      </x:c>
      <x:c r="C72" s="4" t="str">
        <x:v>MM-TSFlib</x:v>
      </x:c>
      <x:c r="D72" s="9" t="n">
        <x:v>0.191960595489009</x:v>
      </x:c>
      <x:c r="E72" s="9" t="n">
        <x:v>0.191960594826769</x:v>
      </x:c>
      <x:c r="F72" s="9" t="n">
        <x:v>0.191960595489009</x:v>
      </x:c>
      <x:c r="G72" s="9" t="n">
        <x:v>0</x:v>
      </x:c>
      <x:c r="H72" s="10" t="n">
        <x:f>(F72-D72)/D72</x:f>
        <x:v>0</x:v>
      </x:c>
      <x:c r="I72" s="9" t="n">
        <x:v>0.326058221621126</x:v>
      </x:c>
      <x:c r="J72" s="9" t="n">
        <x:v>0.326058221294564</x:v>
      </x:c>
      <x:c r="K72" s="9" t="n">
        <x:v>0.326058221621126</x:v>
      </x:c>
      <x:c r="L72" s="9" t="n">
        <x:v>0</x:v>
      </x:c>
      <x:c r="M72" s="10" t="n">
        <x:f>(K72-I72)/I72</x:f>
        <x:v>0</x:v>
      </x:c>
      <x:c r="N72" s="11" t="n">
        <x:v>0</x:v>
      </x:c>
      <x:c r="O72" s="11" t="n">
        <x:v>0</x:v>
      </x:c>
    </x:row>
    <x:row r="73" ht="22" customHeight="1">
      <x:c r="A73" s="4" t="str">
        <x:v>Energy</x:v>
      </x:c>
      <x:c r="B73" s="4" t="n">
        <x:v>24</x:v>
      </x:c>
      <x:c r="C73" s="4" t="str">
        <x:v>SpecTF</x:v>
      </x:c>
      <x:c r="D73" s="9" t="n">
        <x:v>0.211440134527964</x:v>
      </x:c>
      <x:c r="E73" s="9" t="n">
        <x:v>0.211440134586576</x:v>
      </x:c>
      <x:c r="F73" s="9" t="n">
        <x:v>0.211440134527964</x:v>
      </x:c>
      <x:c r="G73" s="9" t="n">
        <x:v>0</x:v>
      </x:c>
      <x:c r="H73" s="10" t="n">
        <x:f>(F73-D73)/D73</x:f>
        <x:v>0</x:v>
      </x:c>
      <x:c r="I73" s="9" t="n">
        <x:v>0.337439583680817</x:v>
      </x:c>
      <x:c r="J73" s="9" t="n">
        <x:v>0.337439583538428</x:v>
      </x:c>
      <x:c r="K73" s="9" t="n">
        <x:v>0.337439583680817</x:v>
      </x:c>
      <x:c r="L73" s="9" t="n">
        <x:v>0</x:v>
      </x:c>
      <x:c r="M73" s="10" t="n">
        <x:f>(K73-I73)/I73</x:f>
        <x:v>0</x:v>
      </x:c>
      <x:c r="N73" s="11" t="n">
        <x:v>0</x:v>
      </x:c>
      <x:c r="O73" s="11" t="n">
        <x:v>0</x:v>
      </x:c>
    </x:row>
    <x:row r="74" ht="22" customHeight="1">
      <x:c r="A74" s="4" t="str">
        <x:v>Energy</x:v>
      </x:c>
      <x:c r="B74" s="4" t="n">
        <x:v>24</x:v>
      </x:c>
      <x:c r="C74" s="4" t="str">
        <x:v>CFA</x:v>
      </x:c>
      <x:c r="D74" s="9" t="n">
        <x:v>0.222523818846496</x:v>
      </x:c>
      <x:c r="E74" s="9" t="n">
        <x:v>0.222523818865889</x:v>
      </x:c>
      <x:c r="F74" s="9" t="n">
        <x:v>0.222523818846496</x:v>
      </x:c>
      <x:c r="G74" s="9" t="n">
        <x:v>0</x:v>
      </x:c>
      <x:c r="H74" s="10" t="n">
        <x:f>(F74-D74)/D74</x:f>
        <x:v>0</x:v>
      </x:c>
      <x:c r="I74" s="9" t="n">
        <x:v>0.34910632328348</x:v>
      </x:c>
      <x:c r="J74" s="9" t="n">
        <x:v>0.349106323238612</x:v>
      </x:c>
      <x:c r="K74" s="9" t="n">
        <x:v>0.34910632328348</x:v>
      </x:c>
      <x:c r="L74" s="9" t="n">
        <x:v>0</x:v>
      </x:c>
      <x:c r="M74" s="10" t="n">
        <x:f>(K74-I74)/I74</x:f>
        <x:v>0</x:v>
      </x:c>
      <x:c r="N74" s="11" t="n">
        <x:v>0</x:v>
      </x:c>
      <x:c r="O74" s="11" t="n">
        <x:v>0</x:v>
      </x:c>
    </x:row>
    <x:row r="75" ht="22" customHeight="1">
      <x:c r="A75" s="4" t="str">
        <x:v>Energy</x:v>
      </x:c>
      <x:c r="B75" s="4" t="n">
        <x:v>24</x:v>
      </x:c>
      <x:c r="C75" s="4" t="str">
        <x:v>Aurora</x:v>
      </x:c>
      <x:c r="D75" s="9" t="n">
        <x:v>0.316947202403051</x:v>
      </x:c>
      <x:c r="E75" s="9" t="n">
        <x:v>0.31694720283991</x:v>
      </x:c>
      <x:c r="F75" s="9" t="n">
        <x:v>0.316947202403051</x:v>
      </x:c>
      <x:c r="G75" s="9" t="n">
        <x:v>0</x:v>
      </x:c>
      <x:c r="H75" s="10" t="n">
        <x:f>(F75-D75)/D75</x:f>
        <x:v>0</x:v>
      </x:c>
      <x:c r="I75" s="9" t="n">
        <x:v>0.440597837258639</x:v>
      </x:c>
      <x:c r="J75" s="9" t="n">
        <x:v>0.440597837206202</x:v>
      </x:c>
      <x:c r="K75" s="9" t="n">
        <x:v>0.440597837258639</x:v>
      </x:c>
      <x:c r="L75" s="9" t="n">
        <x:v>0</x:v>
      </x:c>
      <x:c r="M75" s="10" t="n">
        <x:f>(K75-I75)/I75</x:f>
        <x:v>0</x:v>
      </x:c>
      <x:c r="N75" s="11" t="n">
        <x:v>0</x:v>
      </x:c>
      <x:c r="O75" s="11" t="n">
        <x:v>0</x:v>
      </x:c>
    </x:row>
    <x:row r="76" ht="22" customHeight="1">
      <x:c r="A76" s="4" t="str">
        <x:v>Energy</x:v>
      </x:c>
      <x:c r="B76" s="4" t="n">
        <x:v>36</x:v>
      </x:c>
      <x:c r="C76" s="4" t="str">
        <x:v>TaTS</x:v>
      </x:c>
      <x:c r="D76" s="9" t="n">
        <x:v>0.366934497515655</x:v>
      </x:c>
      <x:c r="E76" s="9" t="n">
        <x:v>0.36669385022675</x:v>
      </x:c>
      <x:c r="F76" s="9" t="n">
        <x:v>0.366934497515655</x:v>
      </x:c>
      <x:c r="G76" s="9" t="n">
        <x:v>6.79869977755259e-17</x:v>
      </x:c>
      <x:c r="H76" s="10" t="n">
        <x:f>(F76-D76)/D76</x:f>
        <x:v>0</x:v>
      </x:c>
      <x:c r="I76" s="9" t="n">
        <x:v>0.45734456458117</x:v>
      </x:c>
      <x:c r="J76" s="9" t="n">
        <x:v>0.457344040092522</x:v>
      </x:c>
      <x:c r="K76" s="9" t="n">
        <x:v>0.45734456458117</x:v>
      </x:c>
      <x:c r="L76" s="9" t="n">
        <x:v>0</x:v>
      </x:c>
      <x:c r="M76" s="10" t="n">
        <x:f>(K76-I76)/I76</x:f>
        <x:v>0</x:v>
      </x:c>
      <x:c r="N76" s="11" t="n">
        <x:v>0</x:v>
      </x:c>
      <x:c r="O76" s="11" t="n">
        <x:v>0</x:v>
      </x:c>
    </x:row>
    <x:row r="77" ht="22" customHeight="1">
      <x:c r="A77" s="4" t="str">
        <x:v>Energy</x:v>
      </x:c>
      <x:c r="B77" s="4" t="n">
        <x:v>36</x:v>
      </x:c>
      <x:c r="C77" s="4" t="str">
        <x:v>MM-TSFlib</x:v>
      </x:c>
      <x:c r="D77" s="9" t="n">
        <x:v>0.334967240565299</x:v>
      </x:c>
      <x:c r="E77" s="9" t="n">
        <x:v>0.334095135347684</x:v>
      </x:c>
      <x:c r="F77" s="9" t="n">
        <x:v>0.334967240565416</x:v>
      </x:c>
      <x:c r="G77" s="9" t="n">
        <x:v>0</x:v>
      </x:c>
      <x:c r="H77" s="10" t="n">
        <x:f>(F77-D77)/D77</x:f>
        <x:v>3.493401521832698e-13</x:v>
      </x:c>
      <x:c r="I77" s="9" t="n">
        <x:v>0.445736902378986</x:v>
      </x:c>
      <x:c r="J77" s="9" t="n">
        <x:v>0.444974312370018</x:v>
      </x:c>
      <x:c r="K77" s="9" t="n">
        <x:v>0.445736902379303</x:v>
      </x:c>
      <x:c r="L77" s="9" t="n">
        <x:v>0</x:v>
      </x:c>
      <x:c r="M77" s="10" t="n">
        <x:f>(K77-I77)/I77</x:f>
        <x:v>7.112361193109493e-13</x:v>
      </x:c>
      <x:c r="N77" s="11" t="n">
        <x:v>0</x:v>
      </x:c>
      <x:c r="O77" s="11" t="n">
        <x:v>0</x:v>
      </x:c>
    </x:row>
    <x:row r="78" ht="22" customHeight="1">
      <x:c r="A78" s="4" t="str">
        <x:v>Energy</x:v>
      </x:c>
      <x:c r="B78" s="4" t="n">
        <x:v>36</x:v>
      </x:c>
      <x:c r="C78" s="4" t="str">
        <x:v>SpecTF</x:v>
      </x:c>
      <x:c r="D78" s="9" t="n">
        <x:v>0.306159764163748</x:v>
      </x:c>
      <x:c r="E78" s="9" t="n">
        <x:v>0.306021827447491</x:v>
      </x:c>
      <x:c r="F78" s="9" t="n">
        <x:v>0.306159764163748</x:v>
      </x:c>
      <x:c r="G78" s="9" t="n">
        <x:v>0</x:v>
      </x:c>
      <x:c r="H78" s="10" t="n">
        <x:f>(F78-D78)/D78</x:f>
        <x:v>0</x:v>
      </x:c>
      <x:c r="I78" s="9" t="n">
        <x:v>0.408370878198766</x:v>
      </x:c>
      <x:c r="J78" s="9" t="n">
        <x:v>0.40850419265439</x:v>
      </x:c>
      <x:c r="K78" s="9" t="n">
        <x:v>0.408370878198766</x:v>
      </x:c>
      <x:c r="L78" s="9" t="n">
        <x:v>6.79869977755259e-17</x:v>
      </x:c>
      <x:c r="M78" s="10" t="n">
        <x:f>(K78-I78)/I78</x:f>
        <x:v>0</x:v>
      </x:c>
      <x:c r="N78" s="11" t="n">
        <x:v>0</x:v>
      </x:c>
      <x:c r="O78" s="11" t="n">
        <x:v>0</x:v>
      </x:c>
    </x:row>
    <x:row r="79" ht="22" customHeight="1">
      <x:c r="A79" s="4" t="str">
        <x:v>Energy</x:v>
      </x:c>
      <x:c r="B79" s="4" t="n">
        <x:v>36</x:v>
      </x:c>
      <x:c r="C79" s="4" t="str">
        <x:v>CFA</x:v>
      </x:c>
      <x:c r="D79" s="9" t="n">
        <x:v>0.376386659782646</x:v>
      </x:c>
      <x:c r="E79" s="9" t="n">
        <x:v>0.376746147770348</x:v>
      </x:c>
      <x:c r="F79" s="9" t="n">
        <x:v>0.376386659782646</x:v>
      </x:c>
      <x:c r="G79" s="9" t="n">
        <x:v>6.79869977755259e-17</x:v>
      </x:c>
      <x:c r="H79" s="10" t="n">
        <x:f>(F79-D79)/D79</x:f>
        <x:v>0</x:v>
      </x:c>
      <x:c r="I79" s="9" t="n">
        <x:v>0.456629963560054</x:v>
      </x:c>
      <x:c r="J79" s="9" t="n">
        <x:v>0.456848826738021</x:v>
      </x:c>
      <x:c r="K79" s="9" t="n">
        <x:v>0.456629963560054</x:v>
      </x:c>
      <x:c r="L79" s="9" t="n">
        <x:v>0</x:v>
      </x:c>
      <x:c r="M79" s="10" t="n">
        <x:f>(K79-I79)/I79</x:f>
        <x:v>0</x:v>
      </x:c>
      <x:c r="N79" s="11" t="n">
        <x:v>0</x:v>
      </x:c>
      <x:c r="O79" s="11" t="n">
        <x:v>0</x:v>
      </x:c>
    </x:row>
    <x:row r="80" ht="22" customHeight="1">
      <x:c r="A80" s="4" t="str">
        <x:v>Energy</x:v>
      </x:c>
      <x:c r="B80" s="4" t="n">
        <x:v>36</x:v>
      </x:c>
      <x:c r="C80" s="4" t="str">
        <x:v>Aurora</x:v>
      </x:c>
      <x:c r="D80" s="9" t="n">
        <x:v>0.396047499253937</x:v>
      </x:c>
      <x:c r="E80" s="9" t="n">
        <x:v>0.395486565637296</x:v>
      </x:c>
      <x:c r="F80" s="9" t="n">
        <x:v>0.396047499253937</x:v>
      </x:c>
      <x:c r="G80" s="9" t="n">
        <x:v>0</x:v>
      </x:c>
      <x:c r="H80" s="10" t="n">
        <x:f>(F80-D80)/D80</x:f>
        <x:v>0</x:v>
      </x:c>
      <x:c r="I80" s="9" t="n">
        <x:v>0.490885664886746</x:v>
      </x:c>
      <x:c r="J80" s="9" t="n">
        <x:v>0.490571891214812</x:v>
      </x:c>
      <x:c r="K80" s="9" t="n">
        <x:v>0.490885664886746</x:v>
      </x:c>
      <x:c r="L80" s="9" t="n">
        <x:v>0</x:v>
      </x:c>
      <x:c r="M80" s="10" t="n">
        <x:f>(K80-I80)/I80</x:f>
        <x:v>0</x:v>
      </x:c>
      <x:c r="N80" s="11" t="n">
        <x:v>0</x:v>
      </x:c>
      <x:c r="O80" s="11" t="n">
        <x:v>0</x:v>
      </x:c>
    </x:row>
    <x:row r="81" ht="22" customHeight="1">
      <x:c r="A81" s="4" t="str">
        <x:v>Energy</x:v>
      </x:c>
      <x:c r="B81" s="4" t="n">
        <x:v>48</x:v>
      </x:c>
      <x:c r="C81" s="4" t="str">
        <x:v>TaTS</x:v>
      </x:c>
      <x:c r="D81" s="9" t="n">
        <x:v>0.40905897884304</x:v>
      </x:c>
      <x:c r="E81" s="9" t="n">
        <x:v>0.408984239532307</x:v>
      </x:c>
      <x:c r="F81" s="9" t="n">
        <x:v>0.40905897884304</x:v>
      </x:c>
      <x:c r="G81" s="9" t="n">
        <x:v>0</x:v>
      </x:c>
      <x:c r="H81" s="10" t="n">
        <x:f>(F81-D81)/D81</x:f>
        <x:v>0</x:v>
      </x:c>
      <x:c r="I81" s="9" t="n">
        <x:v>0.490650763367622</x:v>
      </x:c>
      <x:c r="J81" s="9" t="n">
        <x:v>0.490737859973442</x:v>
      </x:c>
      <x:c r="K81" s="9" t="n">
        <x:v>0.490650763367622</x:v>
      </x:c>
      <x:c r="L81" s="9" t="n">
        <x:v>6.79869977755259e-17</x:v>
      </x:c>
      <x:c r="M81" s="10" t="n">
        <x:f>(K81-I81)/I81</x:f>
        <x:v>0</x:v>
      </x:c>
      <x:c r="N81" s="11" t="n">
        <x:v>0</x:v>
      </x:c>
      <x:c r="O81" s="11" t="n">
        <x:v>0</x:v>
      </x:c>
    </x:row>
    <x:row r="82" ht="22" customHeight="1">
      <x:c r="A82" s="4" t="str">
        <x:v>Energy</x:v>
      </x:c>
      <x:c r="B82" s="4" t="n">
        <x:v>48</x:v>
      </x:c>
      <x:c r="C82" s="4" t="str">
        <x:v>MM-TSFlib</x:v>
      </x:c>
      <x:c r="D82" s="9" t="n">
        <x:v>0.470985838461075</x:v>
      </x:c>
      <x:c r="E82" s="9" t="n">
        <x:v>0.468930646501345</x:v>
      </x:c>
      <x:c r="F82" s="9" t="n">
        <x:v>0.470985838461075</x:v>
      </x:c>
      <x:c r="G82" s="9" t="n">
        <x:v>0</x:v>
      </x:c>
      <x:c r="H82" s="10" t="n">
        <x:f>(F82-D82)/D82</x:f>
        <x:v>0</x:v>
      </x:c>
      <x:c r="I82" s="9" t="n">
        <x:v>0.547925163639315</x:v>
      </x:c>
      <x:c r="J82" s="9" t="n">
        <x:v>0.546441980146757</x:v>
      </x:c>
      <x:c r="K82" s="9" t="n">
        <x:v>0.547925163639315</x:v>
      </x:c>
      <x:c r="L82" s="9" t="n">
        <x:v>0</x:v>
      </x:c>
      <x:c r="M82" s="10" t="n">
        <x:f>(K82-I82)/I82</x:f>
        <x:v>0</x:v>
      </x:c>
      <x:c r="N82" s="11" t="n">
        <x:v>0</x:v>
      </x:c>
      <x:c r="O82" s="11" t="n">
        <x:v>0</x:v>
      </x:c>
    </x:row>
    <x:row r="83" ht="22" customHeight="1">
      <x:c r="A83" s="4" t="str">
        <x:v>Energy</x:v>
      </x:c>
      <x:c r="B83" s="4" t="n">
        <x:v>48</x:v>
      </x:c>
      <x:c r="C83" s="4" t="str">
        <x:v>SpecTF</x:v>
      </x:c>
      <x:c r="D83" s="9" t="n">
        <x:v>0.381582342098562</x:v>
      </x:c>
      <x:c r="E83" s="9" t="n">
        <x:v>0.381443999766197</x:v>
      </x:c>
      <x:c r="F83" s="9" t="n">
        <x:v>0.381582342098562</x:v>
      </x:c>
      <x:c r="G83" s="9" t="n">
        <x:v>6.79869977755259e-17</x:v>
      </x:c>
      <x:c r="H83" s="10" t="n">
        <x:f>(F83-D83)/D83</x:f>
        <x:v>0</x:v>
      </x:c>
      <x:c r="I83" s="9" t="n">
        <x:v>0.471821080197791</x:v>
      </x:c>
      <x:c r="J83" s="9" t="n">
        <x:v>0.47218082725056</x:v>
      </x:c>
      <x:c r="K83" s="9" t="n">
        <x:v>0.471821080197791</x:v>
      </x:c>
      <x:c r="L83" s="9" t="n">
        <x:v>0</x:v>
      </x:c>
      <x:c r="M83" s="10" t="n">
        <x:f>(K83-I83)/I83</x:f>
        <x:v>0</x:v>
      </x:c>
      <x:c r="N83" s="11" t="n">
        <x:v>0</x:v>
      </x:c>
      <x:c r="O83" s="11" t="n">
        <x:v>0</x:v>
      </x:c>
    </x:row>
    <x:row r="84" ht="22" customHeight="1">
      <x:c r="A84" s="4" t="str">
        <x:v>Energy</x:v>
      </x:c>
      <x:c r="B84" s="4" t="n">
        <x:v>48</x:v>
      </x:c>
      <x:c r="C84" s="4" t="str">
        <x:v>CFA</x:v>
      </x:c>
      <x:c r="D84" s="9" t="n">
        <x:v>0.395382773285724</x:v>
      </x:c>
      <x:c r="E84" s="9" t="n">
        <x:v>0.395786661437024</x:v>
      </x:c>
      <x:c r="F84" s="9" t="n">
        <x:v>0.395382773285724</x:v>
      </x:c>
      <x:c r="G84" s="9" t="n">
        <x:v>0</x:v>
      </x:c>
      <x:c r="H84" s="10" t="n">
        <x:f>(F84-D84)/D84</x:f>
        <x:v>0</x:v>
      </x:c>
      <x:c r="I84" s="9" t="n">
        <x:v>0.481629302558827</x:v>
      </x:c>
      <x:c r="J84" s="9" t="n">
        <x:v>0.482279079730815</x:v>
      </x:c>
      <x:c r="K84" s="9" t="n">
        <x:v>0.481629302558827</x:v>
      </x:c>
      <x:c r="L84" s="9" t="n">
        <x:v>0</x:v>
      </x:c>
      <x:c r="M84" s="10" t="n">
        <x:f>(K84-I84)/I84</x:f>
        <x:v>0</x:v>
      </x:c>
      <x:c r="N84" s="11" t="n">
        <x:v>0</x:v>
      </x:c>
      <x:c r="O84" s="11" t="n">
        <x:v>0</x:v>
      </x:c>
    </x:row>
    <x:row r="85" ht="22" customHeight="1">
      <x:c r="A85" s="4" t="str">
        <x:v>Energy</x:v>
      </x:c>
      <x:c r="B85" s="4" t="n">
        <x:v>48</x:v>
      </x:c>
      <x:c r="C85" s="4" t="str">
        <x:v>Aurora</x:v>
      </x:c>
      <x:c r="D85" s="9" t="n">
        <x:v>0.467555439111382</x:v>
      </x:c>
      <x:c r="E85" s="9" t="n">
        <x:v>0.466601983839677</x:v>
      </x:c>
      <x:c r="F85" s="9" t="n">
        <x:v>0.467555439107476</x:v>
      </x:c>
      <x:c r="G85" s="9" t="n">
        <x:v>0</x:v>
      </x:c>
      <x:c r="H85" s="10" t="n">
        <x:f>(F85-D85)/D85</x:f>
        <x:v>-8.354060970095428e-12</x:v>
      </x:c>
      <x:c r="I85" s="9" t="n">
        <x:v>0.536317047074805</x:v>
      </x:c>
      <x:c r="J85" s="9" t="n">
        <x:v>0.535992517273146</x:v>
      </x:c>
      <x:c r="K85" s="9" t="n">
        <x:v>0.536317047072136</x:v>
      </x:c>
      <x:c r="L85" s="9" t="n">
        <x:v>0</x:v>
      </x:c>
      <x:c r="M85" s="10" t="n">
        <x:f>(K85-I85)/I85</x:f>
        <x:v>-4.976489495823559e-12</x:v>
      </x:c>
      <x:c r="N85" s="11" t="n">
        <x:v>0</x:v>
      </x:c>
      <x:c r="O85" s="11" t="n">
        <x:v>0</x:v>
      </x:c>
    </x:row>
    <x:row r="86" ht="22" customHeight="1">
      <x:c r="A86" s="4" t="str">
        <x:v>Environment</x:v>
      </x:c>
      <x:c r="B86" s="4" t="n">
        <x:v>48</x:v>
      </x:c>
      <x:c r="C86" s="4" t="str">
        <x:v>TaTS</x:v>
      </x:c>
      <x:c r="D86" s="9" t="n">
        <x:v>0.303507164738101</x:v>
      </x:c>
      <x:c r="E86" s="9" t="n">
        <x:v>0.30078917149998</x:v>
      </x:c>
      <x:c r="F86" s="9" t="n">
        <x:v>0.283026946655069</x:v>
      </x:c>
      <x:c r="G86" s="9" t="n">
        <x:v>0.000440749241842</x:v>
      </x:c>
      <x:c r="H86" s="10" t="n">
        <x:f>(F86-D86)/D86</x:f>
        <x:v>-0.06747853251077146</x:v>
      </x:c>
      <x:c r="I86" s="9" t="n">
        <x:v>0.430787174049235</x:v>
      </x:c>
      <x:c r="J86" s="9" t="n">
        <x:v>0.427831285014566</x:v>
      </x:c>
      <x:c r="K86" s="9" t="n">
        <x:v>0.405249487158456</x:v>
      </x:c>
      <x:c r="L86" s="9" t="n">
        <x:v>0.000236339848024</x:v>
      </x:c>
      <x:c r="M86" s="10" t="n">
        <x:f>(K86-I86)/I86</x:f>
        <x:v>-0.05928144668452986</x:v>
      </x:c>
      <x:c r="N86" s="11" t="n">
        <x:v>3</x:v>
      </x:c>
      <x:c r="O86" s="11" t="n">
        <x:v>3</x:v>
      </x:c>
    </x:row>
    <x:row r="87" ht="22" customHeight="1">
      <x:c r="A87" s="4" t="str">
        <x:v>Environment</x:v>
      </x:c>
      <x:c r="B87" s="4" t="n">
        <x:v>48</x:v>
      </x:c>
      <x:c r="C87" s="4" t="str">
        <x:v>MM-TSFlib</x:v>
      </x:c>
      <x:c r="D87" s="9" t="n">
        <x:v>0.295966475082907</x:v>
      </x:c>
      <x:c r="E87" s="9" t="n">
        <x:v>0.293808477538859</x:v>
      </x:c>
      <x:c r="F87" s="9" t="n">
        <x:v>0.278807308473337</x:v>
      </x:c>
      <x:c r="G87" s="9" t="n">
        <x:v>0.000363790650363</x:v>
      </x:c>
      <x:c r="H87" s="10" t="n">
        <x:f>(F87-D87)/D87</x:f>
        <x:v>-0.057976723900108385</x:v>
      </x:c>
      <x:c r="I87" s="9" t="n">
        <x:v>0.427655586810255</x:v>
      </x:c>
      <x:c r="J87" s="9" t="n">
        <x:v>0.424996614871696</x:v>
      </x:c>
      <x:c r="K87" s="9" t="n">
        <x:v>0.401319671728212</x:v>
      </x:c>
      <x:c r="L87" s="9" t="n">
        <x:v>0.000438075201992</x:v>
      </x:c>
      <x:c r="M87" s="10" t="n">
        <x:f>(K87-I87)/I87</x:f>
        <x:v>-0.06158206719213963</x:v>
      </x:c>
      <x:c r="N87" s="11" t="n">
        <x:v>3</x:v>
      </x:c>
      <x:c r="O87" s="11" t="n">
        <x:v>3</x:v>
      </x:c>
    </x:row>
    <x:row r="88" ht="22" customHeight="1">
      <x:c r="A88" s="4" t="str">
        <x:v>Environment</x:v>
      </x:c>
      <x:c r="B88" s="4" t="n">
        <x:v>48</x:v>
      </x:c>
      <x:c r="C88" s="4" t="str">
        <x:v>SpecTF</x:v>
      </x:c>
      <x:c r="D88" s="9" t="n">
        <x:v>0.304436983319333</x:v>
      </x:c>
      <x:c r="E88" s="9" t="n">
        <x:v>0.304436983396479</x:v>
      </x:c>
      <x:c r="F88" s="9" t="n">
        <x:v>0.29711484167947</x:v>
      </x:c>
      <x:c r="G88" s="9" t="n">
        <x:v>0.00073972976572</x:v>
      </x:c>
      <x:c r="H88" s="10" t="n">
        <x:f>(F88-D88)/D88</x:f>
        <x:v>-0.0240514196403746</x:v>
      </x:c>
      <x:c r="I88" s="9" t="n">
        <x:v>0.404471612568093</x:v>
      </x:c>
      <x:c r="J88" s="9" t="n">
        <x:v>0.404471612623872</x:v>
      </x:c>
      <x:c r="K88" s="9" t="n">
        <x:v>0.390121305123751</x:v>
      </x:c>
      <x:c r="L88" s="9" t="n">
        <x:v>0.000451105793574</x:v>
      </x:c>
      <x:c r="M88" s="10" t="n">
        <x:f>(K88-I88)/I88</x:f>
        <x:v>-0.035479146121598665</x:v>
      </x:c>
      <x:c r="N88" s="11" t="n">
        <x:v>3</x:v>
      </x:c>
      <x:c r="O88" s="11" t="n">
        <x:v>3</x:v>
      </x:c>
    </x:row>
    <x:row r="89" ht="22" customHeight="1">
      <x:c r="A89" s="4" t="str">
        <x:v>Environment</x:v>
      </x:c>
      <x:c r="B89" s="4" t="n">
        <x:v>48</x:v>
      </x:c>
      <x:c r="C89" s="4" t="str">
        <x:v>CFA</x:v>
      </x:c>
      <x:c r="D89" s="9" t="n">
        <x:v>0.31664634101683</x:v>
      </x:c>
      <x:c r="E89" s="9" t="n">
        <x:v>0.316646340968332</x:v>
      </x:c>
      <x:c r="F89" s="9" t="n">
        <x:v>0.316798714928294</x:v>
      </x:c>
      <x:c r="G89" s="9" t="n">
        <x:v>0.000236900647503</x:v>
      </x:c>
      <x:c r="H89" s="10" t="n">
        <x:f>(F89-D89)/D89</x:f>
        <x:v>0.00048121166022221625</x:v>
      </x:c>
      <x:c r="I89" s="9" t="n">
        <x:v>0.39642162561097</x:v>
      </x:c>
      <x:c r="J89" s="9" t="n">
        <x:v>0.396421625584626</x:v>
      </x:c>
      <x:c r="K89" s="9" t="n">
        <x:v>0.392036041387337</x:v>
      </x:c>
      <x:c r="L89" s="9" t="n">
        <x:v>0.001326562904789</x:v>
      </x:c>
      <x:c r="M89" s="10" t="n">
        <x:f>(K89-I89)/I89</x:f>
        <x:v>-0.011062928811902937</x:v>
      </x:c>
      <x:c r="N89" s="11" t="n">
        <x:v>3</x:v>
      </x:c>
      <x:c r="O89" s="11" t="n">
        <x:v>1</x:v>
      </x:c>
    </x:row>
    <x:row r="90" ht="22" customHeight="1">
      <x:c r="A90" s="4" t="str">
        <x:v>Environment</x:v>
      </x:c>
      <x:c r="B90" s="4" t="n">
        <x:v>48</x:v>
      </x:c>
      <x:c r="C90" s="4" t="str">
        <x:v>Aurora</x:v>
      </x:c>
      <x:c r="D90" s="9" t="n">
        <x:v>0.394888637572072</x:v>
      </x:c>
      <x:c r="E90" s="9" t="n">
        <x:v>0.394888637382274</x:v>
      </x:c>
      <x:c r="F90" s="9" t="n">
        <x:v>0.393716783496953</x:v>
      </x:c>
      <x:c r="G90" s="9" t="n">
        <x:v>0.000694674599966</x:v>
      </x:c>
      <x:c r="H90" s="10" t="n">
        <x:f>(F90-D90)/D90</x:f>
        <x:v>-0.0029675558211145455</x:v>
      </x:c>
      <x:c r="I90" s="9" t="n">
        <x:v>0.443852871655123</x:v>
      </x:c>
      <x:c r="J90" s="9" t="n">
        <x:v>0.443852871607827</x:v>
      </x:c>
      <x:c r="K90" s="9" t="n">
        <x:v>0.437196258590304</x:v>
      </x:c>
      <x:c r="L90" s="9" t="n">
        <x:v>0.000451678021558</x:v>
      </x:c>
      <x:c r="M90" s="10" t="n">
        <x:f>(K90-I90)/I90</x:f>
        <x:v>-0.014997341438834388</x:v>
      </x:c>
      <x:c r="N90" s="11" t="n">
        <x:v>3</x:v>
      </x:c>
      <x:c r="O90" s="11" t="n">
        <x:v>3</x:v>
      </x:c>
    </x:row>
    <x:row r="91" ht="22" customHeight="1">
      <x:c r="A91" s="4" t="str">
        <x:v>Environment</x:v>
      </x:c>
      <x:c r="B91" s="4" t="n">
        <x:v>96</x:v>
      </x:c>
      <x:c r="C91" s="4" t="str">
        <x:v>TaTS</x:v>
      </x:c>
      <x:c r="D91" s="9" t="n">
        <x:v>0.296970084802483</x:v>
      </x:c>
      <x:c r="E91" s="9" t="n">
        <x:v>0.296970084879568</x:v>
      </x:c>
      <x:c r="F91" s="9" t="n">
        <x:v>0.282068957834716</x:v>
      </x:c>
      <x:c r="G91" s="9" t="n">
        <x:v>0.004001593314594</x:v>
      </x:c>
      <x:c r="H91" s="10" t="n">
        <x:f>(F91-D91)/D91</x:f>
        <x:v>-0.05017719874942223</x:v>
      </x:c>
      <x:c r="I91" s="9" t="n">
        <x:v>0.422275969020348</x:v>
      </x:c>
      <x:c r="J91" s="9" t="n">
        <x:v>0.42227596901621</x:v>
      </x:c>
      <x:c r="K91" s="9" t="n">
        <x:v>0.399545277188904</x:v>
      </x:c>
      <x:c r="L91" s="9" t="n">
        <x:v>0.001144272307789</x:v>
      </x:c>
      <x:c r="M91" s="10" t="n">
        <x:f>(K91-I91)/I91</x:f>
        <x:v>-0.05382899690971684</x:v>
      </x:c>
      <x:c r="N91" s="11" t="n">
        <x:v>3</x:v>
      </x:c>
      <x:c r="O91" s="11" t="n">
        <x:v>3</x:v>
      </x:c>
    </x:row>
    <x:row r="92" ht="22" customHeight="1">
      <x:c r="A92" s="4" t="str">
        <x:v>Environment</x:v>
      </x:c>
      <x:c r="B92" s="4" t="n">
        <x:v>96</x:v>
      </x:c>
      <x:c r="C92" s="4" t="str">
        <x:v>MM-TSFlib</x:v>
      </x:c>
      <x:c r="D92" s="9" t="n">
        <x:v>0.345559992192293</x:v>
      </x:c>
      <x:c r="E92" s="9" t="n">
        <x:v>0.34555999204067</x:v>
      </x:c>
      <x:c r="F92" s="9" t="n">
        <x:v>0.312689330549281</x:v>
      </x:c>
      <x:c r="G92" s="9" t="n">
        <x:v>0.001693360710613</x:v>
      </x:c>
      <x:c r="H92" s="10" t="n">
        <x:f>(F92-D92)/D92</x:f>
        <x:v>-0.09512287992158693</x:v>
      </x:c>
      <x:c r="I92" s="9" t="n">
        <x:v>0.463308082947142</x:v>
      </x:c>
      <x:c r="J92" s="9" t="n">
        <x:v>0.463308082831322</x:v>
      </x:c>
      <x:c r="K92" s="9" t="n">
        <x:v>0.428319501225058</x:v>
      </x:c>
      <x:c r="L92" s="9" t="n">
        <x:v>0.005353807710461</x:v>
      </x:c>
      <x:c r="M92" s="10" t="n">
        <x:f>(K92-I92)/I92</x:f>
        <x:v>-0.07551904015902039</x:v>
      </x:c>
      <x:c r="N92" s="11" t="n">
        <x:v>3</x:v>
      </x:c>
      <x:c r="O92" s="11" t="n">
        <x:v>3</x:v>
      </x:c>
    </x:row>
    <x:row r="93" ht="22" customHeight="1">
      <x:c r="A93" s="4" t="str">
        <x:v>Environment</x:v>
      </x:c>
      <x:c r="B93" s="4" t="n">
        <x:v>96</x:v>
      </x:c>
      <x:c r="C93" s="4" t="str">
        <x:v>SpecTF</x:v>
      </x:c>
      <x:c r="D93" s="9" t="n">
        <x:v>0.329487640824524</x:v>
      </x:c>
      <x:c r="E93" s="9" t="n">
        <x:v>0.325157256568607</x:v>
      </x:c>
      <x:c r="F93" s="9" t="n">
        <x:v>0.328465855996874</x:v>
      </x:c>
      <x:c r="G93" s="9" t="n">
        <x:v>0.001769783235893</x:v>
      </x:c>
      <x:c r="H93" s="10" t="n">
        <x:f>(F93-D93)/D93</x:f>
        <x:v>-0.0031011324888940177</x:v>
      </x:c>
      <x:c r="I93" s="9" t="n">
        <x:v>0.413013794677688</x:v>
      </x:c>
      <x:c r="J93" s="9" t="n">
        <x:v>0.409406962662084</x:v>
      </x:c>
      <x:c r="K93" s="9" t="n">
        <x:v>0.411151772102725</x:v>
      </x:c>
      <x:c r="L93" s="9" t="n">
        <x:v>0.003225117704676</x:v>
      </x:c>
      <x:c r="M93" s="10" t="n">
        <x:f>(K93-I93)/I93</x:f>
        <x:v>-0.004508378652137005</x:v>
      </x:c>
      <x:c r="N93" s="11" t="n">
        <x:v>1</x:v>
      </x:c>
      <x:c r="O93" s="11" t="n">
        <x:v>1</x:v>
      </x:c>
    </x:row>
    <x:row r="94" ht="22" customHeight="1">
      <x:c r="A94" s="4" t="str">
        <x:v>Environment</x:v>
      </x:c>
      <x:c r="B94" s="4" t="n">
        <x:v>96</x:v>
      </x:c>
      <x:c r="C94" s="4" t="str">
        <x:v>CFA</x:v>
      </x:c>
      <x:c r="D94" s="9" t="n">
        <x:v>0.352617796823055</x:v>
      </x:c>
      <x:c r="E94" s="9" t="n">
        <x:v>0.352617796823747</x:v>
      </x:c>
      <x:c r="F94" s="9" t="n">
        <x:v>0.357936220971763</x:v>
      </x:c>
      <x:c r="G94" s="9" t="n">
        <x:v>0.000902808687943</x:v>
      </x:c>
      <x:c r="H94" s="10" t="n">
        <x:f>(F94-D94)/D94</x:f>
        <x:v>0.015082687818439251</x:v>
      </x:c>
      <x:c r="I94" s="9" t="n">
        <x:v>0.412851984932943</x:v>
      </x:c>
      <x:c r="J94" s="9" t="n">
        <x:v>0.412851984972931</x:v>
      </x:c>
      <x:c r="K94" s="9" t="n">
        <x:v>0.412537110049196</x:v>
      </x:c>
      <x:c r="L94" s="9" t="n">
        <x:v>0.001218561718874</x:v>
      </x:c>
      <x:c r="M94" s="10" t="n">
        <x:f>(K94-I94)/I94</x:f>
        <x:v>-0.0007626822571729386</x:v>
      </x:c>
      <x:c r="N94" s="11" t="n">
        <x:v>3</x:v>
      </x:c>
      <x:c r="O94" s="11" t="n">
        <x:v>0</x:v>
      </x:c>
    </x:row>
    <x:row r="95" ht="22" customHeight="1">
      <x:c r="A95" s="4" t="str">
        <x:v>Environment</x:v>
      </x:c>
      <x:c r="B95" s="4" t="n">
        <x:v>96</x:v>
      </x:c>
      <x:c r="C95" s="4" t="str">
        <x:v>Aurora</x:v>
      </x:c>
      <x:c r="D95" s="9" t="n">
        <x:v>0.436249744171275</x:v>
      </x:c>
      <x:c r="E95" s="9" t="n">
        <x:v>0.436249744115291</x:v>
      </x:c>
      <x:c r="F95" s="9" t="n">
        <x:v>0.432877691525815</x:v>
      </x:c>
      <x:c r="G95" s="9" t="n">
        <x:v>0.00305345178335</x:v>
      </x:c>
      <x:c r="H95" s="10" t="n">
        <x:f>(F95-D95)/D95</x:f>
        <x:v>-0.007729638104122495</x:v>
      </x:c>
      <x:c r="I95" s="9" t="n">
        <x:v>0.467620981655669</x:v>
      </x:c>
      <x:c r="J95" s="9" t="n">
        <x:v>0.467620981612475</x:v>
      </x:c>
      <x:c r="K95" s="9" t="n">
        <x:v>0.463225131600265</x:v>
      </x:c>
      <x:c r="L95" s="9" t="n">
        <x:v>0.003923259946719</x:v>
      </x:c>
      <x:c r="M95" s="10" t="n">
        <x:f>(K95-I95)/I95</x:f>
        <x:v>-0.009400455128937866</x:v>
      </x:c>
      <x:c r="N95" s="11" t="n">
        <x:v>2</x:v>
      </x:c>
      <x:c r="O95" s="11" t="n">
        <x:v>2</x:v>
      </x:c>
    </x:row>
    <x:row r="96" ht="22" customHeight="1">
      <x:c r="A96" s="4" t="str">
        <x:v>Environment</x:v>
      </x:c>
      <x:c r="B96" s="4" t="n">
        <x:v>192</x:v>
      </x:c>
      <x:c r="C96" s="4" t="str">
        <x:v>TaTS</x:v>
      </x:c>
      <x:c r="D96" s="9" t="n">
        <x:v>0.281904758485186</x:v>
      </x:c>
      <x:c r="E96" s="9" t="n">
        <x:v>0.279228260679124</x:v>
      </x:c>
      <x:c r="F96" s="9" t="n">
        <x:v>0.267694833970289</x:v>
      </x:c>
      <x:c r="G96" s="9" t="n">
        <x:v>0.007202076213365</x:v>
      </x:c>
      <x:c r="H96" s="10" t="n">
        <x:f>(F96-D96)/D96</x:f>
        <x:v>-0.050406827437940276</x:v>
      </x:c>
      <x:c r="I96" s="9" t="n">
        <x:v>0.411235770042671</x:v>
      </x:c>
      <x:c r="J96" s="9" t="n">
        <x:v>0.408833815592772</x:v>
      </x:c>
      <x:c r="K96" s="9" t="n">
        <x:v>0.392477877565114</x:v>
      </x:c>
      <x:c r="L96" s="9" t="n">
        <x:v>0.010013709371037</x:v>
      </x:c>
      <x:c r="M96" s="10" t="n">
        <x:f>(K96-I96)/I96</x:f>
        <x:v>-0.04561347490664691</x:v>
      </x:c>
      <x:c r="N96" s="11" t="n">
        <x:v>3</x:v>
      </x:c>
      <x:c r="O96" s="11" t="n">
        <x:v>3</x:v>
      </x:c>
    </x:row>
    <x:row r="97" ht="22" customHeight="1">
      <x:c r="A97" s="4" t="str">
        <x:v>Environment</x:v>
      </x:c>
      <x:c r="B97" s="4" t="n">
        <x:v>192</x:v>
      </x:c>
      <x:c r="C97" s="4" t="str">
        <x:v>MM-TSFlib</x:v>
      </x:c>
      <x:c r="D97" s="9" t="n">
        <x:v>0.424233536785341</x:v>
      </x:c>
      <x:c r="E97" s="9" t="n">
        <x:v>0.417382549368506</x:v>
      </x:c>
      <x:c r="F97" s="9" t="n">
        <x:v>0.369430695422303</x:v>
      </x:c>
      <x:c r="G97" s="9" t="n">
        <x:v>0.011365127033914</x:v>
      </x:c>
      <x:c r="H97" s="10" t="n">
        <x:f>(F97-D97)/D97</x:f>
        <x:v>-0.1291808322800463</x:v>
      </x:c>
      <x:c r="I97" s="9" t="n">
        <x:v>0.518798524238924</x:v>
      </x:c>
      <x:c r="J97" s="9" t="n">
        <x:v>0.51453236381634</x:v>
      </x:c>
      <x:c r="K97" s="9" t="n">
        <x:v>0.476414975743762</x:v>
      </x:c>
      <x:c r="L97" s="9" t="n">
        <x:v>0.011573206282412</x:v>
      </x:c>
      <x:c r="M97" s="10" t="n">
        <x:f>(K97-I97)/I97</x:f>
        <x:v>-0.08169558415251578</x:v>
      </x:c>
      <x:c r="N97" s="11" t="n">
        <x:v>3</x:v>
      </x:c>
      <x:c r="O97" s="11" t="n">
        <x:v>3</x:v>
      </x:c>
    </x:row>
    <x:row r="98" ht="22" customHeight="1">
      <x:c r="A98" s="4" t="str">
        <x:v>Environment</x:v>
      </x:c>
      <x:c r="B98" s="4" t="n">
        <x:v>192</x:v>
      </x:c>
      <x:c r="C98" s="4" t="str">
        <x:v>SpecTF</x:v>
      </x:c>
      <x:c r="D98" s="9" t="n">
        <x:v>0.302161173693464</x:v>
      </x:c>
      <x:c r="E98" s="9" t="n">
        <x:v>0.299085445076578</x:v>
      </x:c>
      <x:c r="F98" s="9" t="n">
        <x:v>0.294651473929344</x:v>
      </x:c>
      <x:c r="G98" s="9" t="n">
        <x:v>0.004283415356799</x:v>
      </x:c>
      <x:c r="H98" s="10" t="n">
        <x:f>(F98-D98)/D98</x:f>
        <x:v>-0.02485329161362887</x:v>
      </x:c>
      <x:c r="I98" s="9" t="n">
        <x:v>0.411838307385319</x:v>
      </x:c>
      <x:c r="J98" s="9" t="n">
        <x:v>0.408977743761892</x:v>
      </x:c>
      <x:c r="K98" s="9" t="n">
        <x:v>0.397956877136106</x:v>
      </x:c>
      <x:c r="L98" s="9" t="n">
        <x:v>0.003738194961408</x:v>
      </x:c>
      <x:c r="M98" s="10" t="n">
        <x:f>(K98-I98)/I98</x:f>
        <x:v>-0.03370602005758887</x:v>
      </x:c>
      <x:c r="N98" s="11" t="n">
        <x:v>3</x:v>
      </x:c>
      <x:c r="O98" s="11" t="n">
        <x:v>3</x:v>
      </x:c>
    </x:row>
    <x:row r="99" ht="22" customHeight="1">
      <x:c r="A99" s="4" t="str">
        <x:v>Environment</x:v>
      </x:c>
      <x:c r="B99" s="4" t="n">
        <x:v>192</x:v>
      </x:c>
      <x:c r="C99" s="4" t="str">
        <x:v>CFA</x:v>
      </x:c>
      <x:c r="D99" s="9" t="n">
        <x:v>0.357177438898844</x:v>
      </x:c>
      <x:c r="E99" s="9" t="n">
        <x:v>0.357177438751911</x:v>
      </x:c>
      <x:c r="F99" s="9" t="n">
        <x:v>0.354212893942561</x:v>
      </x:c>
      <x:c r="G99" s="9" t="n">
        <x:v>0.002290162271028</x:v>
      </x:c>
      <x:c r="H99" s="10" t="n">
        <x:f>(F99-D99)/D99</x:f>
        <x:v>-0.008299922205116089</x:v>
      </x:c>
      <x:c r="I99" s="9" t="n">
        <x:v>0.412984226954292</x:v>
      </x:c>
      <x:c r="J99" s="9" t="n">
        <x:v>0.412984226885979</x:v>
      </x:c>
      <x:c r="K99" s="9" t="n">
        <x:v>0.411824180291699</x:v>
      </x:c>
      <x:c r="L99" s="9" t="n">
        <x:v>0.00079260185594</x:v>
      </x:c>
      <x:c r="M99" s="10" t="n">
        <x:f>(K99-I99)/I99</x:f>
        <x:v>-0.002808936968726888</x:v>
      </x:c>
      <x:c r="N99" s="11" t="n">
        <x:v>3</x:v>
      </x:c>
      <x:c r="O99" s="11" t="n">
        <x:v>3</x:v>
      </x:c>
    </x:row>
    <x:row r="100" ht="22" customHeight="1">
      <x:c r="A100" s="4" t="str">
        <x:v>Environment</x:v>
      </x:c>
      <x:c r="B100" s="4" t="n">
        <x:v>192</x:v>
      </x:c>
      <x:c r="C100" s="4" t="str">
        <x:v>Aurora</x:v>
      </x:c>
      <x:c r="D100" s="9" t="n">
        <x:v>0.424841309402913</x:v>
      </x:c>
      <x:c r="E100" s="9" t="n">
        <x:v>0.42484130935167</x:v>
      </x:c>
      <x:c r="F100" s="9" t="n">
        <x:v>0.424342226660481</x:v>
      </x:c>
      <x:c r="G100" s="9" t="n">
        <x:v>0.000864436667073</x:v>
      </x:c>
      <x:c r="H100" s="10" t="n">
        <x:f>(F100-D100)/D100</x:f>
        <x:v>-0.0011747509749779686</x:v>
      </x:c>
      <x:c r="I100" s="9" t="n">
        <x:v>0.464779700305124</x:v>
      </x:c>
      <x:c r="J100" s="9" t="n">
        <x:v>0.464779700309044</x:v>
      </x:c>
      <x:c r="K100" s="9" t="n">
        <x:v>0.464243655482451</x:v>
      </x:c>
      <x:c r="L100" s="9" t="n">
        <x:v>0.000928456868005</x:v>
      </x:c>
      <x:c r="M100" s="10" t="n">
        <x:f>(K100-I100)/I100</x:f>
        <x:v>-0.0011533309701802588</x:v>
      </x:c>
      <x:c r="N100" s="11" t="n">
        <x:v>1</x:v>
      </x:c>
      <x:c r="O100" s="11" t="n">
        <x:v>1</x:v>
      </x:c>
    </x:row>
    <x:row r="101" ht="22" customHeight="1">
      <x:c r="A101" s="4" t="str">
        <x:v>Environment</x:v>
      </x:c>
      <x:c r="B101" s="4" t="n">
        <x:v>336</x:v>
      </x:c>
      <x:c r="C101" s="4" t="str">
        <x:v>TaTS</x:v>
      </x:c>
      <x:c r="D101" s="9" t="n">
        <x:v>0.30331010279952</x:v>
      </x:c>
      <x:c r="E101" s="9" t="n">
        <x:v>0.295682353747226</x:v>
      </x:c>
      <x:c r="F101" s="9" t="n">
        <x:v>0.282253027246184</x:v>
      </x:c>
      <x:c r="G101" s="9" t="n">
        <x:v>0.006291714774775</x:v>
      </x:c>
      <x:c r="H101" s="10" t="n">
        <x:f>(F101-D101)/D101</x:f>
        <x:v>-0.06942424719447655</x:v>
      </x:c>
      <x:c r="I101" s="9" t="n">
        <x:v>0.432419970852575</x:v>
      </x:c>
      <x:c r="J101" s="9" t="n">
        <x:v>0.42667128359371</x:v>
      </x:c>
      <x:c r="K101" s="9" t="n">
        <x:v>0.409896300844224</x:v>
      </x:c>
      <x:c r="L101" s="9" t="n">
        <x:v>0.005276370528465</x:v>
      </x:c>
      <x:c r="M101" s="10" t="n">
        <x:f>(K101-I101)/I101</x:f>
        <x:v>-0.0520874879204642</x:v>
      </x:c>
      <x:c r="N101" s="11" t="n">
        <x:v>3</x:v>
      </x:c>
      <x:c r="O101" s="11" t="n">
        <x:v>3</x:v>
      </x:c>
    </x:row>
    <x:row r="102" ht="22" customHeight="1">
      <x:c r="A102" s="4" t="str">
        <x:v>Environment</x:v>
      </x:c>
      <x:c r="B102" s="4" t="n">
        <x:v>336</x:v>
      </x:c>
      <x:c r="C102" s="4" t="str">
        <x:v>MM-TSFlib</x:v>
      </x:c>
      <x:c r="D102" s="9" t="n">
        <x:v>0.437109396137836</x:v>
      </x:c>
      <x:c r="E102" s="9" t="n">
        <x:v>0.422127015533332</x:v>
      </x:c>
      <x:c r="F102" s="9" t="n">
        <x:v>0.382014948022885</x:v>
      </x:c>
      <x:c r="G102" s="9" t="n">
        <x:v>0.00564254457701</x:v>
      </x:c>
      <x:c r="H102" s="10" t="n">
        <x:f>(F102-D102)/D102</x:f>
        <x:v>-0.12604269915437322</x:v>
      </x:c>
      <x:c r="I102" s="9" t="n">
        <x:v>0.520798657384212</x:v>
      </x:c>
      <x:c r="J102" s="9" t="n">
        <x:v>0.511948615959317</x:v>
      </x:c>
      <x:c r="K102" s="9" t="n">
        <x:v>0.478980088671434</x:v>
      </x:c>
      <x:c r="L102" s="9" t="n">
        <x:v>0.00550288236719</x:v>
      </x:c>
      <x:c r="M102" s="10" t="n">
        <x:f>(K102-I102)/I102</x:f>
        <x:v>-0.08029699792779417</x:v>
      </x:c>
      <x:c r="N102" s="11" t="n">
        <x:v>3</x:v>
      </x:c>
      <x:c r="O102" s="11" t="n">
        <x:v>3</x:v>
      </x:c>
    </x:row>
    <x:row r="103" ht="22" customHeight="1">
      <x:c r="A103" s="4" t="str">
        <x:v>Environment</x:v>
      </x:c>
      <x:c r="B103" s="4" t="n">
        <x:v>336</x:v>
      </x:c>
      <x:c r="C103" s="4" t="str">
        <x:v>SpecTF</x:v>
      </x:c>
      <x:c r="D103" s="9" t="n">
        <x:v>0.303938779476096</x:v>
      </x:c>
      <x:c r="E103" s="9" t="n">
        <x:v>0.297934660461092</x:v>
      </x:c>
      <x:c r="F103" s="9" t="n">
        <x:v>0.303867398685194</x:v>
      </x:c>
      <x:c r="G103" s="9" t="n">
        <x:v>0.004685764215523</x:v>
      </x:c>
      <x:c r="H103" s="10" t="n">
        <x:f>(F103-D103)/D103</x:f>
        <x:v>-0.00023485252860791568</x:v>
      </x:c>
      <x:c r="I103" s="9" t="n">
        <x:v>0.41002987513432</x:v>
      </x:c>
      <x:c r="J103" s="9" t="n">
        <x:v>0.404714778798441</x:v>
      </x:c>
      <x:c r="K103" s="9" t="n">
        <x:v>0.403159501592775</x:v>
      </x:c>
      <x:c r="L103" s="9" t="n">
        <x:v>0.004431874199664</x:v>
      </x:c>
      <x:c r="M103" s="10" t="n">
        <x:f>(K103-I103)/I103</x:f>
        <x:v>-0.01675578770765014</x:v>
      </x:c>
      <x:c r="N103" s="11" t="n">
        <x:v>3</x:v>
      </x:c>
      <x:c r="O103" s="11" t="n">
        <x:v>2</x:v>
      </x:c>
    </x:row>
    <x:row r="104" ht="22" customHeight="1">
      <x:c r="A104" s="4" t="str">
        <x:v>Environment</x:v>
      </x:c>
      <x:c r="B104" s="4" t="n">
        <x:v>336</x:v>
      </x:c>
      <x:c r="C104" s="4" t="str">
        <x:v>CFA</x:v>
      </x:c>
      <x:c r="D104" s="9" t="n">
        <x:v>0.348018376314761</x:v>
      </x:c>
      <x:c r="E104" s="9" t="n">
        <x:v>0.348047936382964</x:v>
      </x:c>
      <x:c r="F104" s="9" t="n">
        <x:v>0.347615879441093</x:v>
      </x:c>
      <x:c r="G104" s="9" t="n">
        <x:v>0.000444644820182</x:v>
      </x:c>
      <x:c r="H104" s="10" t="n">
        <x:f>(F104-D104)/D104</x:f>
        <x:v>-0.0011565391400595692</x:v>
      </x:c>
      <x:c r="I104" s="9" t="n">
        <x:v>0.411471462953405</x:v>
      </x:c>
      <x:c r="J104" s="9" t="n">
        <x:v>0.413119917514478</x:v>
      </x:c>
      <x:c r="K104" s="9" t="n">
        <x:v>0.411980264819121</x:v>
      </x:c>
      <x:c r="L104" s="9" t="n">
        <x:v>0.000635923589965</x:v>
      </x:c>
      <x:c r="M104" s="10" t="n">
        <x:f>(K104-I104)/I104</x:f>
        <x:v>0.00123654229156985</x:v>
      </x:c>
      <x:c r="N104" s="11" t="n">
        <x:v>2</x:v>
      </x:c>
      <x:c r="O104" s="11" t="n">
        <x:v>0</x:v>
      </x:c>
    </x:row>
    <x:row r="105" ht="22" customHeight="1">
      <x:c r="A105" s="4" t="str">
        <x:v>Environment</x:v>
      </x:c>
      <x:c r="B105" s="4" t="n">
        <x:v>336</x:v>
      </x:c>
      <x:c r="C105" s="4" t="str">
        <x:v>Aurora</x:v>
      </x:c>
      <x:c r="D105" s="9" t="n">
        <x:v>0.419052448222449</x:v>
      </x:c>
      <x:c r="E105" s="9" t="n">
        <x:v>0.41905244786851</x:v>
      </x:c>
      <x:c r="F105" s="9" t="n">
        <x:v>0.419052448222448</x:v>
      </x:c>
      <x:c r="G105" s="9" t="n">
        <x:v>6.79869977755259e-17</x:v>
      </x:c>
      <x:c r="H105" s="10" t="n">
        <x:f>(F105-D105)/D105</x:f>
        <x:v>-2.3844287902411372e-15</x:v>
      </x:c>
      <x:c r="I105" s="9" t="n">
        <x:v>0.465667290716562</x:v>
      </x:c>
      <x:c r="J105" s="9" t="n">
        <x:v>0.465667290630755</x:v>
      </x:c>
      <x:c r="K105" s="9" t="n">
        <x:v>0.465667290716562</x:v>
      </x:c>
      <x:c r="L105" s="9" t="n">
        <x:v>0</x:v>
      </x:c>
      <x:c r="M105" s="10" t="n">
        <x:f>(K105-I105)/I105</x:f>
        <x:v>0</x:v>
      </x:c>
      <x:c r="N105" s="11" t="n">
        <x:v>0</x:v>
      </x:c>
      <x:c r="O105" s="11" t="n">
        <x:v>0</x:v>
      </x:c>
    </x:row>
    <x:row r="106" ht="22" customHeight="1">
      <x:c r="A106" s="4" t="str">
        <x:v>Health</x:v>
      </x:c>
      <x:c r="B106" s="4" t="n">
        <x:v>12</x:v>
      </x:c>
      <x:c r="C106" s="4" t="str">
        <x:v>TaTS</x:v>
      </x:c>
      <x:c r="D106" s="9" t="n">
        <x:v>1.162485663950213</x:v>
      </x:c>
      <x:c r="E106" s="9" t="n">
        <x:v>1.162499851196526</x:v>
      </x:c>
      <x:c r="F106" s="9" t="n">
        <x:v>1.163829336236129</x:v>
      </x:c>
      <x:c r="G106" s="9" t="n">
        <x:v>0.008264710296613</x:v>
      </x:c>
      <x:c r="H106" s="10" t="n">
        <x:f>(F106-D106)/D106</x:f>
        <x:v>0.0011558613818513867</x:v>
      </x:c>
      <x:c r="I106" s="9" t="n">
        <x:v>0.690536069273476</x:v>
      </x:c>
      <x:c r="J106" s="9" t="n">
        <x:v>0.689740539057057</x:v>
      </x:c>
      <x:c r="K106" s="9" t="n">
        <x:v>0.675291085098935</x:v>
      </x:c>
      <x:c r="L106" s="9" t="n">
        <x:v>0.013476649126515</x:v>
      </x:c>
      <x:c r="M106" s="10" t="n">
        <x:f>(K106-I106)/I106</x:f>
        <x:v>-0.02207702805529116</x:v>
      </x:c>
      <x:c r="N106" s="11" t="n">
        <x:v>2</x:v>
      </x:c>
      <x:c r="O106" s="11" t="n">
        <x:v>1</x:v>
      </x:c>
    </x:row>
    <x:row r="107" ht="22" customHeight="1">
      <x:c r="A107" s="4" t="str">
        <x:v>Health</x:v>
      </x:c>
      <x:c r="B107" s="4" t="n">
        <x:v>12</x:v>
      </x:c>
      <x:c r="C107" s="4" t="str">
        <x:v>MM-TSFlib</x:v>
      </x:c>
      <x:c r="D107" s="9" t="n">
        <x:v>1.113697051883471</x:v>
      </x:c>
      <x:c r="E107" s="9" t="n">
        <x:v>1.111134749276566</x:v>
      </x:c>
      <x:c r="F107" s="9" t="n">
        <x:v>1.056830557413176</x:v>
      </x:c>
      <x:c r="G107" s="9" t="n">
        <x:v>0.038957622128163</x:v>
      </x:c>
      <x:c r="H107" s="10" t="n">
        <x:f>(F107-D107)/D107</x:f>
        <x:v>-0.05106100835422262</x:v>
      </x:c>
      <x:c r="I107" s="9" t="n">
        <x:v>0.745128761968839</x:v>
      </x:c>
      <x:c r="J107" s="9" t="n">
        <x:v>0.743939272241386</x:v>
      </x:c>
      <x:c r="K107" s="9" t="n">
        <x:v>0.723874387658914</x:v>
      </x:c>
      <x:c r="L107" s="9" t="n">
        <x:v>0.013858773926201</x:v>
      </x:c>
      <x:c r="M107" s="10" t="n">
        <x:f>(K107-I107)/I107</x:f>
        <x:v>-0.028524431473783182</x:v>
      </x:c>
      <x:c r="N107" s="11" t="n">
        <x:v>3</x:v>
      </x:c>
      <x:c r="O107" s="11" t="n">
        <x:v>3</x:v>
      </x:c>
    </x:row>
    <x:row r="108" ht="22" customHeight="1">
      <x:c r="A108" s="4" t="str">
        <x:v>Health</x:v>
      </x:c>
      <x:c r="B108" s="4" t="n">
        <x:v>12</x:v>
      </x:c>
      <x:c r="C108" s="4" t="str">
        <x:v>SpecTF</x:v>
      </x:c>
      <x:c r="D108" s="9" t="n">
        <x:v>1.403845080454699</x:v>
      </x:c>
      <x:c r="E108" s="9" t="n">
        <x:v>1.40384507934652</x:v>
      </x:c>
      <x:c r="F108" s="9" t="n">
        <x:v>1.403845080454699</x:v>
      </x:c>
      <x:c r="G108" s="9" t="n">
        <x:v>0</x:v>
      </x:c>
      <x:c r="H108" s="10" t="n">
        <x:f>(F108-D108)/D108</x:f>
        <x:v>0</x:v>
      </x:c>
      <x:c r="I108" s="9" t="n">
        <x:v>0.797418085225533</x:v>
      </x:c>
      <x:c r="J108" s="9" t="n">
        <x:v>0.797418085252573</x:v>
      </x:c>
      <x:c r="K108" s="9" t="n">
        <x:v>0.797418085225533</x:v>
      </x:c>
      <x:c r="L108" s="9" t="n">
        <x:v>0</x:v>
      </x:c>
      <x:c r="M108" s="10" t="n">
        <x:f>(K108-I108)/I108</x:f>
        <x:v>0</x:v>
      </x:c>
      <x:c r="N108" s="11" t="n">
        <x:v>0</x:v>
      </x:c>
      <x:c r="O108" s="11" t="n">
        <x:v>0</x:v>
      </x:c>
    </x:row>
    <x:row r="109" ht="22" customHeight="1">
      <x:c r="A109" s="4" t="str">
        <x:v>Health</x:v>
      </x:c>
      <x:c r="B109" s="4" t="n">
        <x:v>12</x:v>
      </x:c>
      <x:c r="C109" s="4" t="str">
        <x:v>CFA</x:v>
      </x:c>
      <x:c r="D109" s="9" t="n">
        <x:v>1.251106384964514</x:v>
      </x:c>
      <x:c r="E109" s="9" t="n">
        <x:v>1.251106390079506</x:v>
      </x:c>
      <x:c r="F109" s="9" t="n">
        <x:v>1.251106384964514</x:v>
      </x:c>
      <x:c r="G109" s="9" t="n">
        <x:v>0</x:v>
      </x:c>
      <x:c r="H109" s="10" t="n">
        <x:f>(F109-D109)/D109</x:f>
        <x:v>0</x:v>
      </x:c>
      <x:c r="I109" s="9" t="n">
        <x:v>0.72734662046512</x:v>
      </x:c>
      <x:c r="J109" s="9" t="n">
        <x:v>0.7273466209799</x:v>
      </x:c>
      <x:c r="K109" s="9" t="n">
        <x:v>0.72734662046512</x:v>
      </x:c>
      <x:c r="L109" s="9" t="n">
        <x:v>0</x:v>
      </x:c>
      <x:c r="M109" s="10" t="n">
        <x:f>(K109-I109)/I109</x:f>
        <x:v>0</x:v>
      </x:c>
      <x:c r="N109" s="11" t="n">
        <x:v>0</x:v>
      </x:c>
      <x:c r="O109" s="11" t="n">
        <x:v>0</x:v>
      </x:c>
    </x:row>
    <x:row r="110" ht="22" customHeight="1">
      <x:c r="A110" s="4" t="str">
        <x:v>Health</x:v>
      </x:c>
      <x:c r="B110" s="4" t="n">
        <x:v>12</x:v>
      </x:c>
      <x:c r="C110" s="4" t="str">
        <x:v>Aurora</x:v>
      </x:c>
      <x:c r="D110" s="9" t="n">
        <x:v>2.951583919213596</x:v>
      </x:c>
      <x:c r="E110" s="9" t="n">
        <x:v>2.951583919706718</x:v>
      </x:c>
      <x:c r="F110" s="9" t="n">
        <x:v>2.463870667470073</x:v>
      </x:c>
      <x:c r="G110" s="9" t="n">
        <x:v>0.391850852670922</x:v>
      </x:c>
      <x:c r="H110" s="10" t="n">
        <x:f>(F110-D110)/D110</x:f>
        <x:v>-0.16523780623979914</x:v>
      </x:c>
      <x:c r="I110" s="9" t="n">
        <x:v>1.212325323212596</x:v>
      </x:c>
      <x:c r="J110" s="9" t="n">
        <x:v>1.212325322257249</x:v>
      </x:c>
      <x:c r="K110" s="9" t="n">
        <x:v>1.093881141066934</x:v>
      </x:c>
      <x:c r="L110" s="9" t="n">
        <x:v>0.092290730587658</x:v>
      </x:c>
      <x:c r="M110" s="10" t="n">
        <x:f>(K110-I110)/I110</x:f>
        <x:v>-0.09769999840619617</x:v>
      </x:c>
      <x:c r="N110" s="11" t="n">
        <x:v>3</x:v>
      </x:c>
      <x:c r="O110" s="11" t="n">
        <x:v>3</x:v>
      </x:c>
    </x:row>
    <x:row r="111" ht="22" customHeight="1">
      <x:c r="A111" s="4" t="str">
        <x:v>Health</x:v>
      </x:c>
      <x:c r="B111" s="4" t="n">
        <x:v>24</x:v>
      </x:c>
      <x:c r="C111" s="4" t="str">
        <x:v>TaTS</x:v>
      </x:c>
      <x:c r="D111" s="9" t="n">
        <x:v>1.958839970567639</x:v>
      </x:c>
      <x:c r="E111" s="9" t="n">
        <x:v>1.961129829168141</x:v>
      </x:c>
      <x:c r="F111" s="9" t="n">
        <x:v>1.958839970567639</x:v>
      </x:c>
      <x:c r="G111" s="9" t="n">
        <x:v>0</x:v>
      </x:c>
      <x:c r="H111" s="10" t="n">
        <x:f>(F111-D111)/D111</x:f>
        <x:v>0</x:v>
      </x:c>
      <x:c r="I111" s="9" t="n">
        <x:v>0.859414017407803</x:v>
      </x:c>
      <x:c r="J111" s="9" t="n">
        <x:v>0.859474911295584</x:v>
      </x:c>
      <x:c r="K111" s="9" t="n">
        <x:v>0.859414017407803</x:v>
      </x:c>
      <x:c r="L111" s="9" t="n">
        <x:v>1.35973995551052e-16</x:v>
      </x:c>
      <x:c r="M111" s="10" t="n">
        <x:f>(K111-I111)/I111</x:f>
        <x:v>0</x:v>
      </x:c>
      <x:c r="N111" s="11" t="n">
        <x:v>0</x:v>
      </x:c>
      <x:c r="O111" s="11" t="n">
        <x:v>0</x:v>
      </x:c>
    </x:row>
    <x:row r="112" ht="22" customHeight="1">
      <x:c r="A112" s="4" t="str">
        <x:v>Health</x:v>
      </x:c>
      <x:c r="B112" s="4" t="n">
        <x:v>24</x:v>
      </x:c>
      <x:c r="C112" s="4" t="str">
        <x:v>MM-TSFlib</x:v>
      </x:c>
      <x:c r="D112" s="9" t="n">
        <x:v>1.278115049805624</x:v>
      </x:c>
      <x:c r="E112" s="9" t="n">
        <x:v>1.276106206752755</x:v>
      </x:c>
      <x:c r="F112" s="9" t="n">
        <x:v>1.221341402815614</x:v>
      </x:c>
      <x:c r="G112" s="9" t="n">
        <x:v>0.014399945086209</x:v>
      </x:c>
      <x:c r="H112" s="10" t="n">
        <x:f>(F112-D112)/D112</x:f>
        <x:v>-0.04441982511562173</x:v>
      </x:c>
      <x:c r="I112" s="9" t="n">
        <x:v>0.799567180335351</x:v>
      </x:c>
      <x:c r="J112" s="9" t="n">
        <x:v>0.798976107605866</x:v>
      </x:c>
      <x:c r="K112" s="9" t="n">
        <x:v>0.78418463538569</x:v>
      </x:c>
      <x:c r="L112" s="9" t="n">
        <x:v>0.004308776442772</x:v>
      </x:c>
      <x:c r="M112" s="10" t="n">
        <x:f>(K112-I112)/I112</x:f>
        <x:v>-0.01923858973702407</x:v>
      </x:c>
      <x:c r="N112" s="11" t="n">
        <x:v>3</x:v>
      </x:c>
      <x:c r="O112" s="11" t="n">
        <x:v>3</x:v>
      </x:c>
    </x:row>
    <x:row r="113" ht="22" customHeight="1">
      <x:c r="A113" s="4" t="str">
        <x:v>Health</x:v>
      </x:c>
      <x:c r="B113" s="4" t="n">
        <x:v>24</x:v>
      </x:c>
      <x:c r="C113" s="4" t="str">
        <x:v>SpecTF</x:v>
      </x:c>
      <x:c r="D113" s="9" t="n">
        <x:v>1.808168518161464</x:v>
      </x:c>
      <x:c r="E113" s="9" t="n">
        <x:v>1.8081685119737</x:v>
      </x:c>
      <x:c r="F113" s="9" t="n">
        <x:v>1.802203909685175</x:v>
      </x:c>
      <x:c r="G113" s="9" t="n">
        <x:v>0.010331004928187</x:v>
      </x:c>
      <x:c r="H113" s="10" t="n">
        <x:f>(F113-D113)/D113</x:f>
        <x:v>-0.0032987016510793877</x:v>
      </x:c>
      <x:c r="I113" s="9" t="n">
        <x:v>0.91779143712086</x:v>
      </x:c>
      <x:c r="J113" s="9" t="n">
        <x:v>0.917791436280171</x:v>
      </x:c>
      <x:c r="K113" s="9" t="n">
        <x:v>0.914646054134924</x:v>
      </x:c>
      <x:c r="L113" s="9" t="n">
        <x:v>0.005447963140905</x:v>
      </x:c>
      <x:c r="M113" s="10" t="n">
        <x:f>(K113-I113)/I113</x:f>
        <x:v>-0.0034271217389031136</x:v>
      </x:c>
      <x:c r="N113" s="11" t="n">
        <x:v>1</x:v>
      </x:c>
      <x:c r="O113" s="11" t="n">
        <x:v>1</x:v>
      </x:c>
    </x:row>
    <x:row r="114" ht="22" customHeight="1">
      <x:c r="A114" s="4" t="str">
        <x:v>Health</x:v>
      </x:c>
      <x:c r="B114" s="4" t="n">
        <x:v>24</x:v>
      </x:c>
      <x:c r="C114" s="4" t="str">
        <x:v>CFA</x:v>
      </x:c>
      <x:c r="D114" s="9" t="n">
        <x:v>2.247770665460558</x:v>
      </x:c>
      <x:c r="E114" s="9" t="n">
        <x:v>2.247770659152981</x:v>
      </x:c>
      <x:c r="F114" s="9" t="n">
        <x:v>2.225995477674256</x:v>
      </x:c>
      <x:c r="G114" s="9" t="n">
        <x:v>0.027547303140042</x:v>
      </x:c>
      <x:c r="H114" s="10" t="n">
        <x:f>(F114-D114)/D114</x:f>
        <x:v>-0.009687459722160004</x:v>
      </x:c>
      <x:c r="I114" s="9" t="n">
        <x:v>0.927362742171293</x:v>
      </x:c>
      <x:c r="J114" s="9" t="n">
        <x:v>0.927362741893575</x:v>
      </x:c>
      <x:c r="K114" s="9" t="n">
        <x:v>0.926623247078876</x:v>
      </x:c>
      <x:c r="L114" s="9" t="n">
        <x:v>0.002961180048535</x:v>
      </x:c>
      <x:c r="M114" s="10" t="n">
        <x:f>(K114-I114)/I114</x:f>
        <x:v>-0.0007974172983115224</x:v>
      </x:c>
      <x:c r="N114" s="11" t="n">
        <x:v>2</x:v>
      </x:c>
      <x:c r="O114" s="11" t="n">
        <x:v>1</x:v>
      </x:c>
    </x:row>
    <x:row r="115" ht="22" customHeight="1">
      <x:c r="A115" s="4" t="str">
        <x:v>Health</x:v>
      </x:c>
      <x:c r="B115" s="4" t="n">
        <x:v>24</x:v>
      </x:c>
      <x:c r="C115" s="4" t="str">
        <x:v>Aurora</x:v>
      </x:c>
      <x:c r="D115" s="9" t="n">
        <x:v>3.68080986261969</x:v>
      </x:c>
      <x:c r="E115" s="9" t="n">
        <x:v>3.680809877547859</x:v>
      </x:c>
      <x:c r="F115" s="9" t="n">
        <x:v>3.023898707366226</x:v>
      </x:c>
      <x:c r="G115" s="9" t="n">
        <x:v>0.181469953802303</x:v>
      </x:c>
      <x:c r="H115" s="10" t="n">
        <x:f>(F115-D115)/D115</x:f>
        <x:v>-0.17846919014336968</x:v>
      </x:c>
      <x:c r="I115" s="9" t="n">
        <x:v>1.37220746561938</x:v>
      </x:c>
      <x:c r="J115" s="9" t="n">
        <x:v>1.372207467117542</x:v>
      </x:c>
      <x:c r="K115" s="9" t="n">
        <x:v>1.226853424035052</x:v>
      </x:c>
      <x:c r="L115" s="9" t="n">
        <x:v>0.033740297653405</x:v>
      </x:c>
      <x:c r="M115" s="10" t="n">
        <x:f>(K115-I115)/I115</x:f>
        <x:v>-0.10592716132667214</x:v>
      </x:c>
      <x:c r="N115" s="11" t="n">
        <x:v>3</x:v>
      </x:c>
      <x:c r="O115" s="11" t="n">
        <x:v>3</x:v>
      </x:c>
    </x:row>
    <x:row r="116" ht="22" customHeight="1">
      <x:c r="A116" s="4" t="str">
        <x:v>Health</x:v>
      </x:c>
      <x:c r="B116" s="4" t="n">
        <x:v>36</x:v>
      </x:c>
      <x:c r="C116" s="4" t="str">
        <x:v>TaTS</x:v>
      </x:c>
      <x:c r="D116" s="9" t="n">
        <x:v>2.663799519826998</x:v>
      </x:c>
      <x:c r="E116" s="9" t="n">
        <x:v>2.66379951219042</x:v>
      </x:c>
      <x:c r="F116" s="9" t="n">
        <x:v>2.703586917288662</x:v>
      </x:c>
      <x:c r="G116" s="9" t="n">
        <x:v>0.017180663706322</x:v>
      </x:c>
      <x:c r="H116" s="10" t="n">
        <x:f>(F116-D116)/D116</x:f>
        <x:v>0.014936333295926136</x:v>
      </x:c>
      <x:c r="I116" s="9" t="n">
        <x:v>0.972468803476764</x:v>
      </x:c>
      <x:c r="J116" s="9" t="n">
        <x:v>0.972468803358922</x:v>
      </x:c>
      <x:c r="K116" s="9" t="n">
        <x:v>0.968630815801002</x:v>
      </x:c>
      <x:c r="L116" s="9" t="n">
        <x:v>0.004342337005107</x:v>
      </x:c>
      <x:c r="M116" s="10" t="n">
        <x:f>(K116-I116)/I116</x:f>
        <x:v>-0.003946643493385594</x:v>
      </x:c>
      <x:c r="N116" s="11" t="n">
        <x:v>3</x:v>
      </x:c>
      <x:c r="O116" s="11" t="n">
        <x:v>0</x:v>
      </x:c>
    </x:row>
    <x:row r="117" ht="22" customHeight="1">
      <x:c r="A117" s="4" t="str">
        <x:v>Health</x:v>
      </x:c>
      <x:c r="B117" s="4" t="n">
        <x:v>36</x:v>
      </x:c>
      <x:c r="C117" s="4" t="str">
        <x:v>MM-TSFlib</x:v>
      </x:c>
      <x:c r="D117" s="9" t="n">
        <x:v>1.341688466227077</x:v>
      </x:c>
      <x:c r="E117" s="9" t="n">
        <x:v>1.341688465168802</x:v>
      </x:c>
      <x:c r="F117" s="9" t="n">
        <x:v>1.341688466227077</x:v>
      </x:c>
      <x:c r="G117" s="9" t="n">
        <x:v>2.71947991102104e-16</x:v>
      </x:c>
      <x:c r="H117" s="10" t="n">
        <x:f>(F117-D117)/D117</x:f>
        <x:v>0</x:v>
      </x:c>
      <x:c r="I117" s="9" t="n">
        <x:v>0.795799969871826</x:v>
      </x:c>
      <x:c r="J117" s="9" t="n">
        <x:v>0.795799969622729</x:v>
      </x:c>
      <x:c r="K117" s="9" t="n">
        <x:v>0.795799969871826</x:v>
      </x:c>
      <x:c r="L117" s="9" t="n">
        <x:v>1.35973995551052e-16</x:v>
      </x:c>
      <x:c r="M117" s="10" t="n">
        <x:f>(K117-I117)/I117</x:f>
        <x:v>0</x:v>
      </x:c>
      <x:c r="N117" s="11" t="n">
        <x:v>0</x:v>
      </x:c>
      <x:c r="O117" s="11" t="n">
        <x:v>0</x:v>
      </x:c>
    </x:row>
    <x:row r="118" ht="22" customHeight="1">
      <x:c r="A118" s="4" t="str">
        <x:v>Health</x:v>
      </x:c>
      <x:c r="B118" s="4" t="n">
        <x:v>36</x:v>
      </x:c>
      <x:c r="C118" s="4" t="str">
        <x:v>SpecTF</x:v>
      </x:c>
      <x:c r="D118" s="9" t="n">
        <x:v>1.976011821818161</x:v>
      </x:c>
      <x:c r="E118" s="9" t="n">
        <x:v>1.976011818987007</x:v>
      </x:c>
      <x:c r="F118" s="9" t="n">
        <x:v>1.976011821818161</x:v>
      </x:c>
      <x:c r="G118" s="9" t="n">
        <x:v>0</x:v>
      </x:c>
      <x:c r="H118" s="10" t="n">
        <x:f>(F118-D118)/D118</x:f>
        <x:v>0</x:v>
      </x:c>
      <x:c r="I118" s="9" t="n">
        <x:v>0.970901385387978</x:v>
      </x:c>
      <x:c r="J118" s="9" t="n">
        <x:v>0.970901384967611</x:v>
      </x:c>
      <x:c r="K118" s="9" t="n">
        <x:v>0.970901385387978</x:v>
      </x:c>
      <x:c r="L118" s="9" t="n">
        <x:v>0</x:v>
      </x:c>
      <x:c r="M118" s="10" t="n">
        <x:f>(K118-I118)/I118</x:f>
        <x:v>0</x:v>
      </x:c>
      <x:c r="N118" s="11" t="n">
        <x:v>0</x:v>
      </x:c>
      <x:c r="O118" s="11" t="n">
        <x:v>0</x:v>
      </x:c>
    </x:row>
    <x:row r="119" ht="22" customHeight="1">
      <x:c r="A119" s="4" t="str">
        <x:v>Health</x:v>
      </x:c>
      <x:c r="B119" s="4" t="n">
        <x:v>36</x:v>
      </x:c>
      <x:c r="C119" s="4" t="str">
        <x:v>CFA</x:v>
      </x:c>
      <x:c r="D119" s="9" t="n">
        <x:v>3.261546938360099</x:v>
      </x:c>
      <x:c r="E119" s="9" t="n">
        <x:v>3.26154692370146</x:v>
      </x:c>
      <x:c r="F119" s="9" t="n">
        <x:v>3.261546938360099</x:v>
      </x:c>
      <x:c r="G119" s="9" t="n">
        <x:v>0</x:v>
      </x:c>
      <x:c r="H119" s="10" t="n">
        <x:f>(F119-D119)/D119</x:f>
        <x:v>0</x:v>
      </x:c>
      <x:c r="I119" s="9" t="n">
        <x:v>1.060514746655882</x:v>
      </x:c>
      <x:c r="J119" s="9" t="n">
        <x:v>1.060514745261922</x:v>
      </x:c>
      <x:c r="K119" s="9" t="n">
        <x:v>1.060514746655882</x:v>
      </x:c>
      <x:c r="L119" s="9" t="n">
        <x:v>0</x:v>
      </x:c>
      <x:c r="M119" s="10" t="n">
        <x:f>(K119-I119)/I119</x:f>
        <x:v>0</x:v>
      </x:c>
      <x:c r="N119" s="11" t="n">
        <x:v>0</x:v>
      </x:c>
      <x:c r="O119" s="11" t="n">
        <x:v>0</x:v>
      </x:c>
    </x:row>
    <x:row r="120" ht="22" customHeight="1">
      <x:c r="A120" s="4" t="str">
        <x:v>Health</x:v>
      </x:c>
      <x:c r="B120" s="4" t="n">
        <x:v>36</x:v>
      </x:c>
      <x:c r="C120" s="4" t="str">
        <x:v>Aurora</x:v>
      </x:c>
      <x:c r="D120" s="9" t="n">
        <x:v>3.214042558483849</x:v>
      </x:c>
      <x:c r="E120" s="9" t="n">
        <x:v>3.214042561077896</x:v>
      </x:c>
      <x:c r="F120" s="9" t="n">
        <x:v>3.214042558483849</x:v>
      </x:c>
      <x:c r="G120" s="9" t="n">
        <x:v>0</x:v>
      </x:c>
      <x:c r="H120" s="10" t="n">
        <x:f>(F120-D120)/D120</x:f>
        <x:v>0</x:v>
      </x:c>
      <x:c r="I120" s="9" t="n">
        <x:v>1.274412076642278</x:v>
      </x:c>
      <x:c r="J120" s="9" t="n">
        <x:v>1.274412076766339</x:v>
      </x:c>
      <x:c r="K120" s="9" t="n">
        <x:v>1.274412076642278</x:v>
      </x:c>
      <x:c r="L120" s="9" t="n">
        <x:v>0</x:v>
      </x:c>
      <x:c r="M120" s="10" t="n">
        <x:f>(K120-I120)/I120</x:f>
        <x:v>0</x:v>
      </x:c>
      <x:c r="N120" s="11" t="n">
        <x:v>0</x:v>
      </x:c>
      <x:c r="O120" s="11" t="n">
        <x:v>0</x:v>
      </x:c>
    </x:row>
    <x:row r="121" ht="22" customHeight="1">
      <x:c r="A121" s="4" t="str">
        <x:v>Health</x:v>
      </x:c>
      <x:c r="B121" s="4" t="n">
        <x:v>48</x:v>
      </x:c>
      <x:c r="C121" s="4" t="str">
        <x:v>TaTS</x:v>
      </x:c>
      <x:c r="D121" s="9" t="n">
        <x:v>2.4391529485784</x:v>
      </x:c>
      <x:c r="E121" s="9" t="n">
        <x:v>2.439152943043525</x:v>
      </x:c>
      <x:c r="F121" s="9" t="n">
        <x:v>2.435699425182206</x:v>
      </x:c>
      <x:c r="G121" s="9" t="n">
        <x:v>0.005423980719777</x:v>
      </x:c>
      <x:c r="H121" s="10" t="n">
        <x:f>(F121-D121)/D121</x:f>
        <x:v>-0.0014158699634668954</x:v>
      </x:c>
      <x:c r="I121" s="9" t="n">
        <x:v>0.984852159167982</x:v>
      </x:c>
      <x:c r="J121" s="9" t="n">
        <x:v>0.984852159090626</x:v>
      </x:c>
      <x:c r="K121" s="9" t="n">
        <x:v>0.98011717653506</x:v>
      </x:c>
      <x:c r="L121" s="9" t="n">
        <x:v>0.007707762495181</x:v>
      </x:c>
      <x:c r="M121" s="10" t="n">
        <x:f>(K121-I121)/I121</x:f>
        <x:v>-0.004807810582374232</x:v>
      </x:c>
      <x:c r="N121" s="11" t="n">
        <x:v>2</x:v>
      </x:c>
      <x:c r="O121" s="11" t="n">
        <x:v>2</x:v>
      </x:c>
    </x:row>
    <x:row r="122" ht="22" customHeight="1">
      <x:c r="A122" s="4" t="str">
        <x:v>Health</x:v>
      </x:c>
      <x:c r="B122" s="4" t="n">
        <x:v>48</x:v>
      </x:c>
      <x:c r="C122" s="4" t="str">
        <x:v>MM-TSFlib</x:v>
      </x:c>
      <x:c r="D122" s="9" t="n">
        <x:v>1.52068206965631</x:v>
      </x:c>
      <x:c r="E122" s="9" t="n">
        <x:v>1.520682068930924</x:v>
      </x:c>
      <x:c r="F122" s="9" t="n">
        <x:v>1.487406455160113</x:v>
      </x:c>
      <x:c r="G122" s="9" t="n">
        <x:v>0.057635054910836</x:v>
      </x:c>
      <x:c r="H122" s="10" t="n">
        <x:f>(F122-D122)/D122</x:f>
        <x:v>-0.021882032516972873</x:v>
      </x:c>
      <x:c r="I122" s="9" t="n">
        <x:v>0.862871678006136</x:v>
      </x:c>
      <x:c r="J122" s="9" t="n">
        <x:v>0.862871677765521</x:v>
      </x:c>
      <x:c r="K122" s="9" t="n">
        <x:v>0.852734774564984</x:v>
      </x:c>
      <x:c r="L122" s="9" t="n">
        <x:v>0.017557631772458</x:v>
      </x:c>
      <x:c r="M122" s="10" t="n">
        <x:f>(K122-I122)/I122</x:f>
        <x:v>-0.01174786900478131</x:v>
      </x:c>
      <x:c r="N122" s="11" t="n">
        <x:v>1</x:v>
      </x:c>
      <x:c r="O122" s="11" t="n">
        <x:v>1</x:v>
      </x:c>
    </x:row>
    <x:row r="123" ht="22" customHeight="1">
      <x:c r="A123" s="4" t="str">
        <x:v>Health</x:v>
      </x:c>
      <x:c r="B123" s="4" t="n">
        <x:v>48</x:v>
      </x:c>
      <x:c r="C123" s="4" t="str">
        <x:v>SpecTF</x:v>
      </x:c>
      <x:c r="D123" s="9" t="n">
        <x:v>1.818200980463249</x:v>
      </x:c>
      <x:c r="E123" s="9" t="n">
        <x:v>1.818200983433316</x:v>
      </x:c>
      <x:c r="F123" s="9" t="n">
        <x:v>1.818200980463249</x:v>
      </x:c>
      <x:c r="G123" s="9" t="n">
        <x:v>0</x:v>
      </x:c>
      <x:c r="H123" s="10" t="n">
        <x:f>(F123-D123)/D123</x:f>
        <x:v>0</x:v>
      </x:c>
      <x:c r="I123" s="9" t="n">
        <x:v>0.911405826718897</x:v>
      </x:c>
      <x:c r="J123" s="9" t="n">
        <x:v>0.911405827045363</x:v>
      </x:c>
      <x:c r="K123" s="9" t="n">
        <x:v>0.911405826718897</x:v>
      </x:c>
      <x:c r="L123" s="9" t="n">
        <x:v>0</x:v>
      </x:c>
      <x:c r="M123" s="10" t="n">
        <x:f>(K123-I123)/I123</x:f>
        <x:v>0</x:v>
      </x:c>
      <x:c r="N123" s="11" t="n">
        <x:v>0</x:v>
      </x:c>
      <x:c r="O123" s="11" t="n">
        <x:v>0</x:v>
      </x:c>
    </x:row>
    <x:row r="124" ht="22" customHeight="1">
      <x:c r="A124" s="4" t="str">
        <x:v>Health</x:v>
      </x:c>
      <x:c r="B124" s="4" t="n">
        <x:v>48</x:v>
      </x:c>
      <x:c r="C124" s="4" t="str">
        <x:v>CFA</x:v>
      </x:c>
      <x:c r="D124" s="9" t="n">
        <x:v>2.486236831301244</x:v>
      </x:c>
      <x:c r="E124" s="9" t="n">
        <x:v>2.486236821117312</x:v>
      </x:c>
      <x:c r="F124" s="9" t="n">
        <x:v>2.486236831319511</x:v>
      </x:c>
      <x:c r="G124" s="9" t="n">
        <x:v>3.1639e-11</x:v>
      </x:c>
      <x:c r="H124" s="10" t="n">
        <x:f>(F124-D124)/D124</x:f>
        <x:v>7.347136539362666e-12</x:v>
      </x:c>
      <x:c r="I124" s="9" t="n">
        <x:v>1.019632222485641</x:v>
      </x:c>
      <x:c r="J124" s="9" t="n">
        <x:v>1.019632221468158</x:v>
      </x:c>
      <x:c r="K124" s="9" t="n">
        <x:v>1.019632222497689</x:v>
      </x:c>
      <x:c r="L124" s="9" t="n">
        <x:v>2.0868e-11</x:v>
      </x:c>
      <x:c r="M124" s="10" t="n">
        <x:f>(K124-I124)/I124</x:f>
        <x:v>1.1816162727636698e-11</x:v>
      </x:c>
      <x:c r="N124" s="11" t="n">
        <x:v>0</x:v>
      </x:c>
      <x:c r="O124" s="11" t="n">
        <x:v>0</x:v>
      </x:c>
    </x:row>
    <x:row r="125" ht="22" customHeight="1">
      <x:c r="A125" s="4" t="str">
        <x:v>Health</x:v>
      </x:c>
      <x:c r="B125" s="4" t="n">
        <x:v>48</x:v>
      </x:c>
      <x:c r="C125" s="4" t="str">
        <x:v>Aurora</x:v>
      </x:c>
      <x:c r="D125" s="9" t="n">
        <x:v>3.04441356828496</x:v>
      </x:c>
      <x:c r="E125" s="9" t="n">
        <x:v>3.044413568243524</x:v>
      </x:c>
      <x:c r="F125" s="9" t="n">
        <x:v>3.044413568259869</x:v>
      </x:c>
      <x:c r="G125" s="9" t="n">
        <x:v>4.3459e-11</x:v>
      </x:c>
      <x:c r="H125" s="10" t="n">
        <x:f>(F125-D125)/D125</x:f>
        <x:v>-8.241666184224545e-12</x:v>
      </x:c>
      <x:c r="I125" s="9" t="n">
        <x:v>1.239428678270174</x:v>
      </x:c>
      <x:c r="J125" s="9" t="n">
        <x:v>1.239428678369712</x:v>
      </x:c>
      <x:c r="K125" s="9" t="n">
        <x:v>1.2394286782571</x:v>
      </x:c>
      <x:c r="L125" s="9" t="n">
        <x:v>2.2644e-11</x:v>
      </x:c>
      <x:c r="M125" s="10" t="n">
        <x:f>(K125-I125)/I125</x:f>
        <x:v>-1.054839747312668e-11</x:v>
      </x:c>
      <x:c r="N125" s="11" t="n">
        <x:v>0</x:v>
      </x:c>
      <x:c r="O125" s="11" t="n">
        <x:v>0</x:v>
      </x:c>
    </x:row>
    <x:row r="126" ht="22" customHeight="1">
      <x:c r="A126" s="4" t="str">
        <x:v>Security</x:v>
      </x:c>
      <x:c r="B126" s="4" t="n">
        <x:v>6</x:v>
      </x:c>
      <x:c r="C126" s="4" t="str">
        <x:v>TaTS</x:v>
      </x:c>
      <x:c r="D126" s="9" t="n">
        <x:v>72.6991374139132</x:v>
      </x:c>
      <x:c r="E126" s="9" t="n">
        <x:v>72.69913674090418</x:v>
      </x:c>
      <x:c r="F126" s="9" t="n">
        <x:v>72.6991374139132</x:v>
      </x:c>
      <x:c r="G126" s="9" t="n">
        <x:v>0</x:v>
      </x:c>
      <x:c r="H126" s="10" t="n">
        <x:f>(F126-D126)/D126</x:f>
        <x:v>0</x:v>
      </x:c>
      <x:c r="I126" s="9" t="n">
        <x:v>4.382157450728693</x:v>
      </x:c>
      <x:c r="J126" s="9" t="n">
        <x:v>4.382157435525714</x:v>
      </x:c>
      <x:c r="K126" s="9" t="n">
        <x:v>4.382157450728693</x:v>
      </x:c>
      <x:c r="L126" s="9" t="n">
        <x:v>0</x:v>
      </x:c>
      <x:c r="M126" s="10" t="n">
        <x:f>(K126-I126)/I126</x:f>
        <x:v>0</x:v>
      </x:c>
      <x:c r="N126" s="11" t="n">
        <x:v>0</x:v>
      </x:c>
      <x:c r="O126" s="11" t="n">
        <x:v>0</x:v>
      </x:c>
    </x:row>
    <x:row r="127" ht="22" customHeight="1">
      <x:c r="A127" s="4" t="str">
        <x:v>Security</x:v>
      </x:c>
      <x:c r="B127" s="4" t="n">
        <x:v>6</x:v>
      </x:c>
      <x:c r="C127" s="4" t="str">
        <x:v>MM-TSFlib</x:v>
      </x:c>
      <x:c r="D127" s="9" t="n">
        <x:v>93.2256797838897</x:v>
      </x:c>
      <x:c r="E127" s="9" t="n">
        <x:v>93.22567973938234</x:v>
      </x:c>
      <x:c r="F127" s="9" t="n">
        <x:v>74.56213668900959</x:v>
      </x:c>
      <x:c r="G127" s="9" t="n">
        <x:v>1.228259220538088</x:v>
      </x:c>
      <x:c r="H127" s="10" t="n">
        <x:f>(F127-D127)/D127</x:f>
        <x:v>-0.2001974470783677</x:v>
      </x:c>
      <x:c r="I127" s="9" t="n">
        <x:v>6.123006931733179</x:v>
      </x:c>
      <x:c r="J127" s="9" t="n">
        <x:v>6.123006923699084</x:v>
      </x:c>
      <x:c r="K127" s="9" t="n">
        <x:v>4.389560479255884</x:v>
      </x:c>
      <x:c r="L127" s="9" t="n">
        <x:v>0.110566187503128</x:v>
      </x:c>
      <x:c r="M127" s="10" t="n">
        <x:f>(K127-I127)/I127</x:f>
        <x:v>-0.28310378737177505</x:v>
      </x:c>
      <x:c r="N127" s="11" t="n">
        <x:v>3</x:v>
      </x:c>
      <x:c r="O127" s="11" t="n">
        <x:v>3</x:v>
      </x:c>
    </x:row>
    <x:row r="128" ht="22" customHeight="1">
      <x:c r="A128" s="4" t="str">
        <x:v>Security</x:v>
      </x:c>
      <x:c r="B128" s="4" t="n">
        <x:v>6</x:v>
      </x:c>
      <x:c r="C128" s="4" t="str">
        <x:v>SpecTF</x:v>
      </x:c>
      <x:c r="D128" s="9" t="n">
        <x:v>67.14183396997961</x:v>
      </x:c>
      <x:c r="E128" s="9" t="n">
        <x:v>67.14183349199133</x:v>
      </x:c>
      <x:c r="F128" s="9" t="n">
        <x:v>67.14183396997961</x:v>
      </x:c>
      <x:c r="G128" s="9" t="n">
        <x:v>0</x:v>
      </x:c>
      <x:c r="H128" s="10" t="n">
        <x:f>(F128-D128)/D128</x:f>
        <x:v>0</x:v>
      </x:c>
      <x:c r="I128" s="9" t="n">
        <x:v>3.852669790137076</x:v>
      </x:c>
      <x:c r="J128" s="9" t="n">
        <x:v>3.852669779993134</x:v>
      </x:c>
      <x:c r="K128" s="9" t="n">
        <x:v>3.852669790137076</x:v>
      </x:c>
      <x:c r="L128" s="9" t="n">
        <x:v>0</x:v>
      </x:c>
      <x:c r="M128" s="10" t="n">
        <x:f>(K128-I128)/I128</x:f>
        <x:v>0</x:v>
      </x:c>
      <x:c r="N128" s="11" t="n">
        <x:v>0</x:v>
      </x:c>
      <x:c r="O128" s="11" t="n">
        <x:v>0</x:v>
      </x:c>
    </x:row>
    <x:row r="129" ht="22" customHeight="1">
      <x:c r="A129" s="4" t="str">
        <x:v>Security</x:v>
      </x:c>
      <x:c r="B129" s="4" t="n">
        <x:v>6</x:v>
      </x:c>
      <x:c r="C129" s="4" t="str">
        <x:v>CFA</x:v>
      </x:c>
      <x:c r="D129" s="9" t="n">
        <x:v>73.16995799985796</x:v>
      </x:c>
      <x:c r="E129" s="9" t="n">
        <x:v>73.1699577518967</x:v>
      </x:c>
      <x:c r="F129" s="9" t="n">
        <x:v>73.16995799985796</x:v>
      </x:c>
      <x:c r="G129" s="9" t="n">
        <x:v>0</x:v>
      </x:c>
      <x:c r="H129" s="10" t="n">
        <x:f>(F129-D129)/D129</x:f>
        <x:v>0</x:v>
      </x:c>
      <x:c r="I129" s="9" t="n">
        <x:v>4.528802161625253</x:v>
      </x:c>
      <x:c r="J129" s="9" t="n">
        <x:v>4.528802162703172</x:v>
      </x:c>
      <x:c r="K129" s="9" t="n">
        <x:v>4.528802161625253</x:v>
      </x:c>
      <x:c r="L129" s="9" t="n">
        <x:v>0</x:v>
      </x:c>
      <x:c r="M129" s="10" t="n">
        <x:f>(K129-I129)/I129</x:f>
        <x:v>0</x:v>
      </x:c>
      <x:c r="N129" s="11" t="n">
        <x:v>0</x:v>
      </x:c>
      <x:c r="O129" s="11" t="n">
        <x:v>0</x:v>
      </x:c>
    </x:row>
    <x:row r="130" ht="22" customHeight="1">
      <x:c r="A130" s="4" t="str">
        <x:v>Security</x:v>
      </x:c>
      <x:c r="B130" s="4" t="n">
        <x:v>6</x:v>
      </x:c>
      <x:c r="C130" s="4" t="str">
        <x:v>Aurora</x:v>
      </x:c>
      <x:c r="D130" s="9" t="n">
        <x:v>77.16228360015839</x:v>
      </x:c>
      <x:c r="E130" s="9" t="n">
        <x:v>77.16228135948103</x:v>
      </x:c>
      <x:c r="F130" s="9" t="n">
        <x:v>79.26871148753047</x:v>
      </x:c>
      <x:c r="G130" s="9" t="n">
        <x:v>1.402998213702519</x:v>
      </x:c>
      <x:c r="H130" s="10" t="n">
        <x:f>(F130-D130)/D130</x:f>
        <x:v>0.02729867221513587</x:v>
      </x:c>
      <x:c r="I130" s="9" t="n">
        <x:v>4.235003895715546</x:v>
      </x:c>
      <x:c r="J130" s="9" t="n">
        <x:v>4.235003875361548</x:v>
      </x:c>
      <x:c r="K130" s="9" t="n">
        <x:v>4.591067115736956</x:v>
      </x:c>
      <x:c r="L130" s="9" t="n">
        <x:v>0.132591540072833</x:v>
      </x:c>
      <x:c r="M130" s="10" t="n">
        <x:f>(K130-I130)/I130</x:f>
        <x:v>0.08407624379794092</x:v>
      </x:c>
      <x:c r="N130" s="11" t="n">
        <x:v>3</x:v>
      </x:c>
      <x:c r="O130" s="11" t="n">
        <x:v>0</x:v>
      </x:c>
    </x:row>
    <x:row r="131" ht="22" customHeight="1">
      <x:c r="A131" s="4" t="str">
        <x:v>Security</x:v>
      </x:c>
      <x:c r="B131" s="4" t="n">
        <x:v>8</x:v>
      </x:c>
      <x:c r="C131" s="4" t="str">
        <x:v>TaTS</x:v>
      </x:c>
      <x:c r="D131" s="9" t="n">
        <x:v>72.97911949508219</x:v>
      </x:c>
      <x:c r="E131" s="9" t="n">
        <x:v>72.97911925256292</x:v>
      </x:c>
      <x:c r="F131" s="9" t="n">
        <x:v>72.97911949508219</x:v>
      </x:c>
      <x:c r="G131" s="9" t="n">
        <x:v>0</x:v>
      </x:c>
      <x:c r="H131" s="10" t="n">
        <x:f>(F131-D131)/D131</x:f>
        <x:v>0</x:v>
      </x:c>
      <x:c r="I131" s="9" t="n">
        <x:v>4.433972100317567</x:v>
      </x:c>
      <x:c r="J131" s="9" t="n">
        <x:v>4.433972103807789</x:v>
      </x:c>
      <x:c r="K131" s="9" t="n">
        <x:v>4.433972100317567</x:v>
      </x:c>
      <x:c r="L131" s="9" t="n">
        <x:v>0</x:v>
      </x:c>
      <x:c r="M131" s="10" t="n">
        <x:f>(K131-I131)/I131</x:f>
        <x:v>0</x:v>
      </x:c>
      <x:c r="N131" s="11" t="n">
        <x:v>0</x:v>
      </x:c>
      <x:c r="O131" s="11" t="n">
        <x:v>0</x:v>
      </x:c>
    </x:row>
    <x:row r="132" ht="22" customHeight="1">
      <x:c r="A132" s="4" t="str">
        <x:v>Security</x:v>
      </x:c>
      <x:c r="B132" s="4" t="n">
        <x:v>8</x:v>
      </x:c>
      <x:c r="C132" s="4" t="str">
        <x:v>MM-TSFlib</x:v>
      </x:c>
      <x:c r="D132" s="9" t="n">
        <x:v>96.53889005739344</x:v>
      </x:c>
      <x:c r="E132" s="9" t="n">
        <x:v>96.53889037487308</x:v>
      </x:c>
      <x:c r="F132" s="9" t="n">
        <x:v>95.16251837244492</x:v>
      </x:c>
      <x:c r="G132" s="9" t="n">
        <x:v>2.383945515342348</x:v>
      </x:c>
      <x:c r="H132" s="10" t="n">
        <x:f>(F132-D132)/D132</x:f>
        <x:v>-0.014257173291823173</x:v>
      </x:c>
      <x:c r="I132" s="9" t="n">
        <x:v>6.252864701323023</x:v>
      </x:c>
      <x:c r="J132" s="9" t="n">
        <x:v>6.252864701964427</x:v>
      </x:c>
      <x:c r="K132" s="9" t="n">
        <x:v>6.068789214196538</x:v>
      </x:c>
      <x:c r="L132" s="9" t="n">
        <x:v>0.318828079978757</x:v>
      </x:c>
      <x:c r="M132" s="10" t="n">
        <x:f>(K132-I132)/I132</x:f>
        <x:v>-0.02943858469983172</x:v>
      </x:c>
      <x:c r="N132" s="11" t="n">
        <x:v>1</x:v>
      </x:c>
      <x:c r="O132" s="11" t="n">
        <x:v>1</x:v>
      </x:c>
    </x:row>
    <x:row r="133" ht="22" customHeight="1">
      <x:c r="A133" s="4" t="str">
        <x:v>Security</x:v>
      </x:c>
      <x:c r="B133" s="4" t="n">
        <x:v>8</x:v>
      </x:c>
      <x:c r="C133" s="4" t="str">
        <x:v>SpecTF</x:v>
      </x:c>
      <x:c r="D133" s="9" t="n">
        <x:v>70.6990198622295</x:v>
      </x:c>
      <x:c r="E133" s="9" t="n">
        <x:v>70.69901896497308</x:v>
      </x:c>
      <x:c r="F133" s="9" t="n">
        <x:v>70.6990198622295</x:v>
      </x:c>
      <x:c r="G133" s="9" t="n">
        <x:v>0</x:v>
      </x:c>
      <x:c r="H133" s="10" t="n">
        <x:f>(F133-D133)/D133</x:f>
        <x:v>0</x:v>
      </x:c>
      <x:c r="I133" s="9" t="n">
        <x:v>4.002957388563887</x:v>
      </x:c>
      <x:c r="J133" s="9" t="n">
        <x:v>4.00295739248395</x:v>
      </x:c>
      <x:c r="K133" s="9" t="n">
        <x:v>4.002957388563887</x:v>
      </x:c>
      <x:c r="L133" s="9" t="n">
        <x:v>0</x:v>
      </x:c>
      <x:c r="M133" s="10" t="n">
        <x:f>(K133-I133)/I133</x:f>
        <x:v>0</x:v>
      </x:c>
      <x:c r="N133" s="11" t="n">
        <x:v>0</x:v>
      </x:c>
      <x:c r="O133" s="11" t="n">
        <x:v>0</x:v>
      </x:c>
    </x:row>
    <x:row r="134" ht="22" customHeight="1">
      <x:c r="A134" s="4" t="str">
        <x:v>Security</x:v>
      </x:c>
      <x:c r="B134" s="4" t="n">
        <x:v>8</x:v>
      </x:c>
      <x:c r="C134" s="4" t="str">
        <x:v>CFA</x:v>
      </x:c>
      <x:c r="D134" s="9" t="n">
        <x:v>91.43265867362122</x:v>
      </x:c>
      <x:c r="E134" s="9" t="n">
        <x:v>91.4326587562948</x:v>
      </x:c>
      <x:c r="F134" s="9" t="n">
        <x:v>91.43265867362122</x:v>
      </x:c>
      <x:c r="G134" s="9" t="n">
        <x:v>0</x:v>
      </x:c>
      <x:c r="H134" s="10" t="n">
        <x:f>(F134-D134)/D134</x:f>
        <x:v>0</x:v>
      </x:c>
      <x:c r="I134" s="9" t="n">
        <x:v>5.660050303552103</x:v>
      </x:c>
      <x:c r="J134" s="9" t="n">
        <x:v>5.660050311555656</x:v>
      </x:c>
      <x:c r="K134" s="9" t="n">
        <x:v>5.660050303552102</x:v>
      </x:c>
      <x:c r="L134" s="9" t="n">
        <x:v>1e-15</x:v>
      </x:c>
      <x:c r="M134" s="10" t="n">
        <x:f>(K134-I134)/I134</x:f>
        <x:v>-1.569205876390758e-16</x:v>
      </x:c>
      <x:c r="N134" s="11" t="n">
        <x:v>0</x:v>
      </x:c>
      <x:c r="O134" s="11" t="n">
        <x:v>0</x:v>
      </x:c>
    </x:row>
    <x:row r="135" ht="22" customHeight="1">
      <x:c r="A135" s="4" t="str">
        <x:v>Security</x:v>
      </x:c>
      <x:c r="B135" s="4" t="n">
        <x:v>8</x:v>
      </x:c>
      <x:c r="C135" s="4" t="str">
        <x:v>Aurora</x:v>
      </x:c>
      <x:c r="D135" s="9" t="n">
        <x:v>81.18467338330083</x:v>
      </x:c>
      <x:c r="E135" s="9" t="n">
        <x:v>81.18467217771146</x:v>
      </x:c>
      <x:c r="F135" s="9" t="n">
        <x:v>81.83985014317712</x:v>
      </x:c>
      <x:c r="G135" s="9" t="n">
        <x:v>1.134799438756671</x:v>
      </x:c>
      <x:c r="H135" s="10" t="n">
        <x:f>(F135-D135)/D135</x:f>
        <x:v>0.008070202571154882</x:v>
      </x:c>
      <x:c r="I135" s="9" t="n">
        <x:v>4.406378367935899</x:v>
      </x:c>
      <x:c r="J135" s="9" t="n">
        <x:v>4.406378358029402</x:v>
      </x:c>
      <x:c r="K135" s="9" t="n">
        <x:v>4.465204161970178</x:v>
      </x:c>
      <x:c r="L135" s="9" t="n">
        <x:v>0.10188926505563</x:v>
      </x:c>
      <x:c r="M135" s="10" t="n">
        <x:f>(K135-I135)/I135</x:f>
        <x:v>0.013350145884506726</x:v>
      </x:c>
      <x:c r="N135" s="11" t="n">
        <x:v>1</x:v>
      </x:c>
      <x:c r="O135" s="11" t="n">
        <x:v>0</x:v>
      </x:c>
    </x:row>
    <x:row r="136" ht="22" customHeight="1">
      <x:c r="A136" s="4" t="str">
        <x:v>Security</x:v>
      </x:c>
      <x:c r="B136" s="4" t="n">
        <x:v>10</x:v>
      </x:c>
      <x:c r="C136" s="4" t="str">
        <x:v>TaTS</x:v>
      </x:c>
      <x:c r="D136" s="9" t="n">
        <x:v>83.39170242577858</x:v>
      </x:c>
      <x:c r="E136" s="9" t="n">
        <x:v>83.39170232092721</x:v>
      </x:c>
      <x:c r="F136" s="9" t="n">
        <x:v>83.39170242202844</x:v>
      </x:c>
      <x:c r="G136" s="9" t="n">
        <x:v>3.2477e-9</x:v>
      </x:c>
      <x:c r="H136" s="10" t="n">
        <x:f>(F136-D136)/D136</x:f>
        <x:v>-4.4970072122485206e-11</x:v>
      </x:c>
      <x:c r="I136" s="9" t="n">
        <x:v>4.783439267786219</x:v>
      </x:c>
      <x:c r="J136" s="9" t="n">
        <x:v>4.78343926948309</x:v>
      </x:c>
      <x:c r="K136" s="9" t="n">
        <x:v>4.783439267649626</x:v>
      </x:c>
      <x:c r="L136" s="9" t="n">
        <x:v>1.18293e-10</x:v>
      </x:c>
      <x:c r="M136" s="10" t="n">
        <x:f>(K136-I136)/I136</x:f>
        <x:v>-2.8555572611527634e-11</x:v>
      </x:c>
      <x:c r="N136" s="11" t="n">
        <x:v>0</x:v>
      </x:c>
      <x:c r="O136" s="11" t="n">
        <x:v>0</x:v>
      </x:c>
    </x:row>
    <x:row r="137" ht="22" customHeight="1">
      <x:c r="A137" s="4" t="str">
        <x:v>Security</x:v>
      </x:c>
      <x:c r="B137" s="4" t="n">
        <x:v>10</x:v>
      </x:c>
      <x:c r="C137" s="4" t="str">
        <x:v>MM-TSFlib</x:v>
      </x:c>
      <x:c r="D137" s="9" t="n">
        <x:v>97.48980175008192</x:v>
      </x:c>
      <x:c r="E137" s="9" t="n">
        <x:v>96.44926803863416</x:v>
      </x:c>
      <x:c r="F137" s="9" t="n">
        <x:v>97.42273116585936</x:v>
      </x:c>
      <x:c r="G137" s="9" t="n">
        <x:v>0.116169510598155</x:v>
      </x:c>
      <x:c r="H137" s="10" t="n">
        <x:f>(F137-D137)/D137</x:f>
        <x:v>-0.0006879753883847302</x:v>
      </x:c>
      <x:c r="I137" s="9" t="n">
        <x:v>6.213066877869424</x:v>
      </x:c>
      <x:c r="J137" s="9" t="n">
        <x:v>6.115814939752221</x:v>
      </x:c>
      <x:c r="K137" s="9" t="n">
        <x:v>6.206673733922964</x:v>
      </x:c>
      <x:c r="L137" s="9" t="n">
        <x:v>0.011073239323177</x:v>
      </x:c>
      <x:c r="M137" s="10" t="n">
        <x:f>(K137-I137)/I137</x:f>
        <x:v>-0.001028983603770978</x:v>
      </x:c>
      <x:c r="N137" s="11" t="n">
        <x:v>1</x:v>
      </x:c>
      <x:c r="O137" s="11" t="n">
        <x:v>1</x:v>
      </x:c>
    </x:row>
    <x:row r="138" ht="22" customHeight="1">
      <x:c r="A138" s="4" t="str">
        <x:v>Security</x:v>
      </x:c>
      <x:c r="B138" s="4" t="n">
        <x:v>10</x:v>
      </x:c>
      <x:c r="C138" s="4" t="str">
        <x:v>SpecTF</x:v>
      </x:c>
      <x:c r="D138" s="9" t="n">
        <x:v>73.9949897801101</x:v>
      </x:c>
      <x:c r="E138" s="9" t="n">
        <x:v>73.99498989666476</x:v>
      </x:c>
      <x:c r="F138" s="9" t="n">
        <x:v>73.9949897801101</x:v>
      </x:c>
      <x:c r="G138" s="9" t="n">
        <x:v>0</x:v>
      </x:c>
      <x:c r="H138" s="10" t="n">
        <x:f>(F138-D138)/D138</x:f>
        <x:v>0</x:v>
      </x:c>
      <x:c r="I138" s="9" t="n">
        <x:v>4.140486573921517</x:v>
      </x:c>
      <x:c r="J138" s="9" t="n">
        <x:v>4.140486572742463</x:v>
      </x:c>
      <x:c r="K138" s="9" t="n">
        <x:v>4.140486573921517</x:v>
      </x:c>
      <x:c r="L138" s="9" t="n">
        <x:v>0</x:v>
      </x:c>
      <x:c r="M138" s="10" t="n">
        <x:f>(K138-I138)/I138</x:f>
        <x:v>0</x:v>
      </x:c>
      <x:c r="N138" s="11" t="n">
        <x:v>0</x:v>
      </x:c>
      <x:c r="O138" s="11" t="n">
        <x:v>0</x:v>
      </x:c>
    </x:row>
    <x:row r="139" ht="22" customHeight="1">
      <x:c r="A139" s="4" t="str">
        <x:v>Security</x:v>
      </x:c>
      <x:c r="B139" s="4" t="n">
        <x:v>10</x:v>
      </x:c>
      <x:c r="C139" s="4" t="str">
        <x:v>CFA</x:v>
      </x:c>
      <x:c r="D139" s="9" t="n">
        <x:v>81.72534727849892</x:v>
      </x:c>
      <x:c r="E139" s="9" t="n">
        <x:v>81.7253473516777</x:v>
      </x:c>
      <x:c r="F139" s="9" t="n">
        <x:v>81.72534727525014</x:v>
      </x:c>
      <x:c r="G139" s="9" t="n">
        <x:v>2.813527e-9</x:v>
      </x:c>
      <x:c r="H139" s="10" t="n">
        <x:f>(F139-D139)/D139</x:f>
        <x:v>-3.975231707588569e-11</x:v>
      </x:c>
      <x:c r="I139" s="9" t="n">
        <x:v>4.891687168585136</x:v>
      </x:c>
      <x:c r="J139" s="9" t="n">
        <x:v>4.8916871753335</x:v>
      </x:c>
      <x:c r="K139" s="9" t="n">
        <x:v>4.891687168260416</x:v>
      </x:c>
      <x:c r="L139" s="9" t="n">
        <x:v>2.81217e-10</x:v>
      </x:c>
      <x:c r="M139" s="10" t="n">
        <x:f>(K139-I139)/I139</x:f>
        <x:v>-6.638196503745898e-11</x:v>
      </x:c>
      <x:c r="N139" s="11" t="n">
        <x:v>0</x:v>
      </x:c>
      <x:c r="O139" s="11" t="n">
        <x:v>0</x:v>
      </x:c>
    </x:row>
    <x:row r="140" ht="22" customHeight="1">
      <x:c r="A140" s="4" t="str">
        <x:v>Security</x:v>
      </x:c>
      <x:c r="B140" s="4" t="n">
        <x:v>10</x:v>
      </x:c>
      <x:c r="C140" s="4" t="str">
        <x:v>Aurora</x:v>
      </x:c>
      <x:c r="D140" s="9" t="n">
        <x:v>84.90057875764339</x:v>
      </x:c>
      <x:c r="E140" s="9" t="n">
        <x:v>85.02049202730926</x:v>
      </x:c>
      <x:c r="F140" s="9" t="n">
        <x:v>84.90970712465128</x:v>
      </x:c>
      <x:c r="G140" s="9" t="n">
        <x:v>0.01581080916477</x:v>
      </x:c>
      <x:c r="H140" s="10" t="n">
        <x:f>(F140-D140)/D140</x:f>
        <x:v>0.0001075183130841453</x:v>
      </x:c>
      <x:c r="I140" s="9" t="n">
        <x:v>4.551266480373219</x:v>
      </x:c>
      <x:c r="J140" s="9" t="n">
        <x:v>4.563542530179023</x:v>
      </x:c>
      <x:c r="K140" s="9" t="n">
        <x:v>4.552287215219811</x:v>
      </x:c>
      <x:c r="L140" s="9" t="n">
        <x:v>0.001767965544498</x:v>
      </x:c>
      <x:c r="M140" s="10" t="n">
        <x:f>(K140-I140)/I140</x:f>
        <x:v>0.00022427490259993265</x:v>
      </x:c>
      <x:c r="N140" s="11" t="n">
        <x:v>1</x:v>
      </x:c>
      <x:c r="O140" s="11" t="n">
        <x:v>0</x:v>
      </x:c>
    </x:row>
    <x:row r="141" ht="22" customHeight="1">
      <x:c r="A141" s="4" t="str">
        <x:v>Security</x:v>
      </x:c>
      <x:c r="B141" s="4" t="n">
        <x:v>12</x:v>
      </x:c>
      <x:c r="C141" s="4" t="str">
        <x:v>TaTS</x:v>
      </x:c>
      <x:c r="D141" s="9" t="n">
        <x:v>80.98327342565297</x:v>
      </x:c>
      <x:c r="E141" s="9" t="n">
        <x:v>80.98327353058404</x:v>
      </x:c>
      <x:c r="F141" s="9" t="n">
        <x:v>80.98327342565297</x:v>
      </x:c>
      <x:c r="G141" s="9" t="n">
        <x:v>0</x:v>
      </x:c>
      <x:c r="H141" s="10" t="n">
        <x:f>(F141-D141)/D141</x:f>
        <x:v>0</x:v>
      </x:c>
      <x:c r="I141" s="9" t="n">
        <x:v>4.631983135304633</x:v>
      </x:c>
      <x:c r="J141" s="9" t="n">
        <x:v>4.631983137844752</x:v>
      </x:c>
      <x:c r="K141" s="9" t="n">
        <x:v>4.631983135304633</x:v>
      </x:c>
      <x:c r="L141" s="9" t="n">
        <x:v>0</x:v>
      </x:c>
      <x:c r="M141" s="10" t="n">
        <x:f>(K141-I141)/I141</x:f>
        <x:v>0</x:v>
      </x:c>
      <x:c r="N141" s="11" t="n">
        <x:v>0</x:v>
      </x:c>
      <x:c r="O141" s="11" t="n">
        <x:v>0</x:v>
      </x:c>
    </x:row>
    <x:row r="142" ht="22" customHeight="1">
      <x:c r="A142" s="4" t="str">
        <x:v>Security</x:v>
      </x:c>
      <x:c r="B142" s="4" t="n">
        <x:v>12</x:v>
      </x:c>
      <x:c r="C142" s="4" t="str">
        <x:v>MM-TSFlib</x:v>
      </x:c>
      <x:c r="D142" s="9" t="n">
        <x:v>96.64963786673496</x:v>
      </x:c>
      <x:c r="E142" s="9" t="n">
        <x:v>96.649637989393</x:v>
      </x:c>
      <x:c r="F142" s="9" t="n">
        <x:v>96.55755921964204</x:v>
      </x:c>
      <x:c r="G142" s="9" t="n">
        <x:v>0.159484917466795</x:v>
      </x:c>
      <x:c r="H142" s="10" t="n">
        <x:f>(F142-D142)/D142</x:f>
        <x:v>-0.0009527055571577105</x:v>
      </x:c>
      <x:c r="I142" s="9" t="n">
        <x:v>5.996091651229411</x:v>
      </x:c>
      <x:c r="J142" s="9" t="n">
        <x:v>5.996091662857604</x:v>
      </x:c>
      <x:c r="K142" s="9" t="n">
        <x:v>5.987335984941975</x:v>
      </x:c>
      <x:c r="L142" s="9" t="n">
        <x:v>0.015165260151583</x:v>
      </x:c>
      <x:c r="M142" s="10" t="n">
        <x:f>(K142-I142)/I142</x:f>
        <x:v>-0.0014602288952071832</x:v>
      </x:c>
      <x:c r="N142" s="11" t="n">
        <x:v>1</x:v>
      </x:c>
      <x:c r="O142" s="11" t="n">
        <x:v>1</x:v>
      </x:c>
    </x:row>
    <x:row r="143" ht="22" customHeight="1">
      <x:c r="A143" s="4" t="str">
        <x:v>Security</x:v>
      </x:c>
      <x:c r="B143" s="4" t="n">
        <x:v>12</x:v>
      </x:c>
      <x:c r="C143" s="4" t="str">
        <x:v>SpecTF</x:v>
      </x:c>
      <x:c r="D143" s="9" t="n">
        <x:v>78.07562570941445</x:v>
      </x:c>
      <x:c r="E143" s="9" t="n">
        <x:v>78.0756260248761</x:v>
      </x:c>
      <x:c r="F143" s="9" t="n">
        <x:v>78.07562570941445</x:v>
      </x:c>
      <x:c r="G143" s="9" t="n">
        <x:v>0</x:v>
      </x:c>
      <x:c r="H143" s="10" t="n">
        <x:f>(F143-D143)/D143</x:f>
        <x:v>0</x:v>
      </x:c>
      <x:c r="I143" s="9" t="n">
        <x:v>4.343691432009412</x:v>
      </x:c>
      <x:c r="J143" s="9" t="n">
        <x:v>4.343691425191032</x:v>
      </x:c>
      <x:c r="K143" s="9" t="n">
        <x:v>4.343691432009412</x:v>
      </x:c>
      <x:c r="L143" s="9" t="n">
        <x:v>0</x:v>
      </x:c>
      <x:c r="M143" s="10" t="n">
        <x:f>(K143-I143)/I143</x:f>
        <x:v>0</x:v>
      </x:c>
      <x:c r="N143" s="11" t="n">
        <x:v>0</x:v>
      </x:c>
      <x:c r="O143" s="11" t="n">
        <x:v>0</x:v>
      </x:c>
    </x:row>
    <x:row r="144" ht="22" customHeight="1">
      <x:c r="A144" s="4" t="str">
        <x:v>Security</x:v>
      </x:c>
      <x:c r="B144" s="4" t="n">
        <x:v>12</x:v>
      </x:c>
      <x:c r="C144" s="4" t="str">
        <x:v>CFA</x:v>
      </x:c>
      <x:c r="D144" s="9" t="n">
        <x:v>101.22611710260573</x:v>
      </x:c>
      <x:c r="E144" s="9" t="n">
        <x:v>101.2261177744636</x:v>
      </x:c>
      <x:c r="F144" s="9" t="n">
        <x:v>101.22611710260573</x:v>
      </x:c>
      <x:c r="G144" s="9" t="n">
        <x:v>0</x:v>
      </x:c>
      <x:c r="H144" s="10" t="n">
        <x:f>(F144-D144)/D144</x:f>
        <x:v>0</x:v>
      </x:c>
      <x:c r="I144" s="9" t="n">
        <x:v>5.842459637763871</x:v>
      </x:c>
      <x:c r="J144" s="9" t="n">
        <x:v>5.842459636533426</x:v>
      </x:c>
      <x:c r="K144" s="9" t="n">
        <x:v>5.842459637763871</x:v>
      </x:c>
      <x:c r="L144" s="9" t="n">
        <x:v>0</x:v>
      </x:c>
      <x:c r="M144" s="10" t="n">
        <x:f>(K144-I144)/I144</x:f>
        <x:v>0</x:v>
      </x:c>
      <x:c r="N144" s="11" t="n">
        <x:v>0</x:v>
      </x:c>
      <x:c r="O144" s="11" t="n">
        <x:v>0</x:v>
      </x:c>
    </x:row>
    <x:row r="145" ht="22" customHeight="1">
      <x:c r="A145" s="4" t="str">
        <x:v>Security</x:v>
      </x:c>
      <x:c r="B145" s="4" t="n">
        <x:v>12</x:v>
      </x:c>
      <x:c r="C145" s="4" t="str">
        <x:v>Aurora</x:v>
      </x:c>
      <x:c r="D145" s="9" t="n">
        <x:v>89.22429087175277</x:v>
      </x:c>
      <x:c r="E145" s="9" t="n">
        <x:v>89.22429023995113</x:v>
      </x:c>
      <x:c r="F145" s="9" t="n">
        <x:v>89.24185827990551</x:v>
      </x:c>
      <x:c r="G145" s="9" t="n">
        <x:v>0.030427643477859</x:v>
      </x:c>
      <x:c r="H145" s="10" t="n">
        <x:f>(F145-D145)/D145</x:f>
        <x:v>0.0001968904205469553</x:v>
      </x:c>
      <x:c r="I145" s="9" t="n">
        <x:v>4.707309610690572</x:v>
      </x:c>
      <x:c r="J145" s="9" t="n">
        <x:v>4.707309598103166</x:v>
      </x:c>
      <x:c r="K145" s="9" t="n">
        <x:v>4.709025669581563</x:v>
      </x:c>
      <x:c r="L145" s="9" t="n">
        <x:v>0.002972301187976</x:v>
      </x:c>
      <x:c r="M145" s="10" t="n">
        <x:f>(K145-I145)/I145</x:f>
        <x:v>0.00036455194854690087</x:v>
      </x:c>
      <x:c r="N145" s="11" t="n">
        <x:v>1</x:v>
      </x:c>
      <x:c r="O145" s="11" t="n">
        <x:v>0</x:v>
      </x:c>
    </x:row>
    <x:row r="146" ht="22" customHeight="1">
      <x:c r="A146" s="4" t="str">
        <x:v>SocialGood</x:v>
      </x:c>
      <x:c r="B146" s="4" t="n">
        <x:v>6</x:v>
      </x:c>
      <x:c r="C146" s="4" t="str">
        <x:v>TaTS</x:v>
      </x:c>
      <x:c r="D146" s="9" t="n">
        <x:v>1.064878293277627</x:v>
      </x:c>
      <x:c r="E146" s="9" t="n">
        <x:v>1.06487829386699</x:v>
      </x:c>
      <x:c r="F146" s="9" t="n">
        <x:v>1.052737213184592</x:v>
      </x:c>
      <x:c r="G146" s="9" t="n">
        <x:v>0.021028967330664</x:v>
      </x:c>
      <x:c r="H146" s="10" t="n">
        <x:f>(F146-D146)/D146</x:f>
        <x:v>-0.011401378138402639</x:v>
      </x:c>
      <x:c r="I146" s="9" t="n">
        <x:v>0.65253213868227</x:v>
      </x:c>
      <x:c r="J146" s="9" t="n">
        <x:v>0.652532138475908</x:v>
      </x:c>
      <x:c r="K146" s="9" t="n">
        <x:v>0.647095833305992</x:v>
      </x:c>
      <x:c r="L146" s="9" t="n">
        <x:v>0.009415956957496</x:v>
      </x:c>
      <x:c r="M146" s="10" t="n">
        <x:f>(K146-I146)/I146</x:f>
        <x:v>-0.0083310921470568</x:v>
      </x:c>
      <x:c r="N146" s="11" t="n">
        <x:v>1</x:v>
      </x:c>
      <x:c r="O146" s="11" t="n">
        <x:v>1</x:v>
      </x:c>
    </x:row>
    <x:row r="147" ht="22" customHeight="1">
      <x:c r="A147" s="4" t="str">
        <x:v>SocialGood</x:v>
      </x:c>
      <x:c r="B147" s="4" t="n">
        <x:v>6</x:v>
      </x:c>
      <x:c r="C147" s="4" t="str">
        <x:v>MM-TSFlib</x:v>
      </x:c>
      <x:c r="D147" s="9" t="n">
        <x:v>0.716909923467327</x:v>
      </x:c>
      <x:c r="E147" s="9" t="n">
        <x:v>0.716909920015666</x:v>
      </x:c>
      <x:c r="F147" s="9" t="n">
        <x:v>0.716909923467327</x:v>
      </x:c>
      <x:c r="G147" s="9" t="n">
        <x:v>0</x:v>
      </x:c>
      <x:c r="H147" s="10" t="n">
        <x:f>(F147-D147)/D147</x:f>
        <x:v>0</x:v>
      </x:c>
      <x:c r="I147" s="9" t="n">
        <x:v>0.420410243779966</x:v>
      </x:c>
      <x:c r="J147" s="9" t="n">
        <x:v>0.420410243437225</x:v>
      </x:c>
      <x:c r="K147" s="9" t="n">
        <x:v>0.420410243779966</x:v>
      </x:c>
      <x:c r="L147" s="9" t="n">
        <x:v>0</x:v>
      </x:c>
      <x:c r="M147" s="10" t="n">
        <x:f>(K147-I147)/I147</x:f>
        <x:v>0</x:v>
      </x:c>
      <x:c r="N147" s="11" t="n">
        <x:v>0</x:v>
      </x:c>
      <x:c r="O147" s="11" t="n">
        <x:v>0</x:v>
      </x:c>
    </x:row>
    <x:row r="148" ht="22" customHeight="1">
      <x:c r="A148" s="4" t="str">
        <x:v>SocialGood</x:v>
      </x:c>
      <x:c r="B148" s="4" t="n">
        <x:v>6</x:v>
      </x:c>
      <x:c r="C148" s="4" t="str">
        <x:v>SpecTF</x:v>
      </x:c>
      <x:c r="D148" s="9" t="n">
        <x:v>0.992952502676616</x:v>
      </x:c>
      <x:c r="E148" s="9" t="n">
        <x:v>0.992952495432178</x:v>
      </x:c>
      <x:c r="F148" s="9" t="n">
        <x:v>0.992952502676616</x:v>
      </x:c>
      <x:c r="G148" s="9" t="n">
        <x:v>1.35973995551052e-16</x:v>
      </x:c>
      <x:c r="H148" s="10" t="n">
        <x:f>(F148-D148)/D148</x:f>
        <x:v>0</x:v>
      </x:c>
      <x:c r="I148" s="9" t="n">
        <x:v>0.412012562571476</x:v>
      </x:c>
      <x:c r="J148" s="9" t="n">
        <x:v>0.412012562060617</x:v>
      </x:c>
      <x:c r="K148" s="9" t="n">
        <x:v>0.412012562571476</x:v>
      </x:c>
      <x:c r="L148" s="9" t="n">
        <x:v>0</x:v>
      </x:c>
      <x:c r="M148" s="10" t="n">
        <x:f>(K148-I148)/I148</x:f>
        <x:v>0</x:v>
      </x:c>
      <x:c r="N148" s="11" t="n">
        <x:v>0</x:v>
      </x:c>
      <x:c r="O148" s="11" t="n">
        <x:v>0</x:v>
      </x:c>
    </x:row>
    <x:row r="149" ht="22" customHeight="1">
      <x:c r="A149" s="4" t="str">
        <x:v>SocialGood</x:v>
      </x:c>
      <x:c r="B149" s="4" t="n">
        <x:v>6</x:v>
      </x:c>
      <x:c r="C149" s="4" t="str">
        <x:v>CFA</x:v>
      </x:c>
      <x:c r="D149" s="9" t="n">
        <x:v>0.994255061264744</x:v>
      </x:c>
      <x:c r="E149" s="9" t="n">
        <x:v>0.994255049684048</x:v>
      </x:c>
      <x:c r="F149" s="9" t="n">
        <x:v>0.994255061335571</x:v>
      </x:c>
      <x:c r="G149" s="9" t="n">
        <x:v>6.1338e-11</x:v>
      </x:c>
      <x:c r="H149" s="10" t="n">
        <x:f>(F149-D149)/D149</x:f>
        <x:v>7.123625886578201e-11</x:v>
      </x:c>
      <x:c r="I149" s="9" t="n">
        <x:v>0.403462932802206</x:v>
      </x:c>
      <x:c r="J149" s="9" t="n">
        <x:v>0.403462932055712</x:v>
      </x:c>
      <x:c r="K149" s="9" t="n">
        <x:v>0.403462932847217</x:v>
      </x:c>
      <x:c r="L149" s="9" t="n">
        <x:v>3.8981e-11</x:v>
      </x:c>
      <x:c r="M149" s="10" t="n">
        <x:f>(K149-I149)/I149</x:f>
        <x:v>1.1156166098987514e-10</x:v>
      </x:c>
      <x:c r="N149" s="11" t="n">
        <x:v>0</x:v>
      </x:c>
      <x:c r="O149" s="11" t="n">
        <x:v>0</x:v>
      </x:c>
    </x:row>
    <x:row r="150" ht="22" customHeight="1">
      <x:c r="A150" s="4" t="str">
        <x:v>SocialGood</x:v>
      </x:c>
      <x:c r="B150" s="4" t="n">
        <x:v>6</x:v>
      </x:c>
      <x:c r="C150" s="4" t="str">
        <x:v>Aurora</x:v>
      </x:c>
      <x:c r="D150" s="9" t="n">
        <x:v>1.676830396117141</x:v>
      </x:c>
      <x:c r="E150" s="9" t="n">
        <x:v>1.676830396490188</x:v>
      </x:c>
      <x:c r="F150" s="9" t="n">
        <x:v>1.676830396153848</x:v>
      </x:c>
      <x:c r="G150" s="9" t="n">
        <x:v>3.1789e-11</x:v>
      </x:c>
      <x:c r="H150" s="10" t="n">
        <x:f>(F150-D150)/D150</x:f>
        <x:v>2.1890754070045093e-11</x:v>
      </x:c>
      <x:c r="I150" s="9" t="n">
        <x:v>0.850057769059168</x:v>
      </x:c>
      <x:c r="J150" s="9" t="n">
        <x:v>0.850057769968732</x:v>
      </x:c>
      <x:c r="K150" s="9" t="n">
        <x:v>0.850057769086683</x:v>
      </x:c>
      <x:c r="L150" s="9" t="n">
        <x:v>2.3829e-11</x:v>
      </x:c>
      <x:c r="M150" s="10" t="n">
        <x:f>(K150-I150)/I150</x:f>
        <x:v>3.236837693589443e-11</x:v>
      </x:c>
      <x:c r="N150" s="11" t="n">
        <x:v>0</x:v>
      </x:c>
      <x:c r="O150" s="11" t="n">
        <x:v>0</x:v>
      </x:c>
    </x:row>
    <x:row r="151" ht="22" customHeight="1">
      <x:c r="A151" s="4" t="str">
        <x:v>SocialGood</x:v>
      </x:c>
      <x:c r="B151" s="4" t="n">
        <x:v>8</x:v>
      </x:c>
      <x:c r="C151" s="4" t="str">
        <x:v>TaTS</x:v>
      </x:c>
      <x:c r="D151" s="9" t="n">
        <x:v>1.162219106256675</x:v>
      </x:c>
      <x:c r="E151" s="9" t="n">
        <x:v>1.162219097543434</x:v>
      </x:c>
      <x:c r="F151" s="9" t="n">
        <x:v>1.119536851802468</x:v>
      </x:c>
      <x:c r="G151" s="9" t="n">
        <x:v>0.073927833296269</x:v>
      </x:c>
      <x:c r="H151" s="10" t="n">
        <x:f>(F151-D151)/D151</x:f>
        <x:v>-0.03672479158571034</x:v>
      </x:c>
      <x:c r="I151" s="9" t="n">
        <x:v>0.684051583226966</x:v>
      </x:c>
      <x:c r="J151" s="9" t="n">
        <x:v>0.684051582091406</x:v>
      </x:c>
      <x:c r="K151" s="9" t="n">
        <x:v>0.66169234348205</x:v>
      </x:c>
      <x:c r="L151" s="9" t="n">
        <x:v>0.038727339256807</x:v>
      </x:c>
      <x:c r="M151" s="10" t="n">
        <x:f>(K151-I151)/I151</x:f>
        <x:v>-0.03268648197470413</x:v>
      </x:c>
      <x:c r="N151" s="11" t="n">
        <x:v>1</x:v>
      </x:c>
      <x:c r="O151" s="11" t="n">
        <x:v>1</x:v>
      </x:c>
    </x:row>
    <x:row r="152" ht="22" customHeight="1">
      <x:c r="A152" s="4" t="str">
        <x:v>SocialGood</x:v>
      </x:c>
      <x:c r="B152" s="4" t="n">
        <x:v>8</x:v>
      </x:c>
      <x:c r="C152" s="4" t="str">
        <x:v>MM-TSFlib</x:v>
      </x:c>
      <x:c r="D152" s="9" t="n">
        <x:v>0.845313280627705</x:v>
      </x:c>
      <x:c r="E152" s="9" t="n">
        <x:v>0.845313289759198</x:v>
      </x:c>
      <x:c r="F152" s="9" t="n">
        <x:v>0.845313280627705</x:v>
      </x:c>
      <x:c r="G152" s="9" t="n">
        <x:v>0</x:v>
      </x:c>
      <x:c r="H152" s="10" t="n">
        <x:f>(F152-D152)/D152</x:f>
        <x:v>0</x:v>
      </x:c>
      <x:c r="I152" s="9" t="n">
        <x:v>0.472761638315663</x:v>
      </x:c>
      <x:c r="J152" s="9" t="n">
        <x:v>0.472761639644397</x:v>
      </x:c>
      <x:c r="K152" s="9" t="n">
        <x:v>0.472761638315663</x:v>
      </x:c>
      <x:c r="L152" s="9" t="n">
        <x:v>0</x:v>
      </x:c>
      <x:c r="M152" s="10" t="n">
        <x:f>(K152-I152)/I152</x:f>
        <x:v>0</x:v>
      </x:c>
      <x:c r="N152" s="11" t="n">
        <x:v>0</x:v>
      </x:c>
      <x:c r="O152" s="11" t="n">
        <x:v>0</x:v>
      </x:c>
    </x:row>
    <x:row r="153" ht="22" customHeight="1">
      <x:c r="A153" s="4" t="str">
        <x:v>SocialGood</x:v>
      </x:c>
      <x:c r="B153" s="4" t="n">
        <x:v>8</x:v>
      </x:c>
      <x:c r="C153" s="4" t="str">
        <x:v>SpecTF</x:v>
      </x:c>
      <x:c r="D153" s="9" t="n">
        <x:v>1.095261793206274</x:v>
      </x:c>
      <x:c r="E153" s="9" t="n">
        <x:v>1.095261796204438</x:v>
      </x:c>
      <x:c r="F153" s="9" t="n">
        <x:v>1.095261793244049</x:v>
      </x:c>
      <x:c r="G153" s="9" t="n">
        <x:v>3.2714e-11</x:v>
      </x:c>
      <x:c r="H153" s="10" t="n">
        <x:f>(F153-D153)/D153</x:f>
        <x:v>3.448937464811834e-11</x:v>
      </x:c>
      <x:c r="I153" s="9" t="n">
        <x:v>0.446760548192314</x:v>
      </x:c>
      <x:c r="J153" s="9" t="n">
        <x:v>0.446760548747074</x:v>
      </x:c>
      <x:c r="K153" s="9" t="n">
        <x:v>0.44676054821722</x:v>
      </x:c>
      <x:c r="L153" s="9" t="n">
        <x:v>2.1569e-11</x:v>
      </x:c>
      <x:c r="M153" s="10" t="n">
        <x:f>(K153-I153)/I153</x:f>
        <x:v>5.574803278904034e-11</x:v>
      </x:c>
      <x:c r="N153" s="11" t="n">
        <x:v>0</x:v>
      </x:c>
      <x:c r="O153" s="11" t="n">
        <x:v>0</x:v>
      </x:c>
    </x:row>
    <x:row r="154" ht="22" customHeight="1">
      <x:c r="A154" s="4" t="str">
        <x:v>SocialGood</x:v>
      </x:c>
      <x:c r="B154" s="4" t="n">
        <x:v>8</x:v>
      </x:c>
      <x:c r="C154" s="4" t="str">
        <x:v>CFA</x:v>
      </x:c>
      <x:c r="D154" s="9" t="n">
        <x:v>0.898235174273589</x:v>
      </x:c>
      <x:c r="E154" s="9" t="n">
        <x:v>0.89823517771868</x:v>
      </x:c>
      <x:c r="F154" s="9" t="n">
        <x:v>0.898235174273589</x:v>
      </x:c>
      <x:c r="G154" s="9" t="n">
        <x:v>0</x:v>
      </x:c>
      <x:c r="H154" s="10" t="n">
        <x:f>(F154-D154)/D154</x:f>
        <x:v>0</x:v>
      </x:c>
      <x:c r="I154" s="9" t="n">
        <x:v>0.405770752175945</x:v>
      </x:c>
      <x:c r="J154" s="9" t="n">
        <x:v>0.405770752442816</x:v>
      </x:c>
      <x:c r="K154" s="9" t="n">
        <x:v>0.405770752175945</x:v>
      </x:c>
      <x:c r="L154" s="9" t="n">
        <x:v>0</x:v>
      </x:c>
      <x:c r="M154" s="10" t="n">
        <x:f>(K154-I154)/I154</x:f>
        <x:v>0</x:v>
      </x:c>
      <x:c r="N154" s="11" t="n">
        <x:v>0</x:v>
      </x:c>
      <x:c r="O154" s="11" t="n">
        <x:v>0</x:v>
      </x:c>
    </x:row>
    <x:row r="155" ht="22" customHeight="1">
      <x:c r="A155" s="4" t="str">
        <x:v>SocialGood</x:v>
      </x:c>
      <x:c r="B155" s="4" t="n">
        <x:v>8</x:v>
      </x:c>
      <x:c r="C155" s="4" t="str">
        <x:v>Aurora</x:v>
      </x:c>
      <x:c r="D155" s="9" t="n">
        <x:v>1.787518923563987</x:v>
      </x:c>
      <x:c r="E155" s="9" t="n">
        <x:v>1.787518929543017</x:v>
      </x:c>
      <x:c r="F155" s="9" t="n">
        <x:v>1.722870494383728</x:v>
      </x:c>
      <x:c r="G155" s="9" t="n">
        <x:v>0.111974363969726</x:v>
      </x:c>
      <x:c r="H155" s="10" t="n">
        <x:f>(F155-D155)/D155</x:f>
        <x:v>-0.036166570506208535</x:v>
      </x:c>
      <x:c r="I155" s="9" t="n">
        <x:v>0.886928983370291</x:v>
      </x:c>
      <x:c r="J155" s="9" t="n">
        <x:v>0.886928985554355</x:v>
      </x:c>
      <x:c r="K155" s="9" t="n">
        <x:v>0.856047245487696</x:v>
      </x:c>
      <x:c r="L155" s="9" t="n">
        <x:v>0.053488739038679</x:v>
      </x:c>
      <x:c r="M155" s="10" t="n">
        <x:f>(K155-I155)/I155</x:f>
        <x:v>-0.034818726709376246</x:v>
      </x:c>
      <x:c r="N155" s="11" t="n">
        <x:v>1</x:v>
      </x:c>
      <x:c r="O155" s="11" t="n">
        <x:v>1</x:v>
      </x:c>
    </x:row>
    <x:row r="156" ht="22" customHeight="1">
      <x:c r="A156" s="4" t="str">
        <x:v>SocialGood</x:v>
      </x:c>
      <x:c r="B156" s="4" t="n">
        <x:v>10</x:v>
      </x:c>
      <x:c r="C156" s="4" t="str">
        <x:v>TaTS</x:v>
      </x:c>
      <x:c r="D156" s="9" t="n">
        <x:v>1.2931527146675</x:v>
      </x:c>
      <x:c r="E156" s="9" t="n">
        <x:v>1.293152702071202</x:v>
      </x:c>
      <x:c r="F156" s="9" t="n">
        <x:v>1.189163738004426</x:v>
      </x:c>
      <x:c r="G156" s="9" t="n">
        <x:v>0.095466041422694</x:v>
      </x:c>
      <x:c r="H156" s="10" t="n">
        <x:f>(F156-D156)/D156</x:f>
        <x:v>-0.08041507819114153</x:v>
      </x:c>
      <x:c r="I156" s="9" t="n">
        <x:v>0.738979146293414</x:v>
      </x:c>
      <x:c r="J156" s="9" t="n">
        <x:v>0.738979145236446</x:v>
      </x:c>
      <x:c r="K156" s="9" t="n">
        <x:v>0.689961019433168</x:v>
      </x:c>
      <x:c r="L156" s="9" t="n">
        <x:v>0.045457209621615</x:v>
      </x:c>
      <x:c r="M156" s="10" t="n">
        <x:f>(K156-I156)/I156</x:f>
        <x:v>-0.06633221939497488</x:v>
      </x:c>
      <x:c r="N156" s="11" t="n">
        <x:v>2</x:v>
      </x:c>
      <x:c r="O156" s="11" t="n">
        <x:v>2</x:v>
      </x:c>
    </x:row>
    <x:row r="157" ht="22" customHeight="1">
      <x:c r="A157" s="4" t="str">
        <x:v>SocialGood</x:v>
      </x:c>
      <x:c r="B157" s="4" t="n">
        <x:v>10</x:v>
      </x:c>
      <x:c r="C157" s="4" t="str">
        <x:v>MM-TSFlib</x:v>
      </x:c>
      <x:c r="D157" s="9" t="n">
        <x:v>0.873862474943461</x:v>
      </x:c>
      <x:c r="E157" s="9" t="n">
        <x:v>0.873862477082536</x:v>
      </x:c>
      <x:c r="F157" s="9" t="n">
        <x:v>0.873862474943461</x:v>
      </x:c>
      <x:c r="G157" s="9" t="n">
        <x:v>0</x:v>
      </x:c>
      <x:c r="H157" s="10" t="n">
        <x:f>(F157-D157)/D157</x:f>
        <x:v>0</x:v>
      </x:c>
      <x:c r="I157" s="9" t="n">
        <x:v>0.494262819998269</x:v>
      </x:c>
      <x:c r="J157" s="9" t="n">
        <x:v>0.494262819963138</x:v>
      </x:c>
      <x:c r="K157" s="9" t="n">
        <x:v>0.494262819998269</x:v>
      </x:c>
      <x:c r="L157" s="9" t="n">
        <x:v>6.79869977755259e-17</x:v>
      </x:c>
      <x:c r="M157" s="10" t="n">
        <x:f>(K157-I157)/I157</x:f>
        <x:v>0</x:v>
      </x:c>
      <x:c r="N157" s="11" t="n">
        <x:v>0</x:v>
      </x:c>
      <x:c r="O157" s="11" t="n">
        <x:v>0</x:v>
      </x:c>
    </x:row>
    <x:row r="158" ht="22" customHeight="1">
      <x:c r="A158" s="4" t="str">
        <x:v>SocialGood</x:v>
      </x:c>
      <x:c r="B158" s="4" t="n">
        <x:v>10</x:v>
      </x:c>
      <x:c r="C158" s="4" t="str">
        <x:v>SpecTF</x:v>
      </x:c>
      <x:c r="D158" s="9" t="n">
        <x:v>1.397332776060035</x:v>
      </x:c>
      <x:c r="E158" s="9" t="n">
        <x:v>1.397332768674239</x:v>
      </x:c>
      <x:c r="F158" s="9" t="n">
        <x:v>1.397332776055737</x:v>
      </x:c>
      <x:c r="G158" s="9" t="n">
        <x:v>7.445e-12</x:v>
      </x:c>
      <x:c r="H158" s="10" t="n">
        <x:f>(F158-D158)/D158</x:f>
        <x:v>-3.07578512904234e-12</x:v>
      </x:c>
      <x:c r="I158" s="9" t="n">
        <x:v>0.529995060401842</x:v>
      </x:c>
      <x:c r="J158" s="9" t="n">
        <x:v>0.529995059785185</x:v>
      </x:c>
      <x:c r="K158" s="9" t="n">
        <x:v>0.529995060398857</x:v>
      </x:c>
      <x:c r="L158" s="9" t="n">
        <x:v>5.17e-12</x:v>
      </x:c>
      <x:c r="M158" s="10" t="n">
        <x:f>(K158-I158)/I158</x:f>
        <x:v>-5.6320253659421125e-12</x:v>
      </x:c>
      <x:c r="N158" s="11" t="n">
        <x:v>0</x:v>
      </x:c>
      <x:c r="O158" s="11" t="n">
        <x:v>0</x:v>
      </x:c>
    </x:row>
    <x:row r="159" ht="22" customHeight="1">
      <x:c r="A159" s="4" t="str">
        <x:v>SocialGood</x:v>
      </x:c>
      <x:c r="B159" s="4" t="n">
        <x:v>10</x:v>
      </x:c>
      <x:c r="C159" s="4" t="str">
        <x:v>CFA</x:v>
      </x:c>
      <x:c r="D159" s="9" t="n">
        <x:v>0.986262956084787</x:v>
      </x:c>
      <x:c r="E159" s="9" t="n">
        <x:v>0.986262958534131</x:v>
      </x:c>
      <x:c r="F159" s="9" t="n">
        <x:v>0.986262956066582</x:v>
      </x:c>
      <x:c r="G159" s="9" t="n">
        <x:v>3.1532e-11</x:v>
      </x:c>
      <x:c r="H159" s="10" t="n">
        <x:f>(F159-D159)/D159</x:f>
        <x:v>-1.8458559105639186e-11</x:v>
      </x:c>
      <x:c r="I159" s="9" t="n">
        <x:v>0.448480175912777</x:v>
      </x:c>
      <x:c r="J159" s="9" t="n">
        <x:v>0.448480176187214</x:v>
      </x:c>
      <x:c r="K159" s="9" t="n">
        <x:v>0.448480175899276</x:v>
      </x:c>
      <x:c r="L159" s="9" t="n">
        <x:v>2.3385e-11</x:v>
      </x:c>
      <x:c r="M159" s="10" t="n">
        <x:f>(K159-I159)/I159</x:f>
        <x:v>-3.0103845918670945e-11</x:v>
      </x:c>
      <x:c r="N159" s="11" t="n">
        <x:v>0</x:v>
      </x:c>
      <x:c r="O159" s="11" t="n">
        <x:v>0</x:v>
      </x:c>
    </x:row>
    <x:row r="160" ht="22" customHeight="1">
      <x:c r="A160" s="4" t="str">
        <x:v>SocialGood</x:v>
      </x:c>
      <x:c r="B160" s="4" t="n">
        <x:v>10</x:v>
      </x:c>
      <x:c r="C160" s="4" t="str">
        <x:v>Aurora</x:v>
      </x:c>
      <x:c r="D160" s="9" t="n">
        <x:v>1.845812298898667</x:v>
      </x:c>
      <x:c r="E160" s="9" t="n">
        <x:v>1.845812310573186</x:v>
      </x:c>
      <x:c r="F160" s="9" t="n">
        <x:v>1.743569338943361</x:v>
      </x:c>
      <x:c r="G160" s="9" t="n">
        <x:v>0.17709000135882</x:v>
      </x:c>
      <x:c r="H160" s="10" t="n">
        <x:f>(F160-D160)/D160</x:f>
        <x:v>-0.0553918510654148</x:v>
      </x:c>
      <x:c r="I160" s="9" t="n">
        <x:v>0.911657756299108</x:v>
      </x:c>
      <x:c r="J160" s="9" t="n">
        <x:v>0.911657758396582</x:v>
      </x:c>
      <x:c r="K160" s="9" t="n">
        <x:v>0.866178271571161</x:v>
      </x:c>
      <x:c r="L160" s="9" t="n">
        <x:v>0.078772778250857</x:v>
      </x:c>
      <x:c r="M160" s="10" t="n">
        <x:f>(K160-I160)/I160</x:f>
        <x:v>-0.04988657685815319</x:v>
      </x:c>
      <x:c r="N160" s="11" t="n">
        <x:v>1</x:v>
      </x:c>
      <x:c r="O160" s="11" t="n">
        <x:v>1</x:v>
      </x:c>
    </x:row>
    <x:row r="161" ht="22" customHeight="1">
      <x:c r="A161" s="4" t="str">
        <x:v>SocialGood</x:v>
      </x:c>
      <x:c r="B161" s="4" t="n">
        <x:v>12</x:v>
      </x:c>
      <x:c r="C161" s="4" t="str">
        <x:v>TaTS</x:v>
      </x:c>
      <x:c r="D161" s="9" t="n">
        <x:v>1.322838435281429</x:v>
      </x:c>
      <x:c r="E161" s="9" t="n">
        <x:v>1.322838437066432</x:v>
      </x:c>
      <x:c r="F161" s="9" t="n">
        <x:v>1.322838435281429</x:v>
      </x:c>
      <x:c r="G161" s="9" t="n">
        <x:v>0</x:v>
      </x:c>
      <x:c r="H161" s="10" t="n">
        <x:f>(F161-D161)/D161</x:f>
        <x:v>0</x:v>
      </x:c>
      <x:c r="I161" s="9" t="n">
        <x:v>0.710868656681758</x:v>
      </x:c>
      <x:c r="J161" s="9" t="n">
        <x:v>0.710868656619484</x:v>
      </x:c>
      <x:c r="K161" s="9" t="n">
        <x:v>0.710868656681758</x:v>
      </x:c>
      <x:c r="L161" s="9" t="n">
        <x:v>0</x:v>
      </x:c>
      <x:c r="M161" s="10" t="n">
        <x:f>(K161-I161)/I161</x:f>
        <x:v>0</x:v>
      </x:c>
      <x:c r="N161" s="11" t="n">
        <x:v>0</x:v>
      </x:c>
      <x:c r="O161" s="11" t="n">
        <x:v>0</x:v>
      </x:c>
    </x:row>
    <x:row r="162" ht="22" customHeight="1">
      <x:c r="A162" s="4" t="str">
        <x:v>SocialGood</x:v>
      </x:c>
      <x:c r="B162" s="4" t="n">
        <x:v>12</x:v>
      </x:c>
      <x:c r="C162" s="4" t="str">
        <x:v>MM-TSFlib</x:v>
      </x:c>
      <x:c r="D162" s="9" t="n">
        <x:v>0.959502969792098</x:v>
      </x:c>
      <x:c r="E162" s="9" t="n">
        <x:v>0.95950297205299</x:v>
      </x:c>
      <x:c r="F162" s="9" t="n">
        <x:v>0.959403889090696</x:v>
      </x:c>
      <x:c r="G162" s="9" t="n">
        <x:v>0.000171613304197</x:v>
      </x:c>
      <x:c r="H162" s="10" t="n">
        <x:f>(F162-D162)/D162</x:f>
        <x:v>-0.00010326252708060422</x:v>
      </x:c>
      <x:c r="I162" s="9" t="n">
        <x:v>0.539042540856924</x:v>
      </x:c>
      <x:c r="J162" s="9" t="n">
        <x:v>0.539042541634537</x:v>
      </x:c>
      <x:c r="K162" s="9" t="n">
        <x:v>0.539588933951115</x:v>
      </x:c>
      <x:c r="L162" s="9" t="n">
        <x:v>0.000946380394935</x:v>
      </x:c>
      <x:c r="M162" s="10" t="n">
        <x:f>(K162-I162)/I162</x:f>
        <x:v>0.0010136363139768188</x:v>
      </x:c>
      <x:c r="N162" s="11" t="n">
        <x:v>1</x:v>
      </x:c>
      <x:c r="O162" s="11" t="n">
        <x:v>0</x:v>
      </x:c>
    </x:row>
    <x:row r="163" ht="22" customHeight="1">
      <x:c r="A163" s="4" t="str">
        <x:v>SocialGood</x:v>
      </x:c>
      <x:c r="B163" s="4" t="n">
        <x:v>12</x:v>
      </x:c>
      <x:c r="C163" s="4" t="str">
        <x:v>SpecTF</x:v>
      </x:c>
      <x:c r="D163" s="9" t="n">
        <x:v>1.302310829209715</x:v>
      </x:c>
      <x:c r="E163" s="9" t="n">
        <x:v>1.302310813892406</x:v>
      </x:c>
      <x:c r="F163" s="9" t="n">
        <x:v>1.302310829209715</x:v>
      </x:c>
      <x:c r="G163" s="9" t="n">
        <x:v>0</x:v>
      </x:c>
      <x:c r="H163" s="10" t="n">
        <x:f>(F163-D163)/D163</x:f>
        <x:v>0</x:v>
      </x:c>
      <x:c r="I163" s="9" t="n">
        <x:v>0.559672231917124</x:v>
      </x:c>
      <x:c r="J163" s="9" t="n">
        <x:v>0.559672230915975</x:v>
      </x:c>
      <x:c r="K163" s="9" t="n">
        <x:v>0.559672231917124</x:v>
      </x:c>
      <x:c r="L163" s="9" t="n">
        <x:v>0</x:v>
      </x:c>
      <x:c r="M163" s="10" t="n">
        <x:f>(K163-I163)/I163</x:f>
        <x:v>0</x:v>
      </x:c>
      <x:c r="N163" s="11" t="n">
        <x:v>0</x:v>
      </x:c>
      <x:c r="O163" s="11" t="n">
        <x:v>0</x:v>
      </x:c>
    </x:row>
    <x:row r="164" ht="22" customHeight="1">
      <x:c r="A164" s="4" t="str">
        <x:v>SocialGood</x:v>
      </x:c>
      <x:c r="B164" s="4" t="n">
        <x:v>12</x:v>
      </x:c>
      <x:c r="C164" s="4" t="str">
        <x:v>CFA</x:v>
      </x:c>
      <x:c r="D164" s="9" t="n">
        <x:v>1.142629104710975</x:v>
      </x:c>
      <x:c r="E164" s="9" t="n">
        <x:v>1.142629090253084</x:v>
      </x:c>
      <x:c r="F164" s="9" t="n">
        <x:v>1.142629104748964</x:v>
      </x:c>
      <x:c r="G164" s="9" t="n">
        <x:v>3.29e-11</x:v>
      </x:c>
      <x:c r="H164" s="10" t="n">
        <x:f>(F164-D164)/D164</x:f>
        <x:v>3.3247155363702223e-11</x:v>
      </x:c>
      <x:c r="I164" s="9" t="n">
        <x:v>0.494639030891934</x:v>
      </x:c>
      <x:c r="J164" s="9" t="n">
        <x:v>0.494639029911349</x:v>
      </x:c>
      <x:c r="K164" s="9" t="n">
        <x:v>0.494639030902467</x:v>
      </x:c>
      <x:c r="L164" s="9" t="n">
        <x:v>9.123e-12</x:v>
      </x:c>
      <x:c r="M164" s="10" t="n">
        <x:f>(K164-I164)/I164</x:f>
        <x:v>2.129435455696468e-11</x:v>
      </x:c>
      <x:c r="N164" s="11" t="n">
        <x:v>0</x:v>
      </x:c>
      <x:c r="O164" s="11" t="n">
        <x:v>0</x:v>
      </x:c>
    </x:row>
    <x:row r="165" ht="22" customHeight="1">
      <x:c r="A165" s="4" t="str">
        <x:v>SocialGood</x:v>
      </x:c>
      <x:c r="B165" s="4" t="n">
        <x:v>12</x:v>
      </x:c>
      <x:c r="C165" s="4" t="str">
        <x:v>Aurora</x:v>
      </x:c>
      <x:c r="D165" s="9" t="n">
        <x:v>1.875486889792586</x:v>
      </x:c>
      <x:c r="E165" s="9" t="n">
        <x:v>1.87548689678394</x:v>
      </x:c>
      <x:c r="F165" s="9" t="n">
        <x:v>1.875486889792586</x:v>
      </x:c>
      <x:c r="G165" s="9" t="n">
        <x:v>0</x:v>
      </x:c>
      <x:c r="H165" s="10" t="n">
        <x:f>(F165-D165)/D165</x:f>
        <x:v>0</x:v>
      </x:c>
      <x:c r="I165" s="9" t="n">
        <x:v>0.926477648442188</x:v>
      </x:c>
      <x:c r="J165" s="9" t="n">
        <x:v>0.926477650321738</x:v>
      </x:c>
      <x:c r="K165" s="9" t="n">
        <x:v>0.926477648442188</x:v>
      </x:c>
      <x:c r="L165" s="9" t="n">
        <x:v>0</x:v>
      </x:c>
      <x:c r="M165" s="10" t="n">
        <x:f>(K165-I165)/I165</x:f>
        <x:v>0</x:v>
      </x:c>
      <x:c r="N165" s="11" t="n">
        <x:v>0</x:v>
      </x:c>
      <x:c r="O165" s="11" t="n">
        <x:v>0</x:v>
      </x:c>
    </x:row>
    <x:row r="166" ht="22" customHeight="1">
      <x:c r="A166" s="4" t="str">
        <x:v>Traffic</x:v>
      </x:c>
      <x:c r="B166" s="4" t="n">
        <x:v>6</x:v>
      </x:c>
      <x:c r="C166" s="4" t="str">
        <x:v>TaTS</x:v>
      </x:c>
      <x:c r="D166" s="9" t="n">
        <x:v>0.247233890009521</x:v>
      </x:c>
      <x:c r="E166" s="9" t="n">
        <x:v>0.247233890091207</x:v>
      </x:c>
      <x:c r="F166" s="9" t="n">
        <x:v>0.247233890009521</x:v>
      </x:c>
      <x:c r="G166" s="9" t="n">
        <x:v>0</x:v>
      </x:c>
      <x:c r="H166" s="10" t="n">
        <x:f>(F166-D166)/D166</x:f>
        <x:v>0</x:v>
      </x:c>
      <x:c r="I166" s="9" t="n">
        <x:v>0.287077183082159</x:v>
      </x:c>
      <x:c r="J166" s="9" t="n">
        <x:v>0.287077183278874</x:v>
      </x:c>
      <x:c r="K166" s="9" t="n">
        <x:v>0.287077183082159</x:v>
      </x:c>
      <x:c r="L166" s="9" t="n">
        <x:v>0</x:v>
      </x:c>
      <x:c r="M166" s="10" t="n">
        <x:f>(K166-I166)/I166</x:f>
        <x:v>0</x:v>
      </x:c>
      <x:c r="N166" s="11" t="n">
        <x:v>0</x:v>
      </x:c>
      <x:c r="O166" s="11" t="n">
        <x:v>0</x:v>
      </x:c>
    </x:row>
    <x:row r="167" ht="22" customHeight="1">
      <x:c r="A167" s="4" t="str">
        <x:v>Traffic</x:v>
      </x:c>
      <x:c r="B167" s="4" t="n">
        <x:v>6</x:v>
      </x:c>
      <x:c r="C167" s="4" t="str">
        <x:v>MM-TSFlib</x:v>
      </x:c>
      <x:c r="D167" s="9" t="n">
        <x:v>0.151841778430256</x:v>
      </x:c>
      <x:c r="E167" s="9" t="n">
        <x:v>0.151841778716116</x:v>
      </x:c>
      <x:c r="F167" s="9" t="n">
        <x:v>0.151841778430256</x:v>
      </x:c>
      <x:c r="G167" s="9" t="n">
        <x:v>0</x:v>
      </x:c>
      <x:c r="H167" s="10" t="n">
        <x:f>(F167-D167)/D167</x:f>
        <x:v>0</x:v>
      </x:c>
      <x:c r="I167" s="9" t="n">
        <x:v>0.28896934094012</x:v>
      </x:c>
      <x:c r="J167" s="9" t="n">
        <x:v>0.288969341186014</x:v>
      </x:c>
      <x:c r="K167" s="9" t="n">
        <x:v>0.28896934094012</x:v>
      </x:c>
      <x:c r="L167" s="9" t="n">
        <x:v>0</x:v>
      </x:c>
      <x:c r="M167" s="10" t="n">
        <x:f>(K167-I167)/I167</x:f>
        <x:v>0</x:v>
      </x:c>
      <x:c r="N167" s="11" t="n">
        <x:v>0</x:v>
      </x:c>
      <x:c r="O167" s="11" t="n">
        <x:v>0</x:v>
      </x:c>
    </x:row>
    <x:row r="168" ht="22" customHeight="1">
      <x:c r="A168" s="4" t="str">
        <x:v>Traffic</x:v>
      </x:c>
      <x:c r="B168" s="4" t="n">
        <x:v>6</x:v>
      </x:c>
      <x:c r="C168" s="4" t="str">
        <x:v>SpecTF</x:v>
      </x:c>
      <x:c r="D168" s="9" t="n">
        <x:v>0.167578483388381</x:v>
      </x:c>
      <x:c r="E168" s="9" t="n">
        <x:v>0.167578484770259</x:v>
      </x:c>
      <x:c r="F168" s="9" t="n">
        <x:v>0.167578483388381</x:v>
      </x:c>
      <x:c r="G168" s="9" t="n">
        <x:v>0</x:v>
      </x:c>
      <x:c r="H168" s="10" t="n">
        <x:f>(F168-D168)/D168</x:f>
        <x:v>0</x:v>
      </x:c>
      <x:c r="I168" s="9" t="n">
        <x:v>0.231992374650716</x:v>
      </x:c>
      <x:c r="J168" s="9" t="n">
        <x:v>0.231992375044146</x:v>
      </x:c>
      <x:c r="K168" s="9" t="n">
        <x:v>0.231992374650716</x:v>
      </x:c>
      <x:c r="L168" s="9" t="n">
        <x:v>0</x:v>
      </x:c>
      <x:c r="M168" s="10" t="n">
        <x:f>(K168-I168)/I168</x:f>
        <x:v>0</x:v>
      </x:c>
      <x:c r="N168" s="11" t="n">
        <x:v>0</x:v>
      </x:c>
      <x:c r="O168" s="11" t="n">
        <x:v>0</x:v>
      </x:c>
    </x:row>
    <x:row r="169" ht="22" customHeight="1">
      <x:c r="A169" s="4" t="str">
        <x:v>Traffic</x:v>
      </x:c>
      <x:c r="B169" s="4" t="n">
        <x:v>6</x:v>
      </x:c>
      <x:c r="C169" s="4" t="str">
        <x:v>CFA</x:v>
      </x:c>
      <x:c r="D169" s="9" t="n">
        <x:v>0.15811983108467</x:v>
      </x:c>
      <x:c r="E169" s="9" t="n">
        <x:v>0.158119829926644</x:v>
      </x:c>
      <x:c r="F169" s="9" t="n">
        <x:v>0.156256215500814</x:v>
      </x:c>
      <x:c r="G169" s="9" t="n">
        <x:v>0.000230158724881</x:v>
      </x:c>
      <x:c r="H169" s="10" t="n">
        <x:f>(F169-D169)/D169</x:f>
        <x:v>-0.01178609647551467</x:v>
      </x:c>
      <x:c r="I169" s="9" t="n">
        <x:v>0.211111523924094</x:v>
      </x:c>
      <x:c r="J169" s="9" t="n">
        <x:v>0.211111523727379</x:v>
      </x:c>
      <x:c r="K169" s="9" t="n">
        <x:v>0.207561233305302</x:v>
      </x:c>
      <x:c r="L169" s="9" t="n">
        <x:v>0.000515871549024</x:v>
      </x:c>
      <x:c r="M169" s="10" t="n">
        <x:f>(K169-I169)/I169</x:f>
        <x:v>-0.016817133204289327</x:v>
      </x:c>
      <x:c r="N169" s="11" t="n">
        <x:v>3</x:v>
      </x:c>
      <x:c r="O169" s="11" t="n">
        <x:v>3</x:v>
      </x:c>
    </x:row>
    <x:row r="170" ht="22" customHeight="1">
      <x:c r="A170" s="4" t="str">
        <x:v>Traffic</x:v>
      </x:c>
      <x:c r="B170" s="4" t="n">
        <x:v>6</x:v>
      </x:c>
      <x:c r="C170" s="4" t="str">
        <x:v>Aurora</x:v>
      </x:c>
      <x:c r="D170" s="9" t="n">
        <x:v>0.15602859012632</x:v>
      </x:c>
      <x:c r="E170" s="9" t="n">
        <x:v>0.15602859236252</x:v>
      </x:c>
      <x:c r="F170" s="9" t="n">
        <x:v>0.15602859012632</x:v>
      </x:c>
      <x:c r="G170" s="9" t="n">
        <x:v>0</x:v>
      </x:c>
      <x:c r="H170" s="10" t="n">
        <x:f>(F170-D170)/D170</x:f>
        <x:v>0</x:v>
      </x:c>
      <x:c r="I170" s="9" t="n">
        <x:v>0.235064940975838</x:v>
      </x:c>
      <x:c r="J170" s="9" t="n">
        <x:v>0.235064941565982</x:v>
      </x:c>
      <x:c r="K170" s="9" t="n">
        <x:v>0.235064940975838</x:v>
      </x:c>
      <x:c r="L170" s="9" t="n">
        <x:v>0</x:v>
      </x:c>
      <x:c r="M170" s="10" t="n">
        <x:f>(K170-I170)/I170</x:f>
        <x:v>0</x:v>
      </x:c>
      <x:c r="N170" s="11" t="n">
        <x:v>0</x:v>
      </x:c>
      <x:c r="O170" s="11" t="n">
        <x:v>0</x:v>
      </x:c>
    </x:row>
    <x:row r="171" ht="22" customHeight="1">
      <x:c r="A171" s="4" t="str">
        <x:v>Traffic</x:v>
      </x:c>
      <x:c r="B171" s="4" t="n">
        <x:v>8</x:v>
      </x:c>
      <x:c r="C171" s="4" t="str">
        <x:v>TaTS</x:v>
      </x:c>
      <x:c r="D171" s="9" t="n">
        <x:v>0.238763634659162</x:v>
      </x:c>
      <x:c r="E171" s="9" t="n">
        <x:v>0.238763634889145</x:v>
      </x:c>
      <x:c r="F171" s="9" t="n">
        <x:v>0.236782873106745</x:v>
      </x:c>
      <x:c r="G171" s="9" t="n">
        <x:v>0.001734340568793</x:v>
      </x:c>
      <x:c r="H171" s="10" t="n">
        <x:f>(F171-D171)/D171</x:f>
        <x:v>-0.008295909698495585</x:v>
      </x:c>
      <x:c r="I171" s="9" t="n">
        <x:v>0.284295906096396</x:v>
      </x:c>
      <x:c r="J171" s="9" t="n">
        <x:v>0.284295906698463</x:v>
      </x:c>
      <x:c r="K171" s="9" t="n">
        <x:v>0.283754777426672</x:v>
      </x:c>
      <x:c r="L171" s="9" t="n">
        <x:v>0.000478628225392</x:v>
      </x:c>
      <x:c r="M171" s="10" t="n">
        <x:f>(K171-I171)/I171</x:f>
        <x:v>-0.0019033994444525003</x:v>
      </x:c>
      <x:c r="N171" s="11" t="n">
        <x:v>2</x:v>
      </x:c>
      <x:c r="O171" s="11" t="n">
        <x:v>2</x:v>
      </x:c>
    </x:row>
    <x:row r="172" ht="22" customHeight="1">
      <x:c r="A172" s="4" t="str">
        <x:v>Traffic</x:v>
      </x:c>
      <x:c r="B172" s="4" t="n">
        <x:v>8</x:v>
      </x:c>
      <x:c r="C172" s="4" t="str">
        <x:v>MM-TSFlib</x:v>
      </x:c>
      <x:c r="D172" s="9" t="n">
        <x:v>0.158199172058899</x:v>
      </x:c>
      <x:c r="E172" s="9" t="n">
        <x:v>0.158199173948032</x:v>
      </x:c>
      <x:c r="F172" s="9" t="n">
        <x:v>0.158199172058899</x:v>
      </x:c>
      <x:c r="G172" s="9" t="n">
        <x:v>0</x:v>
      </x:c>
      <x:c r="H172" s="10" t="n">
        <x:f>(F172-D172)/D172</x:f>
        <x:v>0</x:v>
      </x:c>
      <x:c r="I172" s="9" t="n">
        <x:v>0.29109538162146</x:v>
      </x:c>
      <x:c r="J172" s="9" t="n">
        <x:v>0.291095382148268</x:v>
      </x:c>
      <x:c r="K172" s="9" t="n">
        <x:v>0.29109538162146</x:v>
      </x:c>
      <x:c r="L172" s="9" t="n">
        <x:v>0</x:v>
      </x:c>
      <x:c r="M172" s="10" t="n">
        <x:f>(K172-I172)/I172</x:f>
        <x:v>0</x:v>
      </x:c>
      <x:c r="N172" s="11" t="n">
        <x:v>0</x:v>
      </x:c>
      <x:c r="O172" s="11" t="n">
        <x:v>0</x:v>
      </x:c>
    </x:row>
    <x:row r="173" ht="22" customHeight="1">
      <x:c r="A173" s="4" t="str">
        <x:v>Traffic</x:v>
      </x:c>
      <x:c r="B173" s="4" t="n">
        <x:v>8</x:v>
      </x:c>
      <x:c r="C173" s="4" t="str">
        <x:v>SpecTF</x:v>
      </x:c>
      <x:c r="D173" s="9" t="n">
        <x:v>0.185909405642346</x:v>
      </x:c>
      <x:c r="E173" s="9" t="n">
        <x:v>0.185909403052948</x:v>
      </x:c>
      <x:c r="F173" s="9" t="n">
        <x:v>0.185785601287576</x:v>
      </x:c>
      <x:c r="G173" s="9" t="n">
        <x:v>0.000115476277785</x:v>
      </x:c>
      <x:c r="H173" s="10" t="n">
        <x:f>(F173-D173)/D173</x:f>
        <x:v>-0.0006659391672101416</x:v>
      </x:c>
      <x:c r="I173" s="9" t="n">
        <x:v>0.230404417618763</x:v>
      </x:c>
      <x:c r="J173" s="9" t="n">
        <x:v>0.230404417021106</x:v>
      </x:c>
      <x:c r="K173" s="9" t="n">
        <x:v>0.230200386493955</x:v>
      </x:c>
      <x:c r="L173" s="9" t="n">
        <x:v>0.000197162052406</x:v>
      </x:c>
      <x:c r="M173" s="10" t="n">
        <x:f>(K173-I173)/I173</x:f>
        <x:v>-0.0008855347780076728</x:v>
      </x:c>
      <x:c r="N173" s="11" t="n">
        <x:v>2</x:v>
      </x:c>
      <x:c r="O173" s="11" t="n">
        <x:v>2</x:v>
      </x:c>
    </x:row>
    <x:row r="174" ht="22" customHeight="1">
      <x:c r="A174" s="4" t="str">
        <x:v>Traffic</x:v>
      </x:c>
      <x:c r="B174" s="4" t="n">
        <x:v>8</x:v>
      </x:c>
      <x:c r="C174" s="4" t="str">
        <x:v>CFA</x:v>
      </x:c>
      <x:c r="D174" s="9" t="n">
        <x:v>0.159289326729014</x:v>
      </x:c>
      <x:c r="E174" s="9" t="n">
        <x:v>0.159289325803874</x:v>
      </x:c>
      <x:c r="F174" s="9" t="n">
        <x:v>0.159289326729014</x:v>
      </x:c>
      <x:c r="G174" s="9" t="n">
        <x:v>0</x:v>
      </x:c>
      <x:c r="H174" s="10" t="n">
        <x:f>(F174-D174)/D174</x:f>
        <x:v>0</x:v>
      </x:c>
      <x:c r="I174" s="9" t="n">
        <x:v>0.205688003036711</x:v>
      </x:c>
      <x:c r="J174" s="9" t="n">
        <x:v>0.205688002886194</x:v>
      </x:c>
      <x:c r="K174" s="9" t="n">
        <x:v>0.205688003036711</x:v>
      </x:c>
      <x:c r="L174" s="9" t="n">
        <x:v>0</x:v>
      </x:c>
      <x:c r="M174" s="10" t="n">
        <x:f>(K174-I174)/I174</x:f>
        <x:v>0</x:v>
      </x:c>
      <x:c r="N174" s="11" t="n">
        <x:v>0</x:v>
      </x:c>
      <x:c r="O174" s="11" t="n">
        <x:v>0</x:v>
      </x:c>
    </x:row>
    <x:row r="175" ht="22" customHeight="1">
      <x:c r="A175" s="4" t="str">
        <x:v>Traffic</x:v>
      </x:c>
      <x:c r="B175" s="4" t="n">
        <x:v>8</x:v>
      </x:c>
      <x:c r="C175" s="4" t="str">
        <x:v>Aurora</x:v>
      </x:c>
      <x:c r="D175" s="9" t="n">
        <x:v>0.161908824533978</x:v>
      </x:c>
      <x:c r="E175" s="9" t="n">
        <x:v>0.161908826143256</x:v>
      </x:c>
      <x:c r="F175" s="9" t="n">
        <x:v>0.161908824533978</x:v>
      </x:c>
      <x:c r="G175" s="9" t="n">
        <x:v>0</x:v>
      </x:c>
      <x:c r="H175" s="10" t="n">
        <x:f>(F175-D175)/D175</x:f>
        <x:v>0</x:v>
      </x:c>
      <x:c r="I175" s="9" t="n">
        <x:v>0.241648909193699</x:v>
      </x:c>
      <x:c r="J175" s="9" t="n">
        <x:v>0.241648909720508</x:v>
      </x:c>
      <x:c r="K175" s="9" t="n">
        <x:v>0.241648909193699</x:v>
      </x:c>
      <x:c r="L175" s="9" t="n">
        <x:v>3.3993498887763e-17</x:v>
      </x:c>
      <x:c r="M175" s="10" t="n">
        <x:f>(K175-I175)/I175</x:f>
        <x:v>0</x:v>
      </x:c>
      <x:c r="N175" s="11" t="n">
        <x:v>0</x:v>
      </x:c>
      <x:c r="O175" s="11" t="n">
        <x:v>0</x:v>
      </x:c>
    </x:row>
    <x:row r="176" ht="22" customHeight="1">
      <x:c r="A176" s="4" t="str">
        <x:v>Traffic</x:v>
      </x:c>
      <x:c r="B176" s="4" t="n">
        <x:v>10</x:v>
      </x:c>
      <x:c r="C176" s="4" t="str">
        <x:v>TaTS</x:v>
      </x:c>
      <x:c r="D176" s="9" t="n">
        <x:v>0.245557188315198</x:v>
      </x:c>
      <x:c r="E176" s="9" t="n">
        <x:v>0.245557186437753</x:v>
      </x:c>
      <x:c r="F176" s="9" t="n">
        <x:v>0.244416210695517</x:v>
      </x:c>
      <x:c r="G176" s="9" t="n">
        <x:v>0.001035370275599</x:v>
      </x:c>
      <x:c r="H176" s="10" t="n">
        <x:f>(F176-D176)/D176</x:f>
        <x:v>-0.004646484297647299</x:v>
      </x:c>
      <x:c r="I176" s="9" t="n">
        <x:v>0.290894757841051</x:v>
      </x:c>
      <x:c r="J176" s="9" t="n">
        <x:v>0.290894757841051</x:v>
      </x:c>
      <x:c r="K176" s="9" t="n">
        <x:v>0.290521691601301</x:v>
      </x:c>
      <x:c r="L176" s="9" t="n">
        <x:v>0.000374219464314</x:v>
      </x:c>
      <x:c r="M176" s="10" t="n">
        <x:f>(K176-I176)/I176</x:f>
        <x:v>-0.0012824783867500262</x:v>
      </x:c>
      <x:c r="N176" s="11" t="n">
        <x:v>2</x:v>
      </x:c>
      <x:c r="O176" s="11" t="n">
        <x:v>2</x:v>
      </x:c>
    </x:row>
    <x:row r="177" ht="22" customHeight="1">
      <x:c r="A177" s="4" t="str">
        <x:v>Traffic</x:v>
      </x:c>
      <x:c r="B177" s="4" t="n">
        <x:v>10</x:v>
      </x:c>
      <x:c r="C177" s="4" t="str">
        <x:v>MM-TSFlib</x:v>
      </x:c>
      <x:c r="D177" s="9" t="n">
        <x:v>0.166690151693049</x:v>
      </x:c>
      <x:c r="E177" s="9" t="n">
        <x:v>0.166690152367584</x:v>
      </x:c>
      <x:c r="F177" s="9" t="n">
        <x:v>0.166690151693049</x:v>
      </x:c>
      <x:c r="G177" s="9" t="n">
        <x:v>0</x:v>
      </x:c>
      <x:c r="H177" s="10" t="n">
        <x:f>(F177-D177)/D177</x:f>
        <x:v>0</x:v>
      </x:c>
      <x:c r="I177" s="9" t="n">
        <x:v>0.312048323621455</x:v>
      </x:c>
      <x:c r="J177" s="9" t="n">
        <x:v>0.312048323529283</x:v>
      </x:c>
      <x:c r="K177" s="9" t="n">
        <x:v>0.312048323621455</x:v>
      </x:c>
      <x:c r="L177" s="9" t="n">
        <x:v>0</x:v>
      </x:c>
      <x:c r="M177" s="10" t="n">
        <x:f>(K177-I177)/I177</x:f>
        <x:v>0</x:v>
      </x:c>
      <x:c r="N177" s="11" t="n">
        <x:v>0</x:v>
      </x:c>
      <x:c r="O177" s="11" t="n">
        <x:v>0</x:v>
      </x:c>
    </x:row>
    <x:row r="178" ht="22" customHeight="1">
      <x:c r="A178" s="4" t="str">
        <x:v>Traffic</x:v>
      </x:c>
      <x:c r="B178" s="4" t="n">
        <x:v>10</x:v>
      </x:c>
      <x:c r="C178" s="4" t="str">
        <x:v>SpecTF</x:v>
      </x:c>
      <x:c r="D178" s="9" t="n">
        <x:v>0.199867945714285</x:v>
      </x:c>
      <x:c r="E178" s="9" t="n">
        <x:v>0.199867945883774</x:v>
      </x:c>
      <x:c r="F178" s="9" t="n">
        <x:v>0.199867945714285</x:v>
      </x:c>
      <x:c r="G178" s="9" t="n">
        <x:v>0</x:v>
      </x:c>
      <x:c r="H178" s="10" t="n">
        <x:f>(F178-D178)/D178</x:f>
        <x:v>0</x:v>
      </x:c>
      <x:c r="I178" s="9" t="n">
        <x:v>0.239561099153895</x:v>
      </x:c>
      <x:c r="J178" s="9" t="n">
        <x:v>0.239561099151975</x:v>
      </x:c>
      <x:c r="K178" s="9" t="n">
        <x:v>0.239561099153895</x:v>
      </x:c>
      <x:c r="L178" s="9" t="n">
        <x:v>0</x:v>
      </x:c>
      <x:c r="M178" s="10" t="n">
        <x:f>(K178-I178)/I178</x:f>
        <x:v>0</x:v>
      </x:c>
      <x:c r="N178" s="11" t="n">
        <x:v>0</x:v>
      </x:c>
      <x:c r="O178" s="11" t="n">
        <x:v>0</x:v>
      </x:c>
    </x:row>
    <x:row r="179" ht="22" customHeight="1">
      <x:c r="A179" s="4" t="str">
        <x:v>Traffic</x:v>
      </x:c>
      <x:c r="B179" s="4" t="n">
        <x:v>10</x:v>
      </x:c>
      <x:c r="C179" s="4" t="str">
        <x:v>CFA</x:v>
      </x:c>
      <x:c r="D179" s="9" t="n">
        <x:v>0.173208259771252</x:v>
      </x:c>
      <x:c r="E179" s="9" t="n">
        <x:v>0.173208257944252</x:v>
      </x:c>
      <x:c r="F179" s="9" t="n">
        <x:v>0.173208259771252</x:v>
      </x:c>
      <x:c r="G179" s="9" t="n">
        <x:v>0</x:v>
      </x:c>
      <x:c r="H179" s="10" t="n">
        <x:f>(F179-D179)/D179</x:f>
        <x:v>0</x:v>
      </x:c>
      <x:c r="I179" s="9" t="n">
        <x:v>0.219923914892157</x:v>
      </x:c>
      <x:c r="J179" s="9" t="n">
        <x:v>0.219923914277676</x:v>
      </x:c>
      <x:c r="K179" s="9" t="n">
        <x:v>0.219923914892157</x:v>
      </x:c>
      <x:c r="L179" s="9" t="n">
        <x:v>3.3993498887763e-17</x:v>
      </x:c>
      <x:c r="M179" s="10" t="n">
        <x:f>(K179-I179)/I179</x:f>
        <x:v>0</x:v>
      </x:c>
      <x:c r="N179" s="11" t="n">
        <x:v>0</x:v>
      </x:c>
      <x:c r="O179" s="11" t="n">
        <x:v>0</x:v>
      </x:c>
    </x:row>
    <x:row r="180" ht="22" customHeight="1">
      <x:c r="A180" s="4" t="str">
        <x:v>Traffic</x:v>
      </x:c>
      <x:c r="B180" s="4" t="n">
        <x:v>10</x:v>
      </x:c>
      <x:c r="C180" s="4" t="str">
        <x:v>Aurora</x:v>
      </x:c>
      <x:c r="D180" s="9" t="n">
        <x:v>0.167212186439523</x:v>
      </x:c>
      <x:c r="E180" s="9" t="n">
        <x:v>0.167212188410085</x:v>
      </x:c>
      <x:c r="F180" s="9" t="n">
        <x:v>0.167212186439523</x:v>
      </x:c>
      <x:c r="G180" s="9" t="n">
        <x:v>0</x:v>
      </x:c>
      <x:c r="H180" s="10" t="n">
        <x:f>(F180-D180)/D180</x:f>
        <x:v>0</x:v>
      </x:c>
      <x:c r="I180" s="9" t="n">
        <x:v>0.248815129804857</x:v>
      </x:c>
      <x:c r="J180" s="9" t="n">
        <x:v>0.248815130450062</x:v>
      </x:c>
      <x:c r="K180" s="9" t="n">
        <x:v>0.248815129804857</x:v>
      </x:c>
      <x:c r="L180" s="9" t="n">
        <x:v>0</x:v>
      </x:c>
      <x:c r="M180" s="10" t="n">
        <x:f>(K180-I180)/I180</x:f>
        <x:v>0</x:v>
      </x:c>
      <x:c r="N180" s="11" t="n">
        <x:v>0</x:v>
      </x:c>
      <x:c r="O180" s="11" t="n">
        <x:v>0</x:v>
      </x:c>
    </x:row>
    <x:row r="181" ht="22" customHeight="1">
      <x:c r="A181" s="4" t="str">
        <x:v>Traffic</x:v>
      </x:c>
      <x:c r="B181" s="4" t="n">
        <x:v>12</x:v>
      </x:c>
      <x:c r="C181" s="4" t="str">
        <x:v>TaTS</x:v>
      </x:c>
      <x:c r="D181" s="9" t="n">
        <x:v>0.222340441580798</x:v>
      </x:c>
      <x:c r="E181" s="9" t="n">
        <x:v>0.22234044241729</x:v>
      </x:c>
      <x:c r="F181" s="9" t="n">
        <x:v>0.222340441580798</x:v>
      </x:c>
      <x:c r="G181" s="9" t="n">
        <x:v>0</x:v>
      </x:c>
      <x:c r="H181" s="10" t="n">
        <x:f>(F181-D181)/D181</x:f>
        <x:v>0</x:v>
      </x:c>
      <x:c r="I181" s="9" t="n">
        <x:v>0.285930401348231</x:v>
      </x:c>
      <x:c r="J181" s="9" t="n">
        <x:v>0.28593040155737</x:v>
      </x:c>
      <x:c r="K181" s="9" t="n">
        <x:v>0.285930401348231</x:v>
      </x:c>
      <x:c r="L181" s="9" t="n">
        <x:v>0</x:v>
      </x:c>
      <x:c r="M181" s="10" t="n">
        <x:f>(K181-I181)/I181</x:f>
        <x:v>0</x:v>
      </x:c>
      <x:c r="N181" s="11" t="n">
        <x:v>0</x:v>
      </x:c>
      <x:c r="O181" s="11" t="n">
        <x:v>0</x:v>
      </x:c>
    </x:row>
    <x:row r="182" ht="22" customHeight="1">
      <x:c r="A182" s="4" t="str">
        <x:v>Traffic</x:v>
      </x:c>
      <x:c r="B182" s="4" t="n">
        <x:v>12</x:v>
      </x:c>
      <x:c r="C182" s="4" t="str">
        <x:v>MM-TSFlib</x:v>
      </x:c>
      <x:c r="D182" s="9" t="n">
        <x:v>0.17549252996919</x:v>
      </x:c>
      <x:c r="E182" s="9" t="n">
        <x:v>0.175492528545628</x:v>
      </x:c>
      <x:c r="F182" s="9" t="n">
        <x:v>0.17549252996919</x:v>
      </x:c>
      <x:c r="G182" s="9" t="n">
        <x:v>0</x:v>
      </x:c>
      <x:c r="H182" s="10" t="n">
        <x:f>(F182-D182)/D182</x:f>
        <x:v>0</x:v>
      </x:c>
      <x:c r="I182" s="9" t="n">
        <x:v>0.330946359325919</x:v>
      </x:c>
      <x:c r="J182" s="9" t="n">
        <x:v>0.330946358776929</x:v>
      </x:c>
      <x:c r="K182" s="9" t="n">
        <x:v>0.330946359325919</x:v>
      </x:c>
      <x:c r="L182" s="9" t="n">
        <x:v>0</x:v>
      </x:c>
      <x:c r="M182" s="10" t="n">
        <x:f>(K182-I182)/I182</x:f>
        <x:v>0</x:v>
      </x:c>
      <x:c r="N182" s="11" t="n">
        <x:v>0</x:v>
      </x:c>
      <x:c r="O182" s="11" t="n">
        <x:v>0</x:v>
      </x:c>
    </x:row>
    <x:row r="183" ht="22" customHeight="1">
      <x:c r="A183" s="4" t="str">
        <x:v>Traffic</x:v>
      </x:c>
      <x:c r="B183" s="4" t="n">
        <x:v>12</x:v>
      </x:c>
      <x:c r="C183" s="4" t="str">
        <x:v>SpecTF</x:v>
      </x:c>
      <x:c r="D183" s="9" t="n">
        <x:v>0.188947712807053</x:v>
      </x:c>
      <x:c r="E183" s="9" t="n">
        <x:v>0.18894771124847</x:v>
      </x:c>
      <x:c r="F183" s="9" t="n">
        <x:v>0.188947712807053</x:v>
      </x:c>
      <x:c r="G183" s="9" t="n">
        <x:v>0</x:v>
      </x:c>
      <x:c r="H183" s="10" t="n">
        <x:f>(F183-D183)/D183</x:f>
        <x:v>0</x:v>
      </x:c>
      <x:c r="I183" s="9" t="n">
        <x:v>0.239543992228675</x:v>
      </x:c>
      <x:c r="J183" s="9" t="n">
        <x:v>0.239543991470546</x:v>
      </x:c>
      <x:c r="K183" s="9" t="n">
        <x:v>0.239543992228675</x:v>
      </x:c>
      <x:c r="L183" s="9" t="n">
        <x:v>0</x:v>
      </x:c>
      <x:c r="M183" s="10" t="n">
        <x:f>(K183-I183)/I183</x:f>
        <x:v>0</x:v>
      </x:c>
      <x:c r="N183" s="11" t="n">
        <x:v>0</x:v>
      </x:c>
      <x:c r="O183" s="11" t="n">
        <x:v>0</x:v>
      </x:c>
    </x:row>
    <x:row r="184" ht="22" customHeight="1">
      <x:c r="A184" s="4" t="str">
        <x:v>Traffic</x:v>
      </x:c>
      <x:c r="B184" s="4" t="n">
        <x:v>12</x:v>
      </x:c>
      <x:c r="C184" s="4" t="str">
        <x:v>CFA</x:v>
      </x:c>
      <x:c r="D184" s="9" t="n">
        <x:v>0.176990601602954</x:v>
      </x:c>
      <x:c r="E184" s="9" t="n">
        <x:v>0.176990600653623</x:v>
      </x:c>
      <x:c r="F184" s="9" t="n">
        <x:v>0.176990601602954</x:v>
      </x:c>
      <x:c r="G184" s="9" t="n">
        <x:v>0</x:v>
      </x:c>
      <x:c r="H184" s="10" t="n">
        <x:f>(F184-D184)/D184</x:f>
        <x:v>0</x:v>
      </x:c>
      <x:c r="I184" s="9" t="n">
        <x:v>0.226859701254912</x:v>
      </x:c>
      <x:c r="J184" s="9" t="n">
        <x:v>0.226859700941203</x:v>
      </x:c>
      <x:c r="K184" s="9" t="n">
        <x:v>0.226859701254912</x:v>
      </x:c>
      <x:c r="L184" s="9" t="n">
        <x:v>0</x:v>
      </x:c>
      <x:c r="M184" s="10" t="n">
        <x:f>(K184-I184)/I184</x:f>
        <x:v>0</x:v>
      </x:c>
      <x:c r="N184" s="11" t="n">
        <x:v>0</x:v>
      </x:c>
      <x:c r="O184" s="11" t="n">
        <x:v>0</x:v>
      </x:c>
    </x:row>
    <x:row r="185" ht="22" customHeight="1">
      <x:c r="A185" s="4" t="str">
        <x:v>Traffic</x:v>
      </x:c>
      <x:c r="B185" s="4" t="n">
        <x:v>12</x:v>
      </x:c>
      <x:c r="C185" s="4" t="str">
        <x:v>Aurora</x:v>
      </x:c>
      <x:c r="D185" s="9" t="n">
        <x:v>0.173499874745115</x:v>
      </x:c>
      <x:c r="E185" s="9" t="n">
        <x:v>0.173499876286052</x:v>
      </x:c>
      <x:c r="F185" s="9" t="n">
        <x:v>0.173499874745115</x:v>
      </x:c>
      <x:c r="G185" s="9" t="n">
        <x:v>0</x:v>
      </x:c>
      <x:c r="H185" s="10" t="n">
        <x:f>(F185-D185)/D185</x:f>
        <x:v>0</x:v>
      </x:c>
      <x:c r="I185" s="9" t="n">
        <x:v>0.257084223079054</x:v>
      </x:c>
      <x:c r="J185" s="9" t="n">
        <x:v>0.257084223523475</x:v>
      </x:c>
      <x:c r="K185" s="9" t="n">
        <x:v>0.257084223079054</x:v>
      </x:c>
      <x:c r="L185" s="9" t="n">
        <x:v>0</x:v>
      </x:c>
      <x:c r="M185" s="10" t="n">
        <x:f>(K185-I185)/I185</x:f>
        <x:v>0</x:v>
      </x:c>
      <x:c r="N185" s="11" t="n">
        <x:v>0</x:v>
      </x:c>
      <x:c r="O185" s="11" t="n">
        <x:v>0</x:v>
      </x:c>
    </x:row>
  </x:sheetData>
  <x:conditionalFormatting sqref="H6:H185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M6:M185">
    <x:cfRule type="cellIs" dxfId="2" priority="3" operator="lessThan">
      <x:formula>0</x:formula>
    </x:cfRule>
    <x:cfRule type="cellIs" dxfId="3" priority="4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72681b856f493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4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2" ht="25" customHeight="1">
      <x:c r="A2" s="1" t="str">
        <x:v>参数筛选结果</x:v>
      </x:c>
    </x:row>
    <x:row r="3">
      <x:c r="A3" s="2" t="str">
        <x:v>九领域各一个步长、五模型、seed 2026 的 holdout 结果；测试集未参与排行。</x:v>
      </x:c>
    </x:row>
    <x:row r="5" ht="34" customHeight="1">
      <x:c r="A5" s="8" t="str">
        <x:v>配置</x:v>
      </x:c>
      <x:c r="B5" s="8" t="str">
        <x:v>修正上限</x:v>
      </x:c>
      <x:c r="C5" s="8" t="str">
        <x:v>初始logit</x:v>
      </x:c>
      <x:c r="D5" s="8" t="str">
        <x:v>方差系数</x:v>
      </x:c>
      <x:c r="E5" s="8" t="str">
        <x:v>K上限</x:v>
      </x:c>
      <x:c r="F5" s="8" t="str">
        <x:v>NLL权重</x:v>
      </x:c>
      <x:c r="G5" s="8" t="str">
        <x:v>语义权重</x:v>
      </x:c>
      <x:c r="H5" s="8" t="str">
        <x:v>文本汇聚</x:v>
      </x:c>
      <x:c r="I5" s="8" t="str">
        <x:v>模型条件</x:v>
      </x:c>
      <x:c r="J5" s="8" t="str">
        <x:v>文本输入</x:v>
      </x:c>
      <x:c r="K5" s="8" t="str">
        <x:v>验证MSE变化</x:v>
      </x:c>
      <x:c r="L5" s="8" t="str">
        <x:v>验证MAE变化</x:v>
      </x:c>
      <x:c r="M5" s="8" t="str">
        <x:v>验证综合变化</x:v>
      </x:c>
    </x:row>
    <x:row r="6" ht="22" customHeight="1">
      <x:c r="A6" s="4" t="str">
        <x:v>numeric_ablation</x:v>
      </x:c>
      <x:c r="B6" s="16" t="n">
        <x:v>2</x:v>
      </x:c>
      <x:c r="C6" s="16" t="n">
        <x:v>0</x:v>
      </x:c>
      <x:c r="D6" s="16" t="n">
        <x:v>0.25</x:v>
      </x:c>
      <x:c r="E6" s="16" t="n">
        <x:v>8</x:v>
      </x:c>
      <x:c r="F6" s="16" t="n">
        <x:v>0.1</x:v>
      </x:c>
      <x:c r="G6" s="16" t="n">
        <x:v>0.05</x:v>
      </x:c>
      <x:c r="H6" s="4" t="str">
        <x:v>attention</x:v>
      </x:c>
      <x:c r="I6" s="15" t="b">
        <x:v>1</x:v>
      </x:c>
      <x:c r="J6" s="4" t="str">
        <x:v>none</x:v>
      </x:c>
      <x:c r="K6" s="10" t="n">
        <x:v>-0.02376215087079636</x:v>
      </x:c>
      <x:c r="L6" s="10" t="n">
        <x:v>-0.013217783372446834</x:v>
      </x:c>
      <x:c r="M6" s="10" t="n">
        <x:v>-0.018489967121621542</x:v>
      </x:c>
    </x:row>
    <x:row r="7" ht="22" customHeight="1">
      <x:c r="A7" s="4" t="str">
        <x:v>no_variance_shrink</x:v>
      </x:c>
      <x:c r="B7" s="16" t="n">
        <x:v>1</x:v>
      </x:c>
      <x:c r="C7" s="16" t="n">
        <x:v>0</x:v>
      </x:c>
      <x:c r="D7" s="16" t="n">
        <x:v>0</x:v>
      </x:c>
      <x:c r="E7" s="16" t="n">
        <x:v>4</x:v>
      </x:c>
      <x:c r="F7" s="16" t="n">
        <x:v>0.03</x:v>
      </x:c>
      <x:c r="G7" s="16" t="n">
        <x:v>0.01</x:v>
      </x:c>
      <x:c r="H7" s="4" t="str">
        <x:v>uniform</x:v>
      </x:c>
      <x:c r="I7" s="15" t="b">
        <x:v>0</x:v>
      </x:c>
      <x:c r="J7" s="4" t="str">
        <x:v>real</x:v>
      </x:c>
      <x:c r="K7" s="10" t="n">
        <x:v>-0.02349524951410442</x:v>
      </x:c>
      <x:c r="L7" s="10" t="n">
        <x:v>-0.01302485930793007</x:v>
      </x:c>
      <x:c r="M7" s="10" t="n">
        <x:v>-0.018260054411017412</x:v>
      </x:c>
    </x:row>
    <x:row r="8" ht="22" customHeight="1">
      <x:c r="A8" s="4" t="str">
        <x:v>amplitude_2</x:v>
      </x:c>
      <x:c r="B8" s="16" t="n">
        <x:v>2</x:v>
      </x:c>
      <x:c r="C8" s="16" t="n">
        <x:v>0</x:v>
      </x:c>
      <x:c r="D8" s="16" t="n">
        <x:v>1</x:v>
      </x:c>
      <x:c r="E8" s="16" t="n">
        <x:v>4</x:v>
      </x:c>
      <x:c r="F8" s="16" t="n">
        <x:v>0.03</x:v>
      </x:c>
      <x:c r="G8" s="16" t="n">
        <x:v>0.01</x:v>
      </x:c>
      <x:c r="H8" s="4" t="str">
        <x:v>uniform</x:v>
      </x:c>
      <x:c r="I8" s="15" t="b">
        <x:v>0</x:v>
      </x:c>
      <x:c r="J8" s="4" t="str">
        <x:v>real</x:v>
      </x:c>
      <x:c r="K8" s="10" t="n">
        <x:v>-0.02100281277276994</x:v>
      </x:c>
      <x:c r="L8" s="10" t="n">
        <x:v>-0.010490898704998752</x:v>
      </x:c>
      <x:c r="M8" s="10" t="n">
        <x:v>-0.015746855738884458</x:v>
      </x:c>
    </x:row>
    <x:row r="9" ht="22" customHeight="1">
      <x:c r="A9" s="4" t="str">
        <x:v>time_shuffle_ablation</x:v>
      </x:c>
      <x:c r="B9" s="16" t="n">
        <x:v>2</x:v>
      </x:c>
      <x:c r="C9" s="16" t="n">
        <x:v>0</x:v>
      </x:c>
      <x:c r="D9" s="16" t="n">
        <x:v>0.25</x:v>
      </x:c>
      <x:c r="E9" s="16" t="n">
        <x:v>8</x:v>
      </x:c>
      <x:c r="F9" s="16" t="n">
        <x:v>0.1</x:v>
      </x:c>
      <x:c r="G9" s="16" t="n">
        <x:v>0.05</x:v>
      </x:c>
      <x:c r="H9" s="4" t="str">
        <x:v>attention</x:v>
      </x:c>
      <x:c r="I9" s="15" t="b">
        <x:v>1</x:v>
      </x:c>
      <x:c r="J9" s="4" t="str">
        <x:v>shuffle</x:v>
      </x:c>
      <x:c r="K9" s="10" t="n">
        <x:v>-0.019435210180019924</x:v>
      </x:c>
      <x:c r="L9" s="10" t="n">
        <x:v>-0.010441104812181634</x:v>
      </x:c>
      <x:c r="M9" s="10" t="n">
        <x:v>-0.014938157496100946</x:v>
      </x:c>
    </x:row>
    <x:row r="10" ht="22" customHeight="1">
      <x:c r="A10" s="4" t="str">
        <x:v>combined</x:v>
      </x:c>
      <x:c r="B10" s="16" t="n">
        <x:v>2</x:v>
      </x:c>
      <x:c r="C10" s="16" t="n">
        <x:v>0</x:v>
      </x:c>
      <x:c r="D10" s="16" t="n">
        <x:v>0.25</x:v>
      </x:c>
      <x:c r="E10" s="16" t="n">
        <x:v>8</x:v>
      </x:c>
      <x:c r="F10" s="16" t="n">
        <x:v>0.1</x:v>
      </x:c>
      <x:c r="G10" s="16" t="n">
        <x:v>0.05</x:v>
      </x:c>
      <x:c r="H10" s="4" t="str">
        <x:v>attention</x:v>
      </x:c>
      <x:c r="I10" s="15" t="b">
        <x:v>1</x:v>
      </x:c>
      <x:c r="J10" s="4" t="str">
        <x:v>real</x:v>
      </x:c>
      <x:c r="K10" s="10" t="n">
        <x:v>-0.019522085087017804</x:v>
      </x:c>
      <x:c r="L10" s="10" t="n">
        <x:v>-0.010136455151079637</x:v>
      </x:c>
      <x:c r="M10" s="10" t="n">
        <x:v>-0.014829270119048998</x:v>
      </x:c>
    </x:row>
    <x:row r="11" ht="22" customHeight="1">
      <x:c r="A11" s="4" t="str">
        <x:v>utility_005</x:v>
      </x:c>
      <x:c r="B11" s="16" t="n">
        <x:v>1</x:v>
      </x:c>
      <x:c r="C11" s="16" t="n">
        <x:v>0</x:v>
      </x:c>
      <x:c r="D11" s="16" t="n">
        <x:v>0.5</x:v>
      </x:c>
      <x:c r="E11" s="16" t="n">
        <x:v>4</x:v>
      </x:c>
      <x:c r="F11" s="16" t="n">
        <x:v>0.1</x:v>
      </x:c>
      <x:c r="G11" s="16" t="n">
        <x:v>0.05</x:v>
      </x:c>
      <x:c r="H11" s="4" t="str">
        <x:v>uniform</x:v>
      </x:c>
      <x:c r="I11" s="15" t="b">
        <x:v>0</x:v>
      </x:c>
      <x:c r="J11" s="4" t="str">
        <x:v>real</x:v>
      </x:c>
      <x:c r="K11" s="10" t="n">
        <x:v>-0.015823771217620575</x:v>
      </x:c>
      <x:c r="L11" s="10" t="n">
        <x:v>-0.00801882679781174</x:v>
      </x:c>
      <x:c r="M11" s="10" t="n">
        <x:v>-0.011921299007716102</x:v>
      </x:c>
    </x:row>
    <x:row r="12" ht="22" customHeight="1">
      <x:c r="A12" s="4" t="str">
        <x:v>nll_030</x:v>
      </x:c>
      <x:c r="B12" s="16" t="n">
        <x:v>1</x:v>
      </x:c>
      <x:c r="C12" s="16" t="n">
        <x:v>0</x:v>
      </x:c>
      <x:c r="D12" s="16" t="n">
        <x:v>0.5</x:v>
      </x:c>
      <x:c r="E12" s="16" t="n">
        <x:v>4</x:v>
      </x:c>
      <x:c r="F12" s="16" t="n">
        <x:v>0.3</x:v>
      </x:c>
      <x:c r="G12" s="16" t="n">
        <x:v>0.01</x:v>
      </x:c>
      <x:c r="H12" s="4" t="str">
        <x:v>uniform</x:v>
      </x:c>
      <x:c r="I12" s="15" t="b">
        <x:v>0</x:v>
      </x:c>
      <x:c r="J12" s="4" t="str">
        <x:v>real</x:v>
      </x:c>
      <x:c r="K12" s="10" t="n">
        <x:v>-0.015752916159233465</x:v>
      </x:c>
      <x:c r="L12" s="10" t="n">
        <x:v>-0.00804145592308414</x:v>
      </x:c>
      <x:c r="M12" s="10" t="n">
        <x:v>-0.011897186041158747</x:v>
      </x:c>
    </x:row>
    <x:row r="13" ht="22" customHeight="1">
      <x:c r="A13" s="4" t="str">
        <x:v>nll_010</x:v>
      </x:c>
      <x:c r="B13" s="16" t="n">
        <x:v>1</x:v>
      </x:c>
      <x:c r="C13" s="16" t="n">
        <x:v>0</x:v>
      </x:c>
      <x:c r="D13" s="16" t="n">
        <x:v>0.5</x:v>
      </x:c>
      <x:c r="E13" s="16" t="n">
        <x:v>4</x:v>
      </x:c>
      <x:c r="F13" s="16" t="n">
        <x:v>0.1</x:v>
      </x:c>
      <x:c r="G13" s="16" t="n">
        <x:v>0.01</x:v>
      </x:c>
      <x:c r="H13" s="4" t="str">
        <x:v>uniform</x:v>
      </x:c>
      <x:c r="I13" s="15" t="b">
        <x:v>0</x:v>
      </x:c>
      <x:c r="J13" s="4" t="str">
        <x:v>real</x:v>
      </x:c>
      <x:c r="K13" s="10" t="n">
        <x:v>-0.014437490123310859</x:v>
      </x:c>
      <x:c r="L13" s="10" t="n">
        <x:v>-0.006985242685724757</x:v>
      </x:c>
      <x:c r="M13" s="10" t="n">
        <x:v>-0.01071136640451753</x:v>
      </x:c>
    </x:row>
    <x:row r="14" ht="22" customHeight="1">
      <x:c r="A14" s="4" t="str">
        <x:v>time_attention</x:v>
      </x:c>
      <x:c r="B14" s="16" t="n">
        <x:v>1</x:v>
      </x:c>
      <x:c r="C14" s="16" t="n">
        <x:v>0</x:v>
      </x:c>
      <x:c r="D14" s="16" t="n">
        <x:v>0.5</x:v>
      </x:c>
      <x:c r="E14" s="16" t="n">
        <x:v>4</x:v>
      </x:c>
      <x:c r="F14" s="16" t="n">
        <x:v>0.1</x:v>
      </x:c>
      <x:c r="G14" s="16" t="n">
        <x:v>0.01</x:v>
      </x:c>
      <x:c r="H14" s="4" t="str">
        <x:v>attention</x:v>
      </x:c>
      <x:c r="I14" s="15" t="b">
        <x:v>0</x:v>
      </x:c>
      <x:c r="J14" s="4" t="str">
        <x:v>real</x:v>
      </x:c>
      <x:c r="K14" s="10" t="n">
        <x:v>-0.013566853366411946</x:v>
      </x:c>
      <x:c r="L14" s="10" t="n">
        <x:v>-0.007028834054380706</x:v>
      </x:c>
      <x:c r="M14" s="10" t="n">
        <x:v>-0.010297843710396326</x:v>
      </x:c>
    </x:row>
    <x:row r="15" ht="22" customHeight="1">
      <x:c r="A15" s="4" t="str">
        <x:v>amplitude_1</x:v>
      </x:c>
      <x:c r="B15" s="16" t="n">
        <x:v>1</x:v>
      </x:c>
      <x:c r="C15" s="16" t="n">
        <x:v>0</x:v>
      </x:c>
      <x:c r="D15" s="16" t="n">
        <x:v>1</x:v>
      </x:c>
      <x:c r="E15" s="16" t="n">
        <x:v>4</x:v>
      </x:c>
      <x:c r="F15" s="16" t="n">
        <x:v>0.03</x:v>
      </x:c>
      <x:c r="G15" s="16" t="n">
        <x:v>0.01</x:v>
      </x:c>
      <x:c r="H15" s="4" t="str">
        <x:v>uniform</x:v>
      </x:c>
      <x:c r="I15" s="15" t="b">
        <x:v>0</x:v>
      </x:c>
      <x:c r="J15" s="4" t="str">
        <x:v>real</x:v>
      </x:c>
      <x:c r="K15" s="10" t="n">
        <x:v>-0.013229725758263755</x:v>
      </x:c>
      <x:c r="L15" s="10" t="n">
        <x:v>-0.006188352495791083</x:v>
      </x:c>
      <x:c r="M15" s="10" t="n">
        <x:v>-0.009709039127027363</x:v>
      </x:c>
    </x:row>
    <x:row r="16" ht="22" customHeight="1">
      <x:c r="A16" s="4" t="str">
        <x:v>model_condition</x:v>
      </x:c>
      <x:c r="B16" s="16" t="n">
        <x:v>1</x:v>
      </x:c>
      <x:c r="C16" s="16" t="n">
        <x:v>0</x:v>
      </x:c>
      <x:c r="D16" s="16" t="n">
        <x:v>0.5</x:v>
      </x:c>
      <x:c r="E16" s="16" t="n">
        <x:v>4</x:v>
      </x:c>
      <x:c r="F16" s="16" t="n">
        <x:v>0.1</x:v>
      </x:c>
      <x:c r="G16" s="16" t="n">
        <x:v>0.01</x:v>
      </x:c>
      <x:c r="H16" s="4" t="str">
        <x:v>uniform</x:v>
      </x:c>
      <x:c r="I16" s="15" t="b">
        <x:v>1</x:v>
      </x:c>
      <x:c r="J16" s="4" t="str">
        <x:v>real</x:v>
      </x:c>
      <x:c r="K16" s="10" t="n">
        <x:v>-0.011609869264869732</x:v>
      </x:c>
      <x:c r="L16" s="10" t="n">
        <x:v>-0.006407703324482483</x:v>
      </x:c>
      <x:c r="M16" s="10" t="n">
        <x:v>-0.009008786294676274</x:v>
      </x:c>
    </x:row>
    <x:row r="17" ht="22" customHeight="1">
      <x:c r="A17" s="4" t="str">
        <x:v>coeff_8</x:v>
      </x:c>
      <x:c r="B17" s="16" t="n">
        <x:v>1</x:v>
      </x:c>
      <x:c r="C17" s="16" t="n">
        <x:v>0</x:v>
      </x:c>
      <x:c r="D17" s="16" t="n">
        <x:v>0.5</x:v>
      </x:c>
      <x:c r="E17" s="16" t="n">
        <x:v>8</x:v>
      </x:c>
      <x:c r="F17" s="16" t="n">
        <x:v>0.03</x:v>
      </x:c>
      <x:c r="G17" s="16" t="n">
        <x:v>0.01</x:v>
      </x:c>
      <x:c r="H17" s="4" t="str">
        <x:v>uniform</x:v>
      </x:c>
      <x:c r="I17" s="15" t="b">
        <x:v>0</x:v>
      </x:c>
      <x:c r="J17" s="4" t="str">
        <x:v>real</x:v>
      </x:c>
      <x:c r="K17" s="10" t="n">
        <x:v>-0.009778251346818978</x:v>
      </x:c>
      <x:c r="L17" s="10" t="n">
        <x:v>-0.0053464251032042664</x:v>
      </x:c>
      <x:c r="M17" s="10" t="n">
        <x:v>-0.007562338225011511</x:v>
      </x:c>
    </x:row>
    <x:row r="18" ht="22" customHeight="1">
      <x:c r="A18" s="4" t="str">
        <x:v>coeff_16</x:v>
      </x:c>
      <x:c r="B18" s="16" t="n">
        <x:v>1</x:v>
      </x:c>
      <x:c r="C18" s="16" t="n">
        <x:v>0</x:v>
      </x:c>
      <x:c r="D18" s="16" t="n">
        <x:v>0.5</x:v>
      </x:c>
      <x:c r="E18" s="16" t="n">
        <x:v>16</x:v>
      </x:c>
      <x:c r="F18" s="16" t="n">
        <x:v>0.03</x:v>
      </x:c>
      <x:c r="G18" s="16" t="n">
        <x:v>0.01</x:v>
      </x:c>
      <x:c r="H18" s="4" t="str">
        <x:v>uniform</x:v>
      </x:c>
      <x:c r="I18" s="15" t="b">
        <x:v>0</x:v>
      </x:c>
      <x:c r="J18" s="4" t="str">
        <x:v>real</x:v>
      </x:c>
      <x:c r="K18" s="10" t="n">
        <x:v>-0.00915489726491614</x:v>
      </x:c>
      <x:c r="L18" s="10" t="n">
        <x:v>-0.005196333984071377</x:v>
      </x:c>
      <x:c r="M18" s="10" t="n">
        <x:v>-0.0071756156244937586</x:v>
      </x:c>
    </x:row>
    <x:row r="19" ht="22" customHeight="1">
      <x:c r="A19" s="4" t="str">
        <x:v>control</x:v>
      </x:c>
      <x:c r="B19" s="16" t="n">
        <x:v>0.5</x:v>
      </x:c>
      <x:c r="C19" s="16" t="n">
        <x:v>-2</x:v>
      </x:c>
      <x:c r="D19" s="16" t="n">
        <x:v>1</x:v>
      </x:c>
      <x:c r="E19" s="16" t="n">
        <x:v>4</x:v>
      </x:c>
      <x:c r="F19" s="16" t="n">
        <x:v>0.03</x:v>
      </x:c>
      <x:c r="G19" s="16" t="n">
        <x:v>0.01</x:v>
      </x:c>
      <x:c r="H19" s="4" t="str">
        <x:v>uniform</x:v>
      </x:c>
      <x:c r="I19" s="15" t="b">
        <x:v>0</x:v>
      </x:c>
      <x:c r="J19" s="4" t="str">
        <x:v>real</x:v>
      </x:c>
      <x:c r="K19" s="10" t="n">
        <x:v>-0.0020683214965060426</x:v>
      </x:c>
      <x:c r="L19" s="10" t="n">
        <x:v>-0.001033195991713698</x:v>
      </x:c>
      <x:c r="M19" s="10" t="n">
        <x:v>-0.0015507587441097037</x:v>
      </x:c>
    </x:row>
  </x:sheetData>
  <x:pageMargins left="0.7" right="0.7" top="0.75" bottom="0.75" header="0.3" footer="0.3"/>
  <x:tableParts count="1">
    <x:tablePart xmlns:r="http://schemas.openxmlformats.org/officeDocument/2006/relationships" r:id="R90d27d99559a497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t="str">
        <x:v>来源：固定的 TimeMMD ReadGPT 数据、五底模预测，以及插件三个随机种子的独立评估。</x:v>
      </x:c>
    </x:row>
    <x:row r="3" ht="34" customHeight="1">
      <x:c r="A3" s="8" t="str">
        <x:v>model</x:v>
      </x:c>
      <x:c r="B3" s="8" t="str">
        <x:v>domain</x:v>
      </x:c>
      <x:c r="C3" s="8" t="str">
        <x:v>horizon</x:v>
      </x:c>
      <x:c r="D3" s="8" t="str">
        <x:v>seed</x:v>
      </x:c>
      <x:c r="E3" s="8" t="str">
        <x:v>variant</x:v>
      </x:c>
      <x:c r="F3" s="8" t="str">
        <x:v>alpha</x:v>
      </x:c>
      <x:c r="G3" s="8" t="str">
        <x:v>baseline_mse</x:v>
      </x:c>
      <x:c r="H3" s="8" t="str">
        <x:v>baseline_mae</x:v>
      </x:c>
      <x:c r="I3" s="8" t="str">
        <x:v>plugin_mse</x:v>
      </x:c>
      <x:c r="J3" s="8" t="str">
        <x:v>plugin_mae</x:v>
      </x:c>
      <x:c r="K3" s="8" t="str">
        <x:v>raw_mse</x:v>
      </x:c>
      <x:c r="L3" s="8" t="str">
        <x:v>raw_mae</x:v>
      </x:c>
      <x:c r="M3" s="8" t="str">
        <x:v>mse_delta_pct</x:v>
      </x:c>
      <x:c r="N3" s="8" t="str">
        <x:v>mae_delta_pct</x:v>
      </x:c>
      <x:c r="O3" s="8" t="str">
        <x:v>gate_mean</x:v>
      </x:c>
      <x:c r="P3" s="8" t="str">
        <x:v>correction_std_units</x:v>
      </x:c>
      <x:c r="Q3" s="8" t="str">
        <x:v>test_windows</x:v>
      </x:c>
      <x:c r="R3" s="8" t="str">
        <x:v>best_epoch</x:v>
      </x:c>
      <x:c r="S3" s="8" t="str">
        <x:v>effective_enabled</x:v>
      </x:c>
    </x:row>
    <x:row r="4" ht="22" customHeight="1">
      <x:c r="A4" s="4" t="str">
        <x:v>TaTS</x:v>
      </x:c>
      <x:c r="B4" s="4" t="str">
        <x:v>Agriculture</x:v>
      </x:c>
      <x:c r="C4" s="4" t="n">
        <x:v>6</x:v>
      </x:c>
      <x:c r="D4" s="4" t="n">
        <x:v>2026</x:v>
      </x:c>
      <x:c r="E4" s="4" t="str">
        <x:v>no_variance_shrink</x:v>
      </x:c>
      <x:c r="F4" s="9" t="n">
        <x:v>1</x:v>
      </x:c>
      <x:c r="G4" s="9" t="n">
        <x:v>0.495795076040653</x:v>
      </x:c>
      <x:c r="H4" s="9" t="n">
        <x:v>0.597170186592332</x:v>
      </x:c>
      <x:c r="I4" s="9" t="n">
        <x:v>0.399879055368819</x:v>
      </x:c>
      <x:c r="J4" s="9" t="n">
        <x:v>0.532203064954027</x:v>
      </x:c>
      <x:c r="K4" s="9" t="n">
        <x:v>0.399879055368819</x:v>
      </x:c>
      <x:c r="L4" s="9" t="n">
        <x:v>0.532203064954027</x:v>
      </x:c>
      <x:c r="M4" s="9" t="n">
        <x:v>-19.34590021300839</x:v>
      </x:c>
      <x:c r="N4" s="9" t="n">
        <x:v>-10.87916361147072</x:v>
      </x:c>
      <x:c r="O4" s="9" t="n">
        <x:v>0.474802374839783</x:v>
      </x:c>
      <x:c r="P4" s="9" t="n">
        <x:v>0.47664225101471</x:v>
      </x:c>
      <x:c r="Q4" s="9" t="n">
        <x:v>94</x:v>
      </x:c>
      <x:c r="R4" s="9" t="n">
        <x:v>77</x:v>
      </x:c>
      <x:c r="S4" s="17" t="b">
        <x:v>1</x:v>
      </x:c>
      <x:c r="T4" s="18"/>
      <x:c r="U4" s="18"/>
    </x:row>
    <x:row r="5" ht="22" customHeight="1">
      <x:c r="A5" s="4" t="str">
        <x:v>MM-TSFlib</x:v>
      </x:c>
      <x:c r="B5" s="4" t="str">
        <x:v>Agriculture</x:v>
      </x:c>
      <x:c r="C5" s="4" t="n">
        <x:v>6</x:v>
      </x:c>
      <x:c r="D5" s="4" t="n">
        <x:v>2026</x:v>
      </x:c>
      <x:c r="E5" s="4" t="str">
        <x:v>no_variance_shrink</x:v>
      </x:c>
      <x:c r="F5" s="9" t="n">
        <x:v>1</x:v>
      </x:c>
      <x:c r="G5" s="9" t="n">
        <x:v>3.020122841615103</x:v>
      </x:c>
      <x:c r="H5" s="9" t="n">
        <x:v>1.279374996609722</x:v>
      </x:c>
      <x:c r="I5" s="9" t="n">
        <x:v>2.354937284434958</x:v>
      </x:c>
      <x:c r="J5" s="9" t="n">
        <x:v>1.113664975825776</x:v>
      </x:c>
      <x:c r="K5" s="9" t="n">
        <x:v>2.354937284434958</x:v>
      </x:c>
      <x:c r="L5" s="9" t="n">
        <x:v>1.113664975825776</x:v>
      </x:c>
      <x:c r="M5" s="9" t="n">
        <x:v>-22.02511593284784</x:v>
      </x:c>
      <x:c r="N5" s="9" t="n">
        <x:v>-12.952419831798212</x:v>
      </x:c>
      <x:c r="O5" s="9" t="n">
        <x:v>0.474802374839783</x:v>
      </x:c>
      <x:c r="P5" s="9" t="n">
        <x:v>0.503892660140991</x:v>
      </x:c>
      <x:c r="Q5" s="9" t="n">
        <x:v>94</x:v>
      </x:c>
      <x:c r="R5" s="9" t="n">
        <x:v>77</x:v>
      </x:c>
      <x:c r="S5" s="17" t="b">
        <x:v>1</x:v>
      </x:c>
      <x:c r="T5" s="18"/>
      <x:c r="U5" s="18"/>
    </x:row>
    <x:row r="6" ht="22" customHeight="1">
      <x:c r="A6" s="4" t="str">
        <x:v>SpecTF</x:v>
      </x:c>
      <x:c r="B6" s="4" t="str">
        <x:v>Agriculture</x:v>
      </x:c>
      <x:c r="C6" s="4" t="n">
        <x:v>6</x:v>
      </x:c>
      <x:c r="D6" s="4" t="n">
        <x:v>2026</x:v>
      </x:c>
      <x:c r="E6" s="4" t="str">
        <x:v>no_variance_shrink</x:v>
      </x:c>
      <x:c r="F6" s="9" t="n">
        <x:v>0.25</x:v>
      </x:c>
      <x:c r="G6" s="9" t="n">
        <x:v>0.209841164552612</x:v>
      </x:c>
      <x:c r="H6" s="9" t="n">
        <x:v>0.299483883888163</x:v>
      </x:c>
      <x:c r="I6" s="9" t="n">
        <x:v>0.196452435279117</x:v>
      </x:c>
      <x:c r="J6" s="9" t="n">
        <x:v>0.296066154190834</x:v>
      </x:c>
      <x:c r="K6" s="9" t="n">
        <x:v>0.182196797319963</x:v>
      </x:c>
      <x:c r="L6" s="9" t="n">
        <x:v>0.316031886119369</x:v>
      </x:c>
      <x:c r="M6" s="9" t="n">
        <x:v>-6.380411251548557</x:v>
      </x:c>
      <x:c r="N6" s="9" t="n">
        <x:v>-1.141206549399898</x:v>
      </x:c>
      <x:c r="O6" s="9" t="n">
        <x:v>0.474802374839783</x:v>
      </x:c>
      <x:c r="P6" s="9" t="n">
        <x:v>0.460557579994202</x:v>
      </x:c>
      <x:c r="Q6" s="9" t="n">
        <x:v>94</x:v>
      </x:c>
      <x:c r="R6" s="9" t="n">
        <x:v>77</x:v>
      </x:c>
      <x:c r="S6" s="17" t="b">
        <x:v>1</x:v>
      </x:c>
      <x:c r="T6" s="18"/>
      <x:c r="U6" s="18"/>
    </x:row>
    <x:row r="7" ht="22" customHeight="1">
      <x:c r="A7" s="4" t="str">
        <x:v>CFA</x:v>
      </x:c>
      <x:c r="B7" s="4" t="str">
        <x:v>Agriculture</x:v>
      </x:c>
      <x:c r="C7" s="4" t="n">
        <x:v>6</x:v>
      </x:c>
      <x:c r="D7" s="4" t="n">
        <x:v>2026</x:v>
      </x:c>
      <x:c r="E7" s="4" t="str">
        <x:v>no_variance_shrink</x:v>
      </x:c>
      <x:c r="F7" s="9" t="n">
        <x:v>0</x:v>
      </x:c>
      <x:c r="G7" s="9" t="n">
        <x:v>0.167850887495394</x:v>
      </x:c>
      <x:c r="H7" s="9" t="n">
        <x:v>0.289600725715042</x:v>
      </x:c>
      <x:c r="I7" s="9" t="n">
        <x:v>0.167850887495394</x:v>
      </x:c>
      <x:c r="J7" s="9" t="n">
        <x:v>0.289600725715042</x:v>
      </x:c>
      <x:c r="K7" s="9" t="n">
        <x:v>0.185521226035357</x:v>
      </x:c>
      <x:c r="L7" s="9" t="n">
        <x:v>0.332543922442916</x:v>
      </x:c>
      <x:c r="M7" s="9" t="n">
        <x:v>0</x:v>
      </x:c>
      <x:c r="N7" s="9" t="n">
        <x:v>0</x:v>
      </x:c>
      <x:c r="O7" s="9" t="n">
        <x:v>0.474802374839783</x:v>
      </x:c>
      <x:c r="P7" s="9" t="n">
        <x:v>0.456660568714142</x:v>
      </x:c>
      <x:c r="Q7" s="9" t="n">
        <x:v>94</x:v>
      </x:c>
      <x:c r="R7" s="9" t="n">
        <x:v>77</x:v>
      </x:c>
      <x:c r="S7" s="17" t="b">
        <x:v>0</x:v>
      </x:c>
      <x:c r="T7" s="18"/>
      <x:c r="U7" s="18"/>
    </x:row>
    <x:row r="8" ht="22" customHeight="1">
      <x:c r="A8" s="4" t="str">
        <x:v>Aurora</x:v>
      </x:c>
      <x:c r="B8" s="4" t="str">
        <x:v>Agriculture</x:v>
      </x:c>
      <x:c r="C8" s="4" t="n">
        <x:v>6</x:v>
      </x:c>
      <x:c r="D8" s="4" t="n">
        <x:v>2026</x:v>
      </x:c>
      <x:c r="E8" s="4" t="str">
        <x:v>no_variance_shrink</x:v>
      </x:c>
      <x:c r="F8" s="9" t="n">
        <x:v>1</x:v>
      </x:c>
      <x:c r="G8" s="9" t="n">
        <x:v>0.922082549920849</x:v>
      </x:c>
      <x:c r="H8" s="9" t="n">
        <x:v>0.690809362957664</x:v>
      </x:c>
      <x:c r="I8" s="9" t="n">
        <x:v>0.617716813475028</x:v>
      </x:c>
      <x:c r="J8" s="9" t="n">
        <x:v>0.586455327821962</x:v>
      </x:c>
      <x:c r="K8" s="9" t="n">
        <x:v>0.617716813475028</x:v>
      </x:c>
      <x:c r="L8" s="9" t="n">
        <x:v>0.586455327821962</x:v>
      </x:c>
      <x:c r="M8" s="9" t="n">
        <x:v>-33.00851279226003</x:v>
      </x:c>
      <x:c r="N8" s="9" t="n">
        <x:v>-15.106053960953249</x:v>
      </x:c>
      <x:c r="O8" s="9" t="n">
        <x:v>0.474802374839783</x:v>
      </x:c>
      <x:c r="P8" s="9" t="n">
        <x:v>0.498600214719772</x:v>
      </x:c>
      <x:c r="Q8" s="9" t="n">
        <x:v>94</x:v>
      </x:c>
      <x:c r="R8" s="9" t="n">
        <x:v>77</x:v>
      </x:c>
      <x:c r="S8" s="17" t="b">
        <x:v>1</x:v>
      </x:c>
      <x:c r="T8" s="18"/>
      <x:c r="U8" s="18"/>
    </x:row>
    <x:row r="9" ht="22" customHeight="1">
      <x:c r="A9" s="4" t="str">
        <x:v>TaTS</x:v>
      </x:c>
      <x:c r="B9" s="4" t="str">
        <x:v>Agriculture</x:v>
      </x:c>
      <x:c r="C9" s="4" t="n">
        <x:v>6</x:v>
      </x:c>
      <x:c r="D9" s="4" t="n">
        <x:v>2027</x:v>
      </x:c>
      <x:c r="E9" s="4" t="str">
        <x:v>no_variance_shrink</x:v>
      </x:c>
      <x:c r="F9" s="9" t="n">
        <x:v>1</x:v>
      </x:c>
      <x:c r="G9" s="9" t="n">
        <x:v>0.495795076040653</x:v>
      </x:c>
      <x:c r="H9" s="9" t="n">
        <x:v>0.597170186592332</x:v>
      </x:c>
      <x:c r="I9" s="9" t="n">
        <x:v>0.404177106461443</x:v>
      </x:c>
      <x:c r="J9" s="9" t="n">
        <x:v>0.536835263172785</x:v>
      </x:c>
      <x:c r="K9" s="9" t="n">
        <x:v>0.404177106461443</x:v>
      </x:c>
      <x:c r="L9" s="9" t="n">
        <x:v>0.536835263172785</x:v>
      </x:c>
      <x:c r="M9" s="9" t="n">
        <x:v>-18.478999491253155</x:v>
      </x:c>
      <x:c r="N9" s="9" t="n">
        <x:v>-10.103472138125213</x:v>
      </x:c>
      <x:c r="O9" s="9" t="n">
        <x:v>0.607010960578918</x:v>
      </x:c>
      <x:c r="P9" s="9" t="n">
        <x:v>0.476885616779327</x:v>
      </x:c>
      <x:c r="Q9" s="9" t="n">
        <x:v>94</x:v>
      </x:c>
      <x:c r="R9" s="9" t="n">
        <x:v>80</x:v>
      </x:c>
      <x:c r="S9" s="17" t="b">
        <x:v>1</x:v>
      </x:c>
      <x:c r="T9" s="18"/>
      <x:c r="U9" s="18"/>
    </x:row>
    <x:row r="10" ht="22" customHeight="1">
      <x:c r="A10" s="4" t="str">
        <x:v>MM-TSFlib</x:v>
      </x:c>
      <x:c r="B10" s="4" t="str">
        <x:v>Agriculture</x:v>
      </x:c>
      <x:c r="C10" s="4" t="n">
        <x:v>6</x:v>
      </x:c>
      <x:c r="D10" s="4" t="n">
        <x:v>2027</x:v>
      </x:c>
      <x:c r="E10" s="4" t="str">
        <x:v>no_variance_shrink</x:v>
      </x:c>
      <x:c r="F10" s="9" t="n">
        <x:v>1</x:v>
      </x:c>
      <x:c r="G10" s="9" t="n">
        <x:v>3.020122841615103</x:v>
      </x:c>
      <x:c r="H10" s="9" t="n">
        <x:v>1.279374996609722</x:v>
      </x:c>
      <x:c r="I10" s="9" t="n">
        <x:v>2.346820642462486</x:v>
      </x:c>
      <x:c r="J10" s="9" t="n">
        <x:v>1.111551750847634</x:v>
      </x:c>
      <x:c r="K10" s="9" t="n">
        <x:v>2.346820642462486</x:v>
      </x:c>
      <x:c r="L10" s="9" t="n">
        <x:v>1.111551750847634</x:v>
      </x:c>
      <x:c r="M10" s="9" t="n">
        <x:v>-22.293867980302014</x:v>
      </x:c>
      <x:c r="N10" s="9" t="n">
        <x:v>-13.117596186169877</x:v>
      </x:c>
      <x:c r="O10" s="9" t="n">
        <x:v>0.607010960578918</x:v>
      </x:c>
      <x:c r="P10" s="9" t="n">
        <x:v>0.510144591331482</x:v>
      </x:c>
      <x:c r="Q10" s="9" t="n">
        <x:v>94</x:v>
      </x:c>
      <x:c r="R10" s="9" t="n">
        <x:v>80</x:v>
      </x:c>
      <x:c r="S10" s="17" t="b">
        <x:v>1</x:v>
      </x:c>
      <x:c r="T10" s="18"/>
      <x:c r="U10" s="18"/>
    </x:row>
    <x:row r="11" ht="22" customHeight="1">
      <x:c r="A11" s="4" t="str">
        <x:v>SpecTF</x:v>
      </x:c>
      <x:c r="B11" s="4" t="str">
        <x:v>Agriculture</x:v>
      </x:c>
      <x:c r="C11" s="4" t="n">
        <x:v>6</x:v>
      </x:c>
      <x:c r="D11" s="4" t="n">
        <x:v>2027</x:v>
      </x:c>
      <x:c r="E11" s="4" t="str">
        <x:v>no_variance_shrink</x:v>
      </x:c>
      <x:c r="F11" s="9" t="n">
        <x:v>0.25</x:v>
      </x:c>
      <x:c r="G11" s="9" t="n">
        <x:v>0.209841164552612</x:v>
      </x:c>
      <x:c r="H11" s="9" t="n">
        <x:v>0.299483883888163</x:v>
      </x:c>
      <x:c r="I11" s="9" t="n">
        <x:v>0.197933885872923</x:v>
      </x:c>
      <x:c r="J11" s="9" t="n">
        <x:v>0.296862141460392</x:v>
      </x:c>
      <x:c r="K11" s="9" t="n">
        <x:v>0.186863959707376</x:v>
      </x:c>
      <x:c r="L11" s="9" t="n">
        <x:v>0.319883332184866</x:v>
      </x:c>
      <x:c r="M11" s="9" t="n">
        <x:v>-5.674424608286943</x:v>
      </x:c>
      <x:c r="N11" s="9" t="n">
        <x:v>-0.875420204163924</x:v>
      </x:c>
      <x:c r="O11" s="9" t="n">
        <x:v>0.607010960578918</x:v>
      </x:c>
      <x:c r="P11" s="9" t="n">
        <x:v>0.458000510931015</x:v>
      </x:c>
      <x:c r="Q11" s="9" t="n">
        <x:v>94</x:v>
      </x:c>
      <x:c r="R11" s="9" t="n">
        <x:v>80</x:v>
      </x:c>
      <x:c r="S11" s="17" t="b">
        <x:v>1</x:v>
      </x:c>
      <x:c r="T11" s="18"/>
      <x:c r="U11" s="18"/>
    </x:row>
    <x:row r="12" ht="22" customHeight="1">
      <x:c r="A12" s="4" t="str">
        <x:v>CFA</x:v>
      </x:c>
      <x:c r="B12" s="4" t="str">
        <x:v>Agriculture</x:v>
      </x:c>
      <x:c r="C12" s="4" t="n">
        <x:v>6</x:v>
      </x:c>
      <x:c r="D12" s="4" t="n">
        <x:v>2027</x:v>
      </x:c>
      <x:c r="E12" s="4" t="str">
        <x:v>no_variance_shrink</x:v>
      </x:c>
      <x:c r="F12" s="9" t="n">
        <x:v>0</x:v>
      </x:c>
      <x:c r="G12" s="9" t="n">
        <x:v>0.167850887495394</x:v>
      </x:c>
      <x:c r="H12" s="9" t="n">
        <x:v>0.289600725715042</x:v>
      </x:c>
      <x:c r="I12" s="9" t="n">
        <x:v>0.167850887495394</x:v>
      </x:c>
      <x:c r="J12" s="9" t="n">
        <x:v>0.289600725715042</x:v>
      </x:c>
      <x:c r="K12" s="9" t="n">
        <x:v>0.185041041005561</x:v>
      </x:c>
      <x:c r="L12" s="9" t="n">
        <x:v>0.332295840302258</x:v>
      </x:c>
      <x:c r="M12" s="9" t="n">
        <x:v>0</x:v>
      </x:c>
      <x:c r="N12" s="9" t="n">
        <x:v>0</x:v>
      </x:c>
      <x:c r="O12" s="9" t="n">
        <x:v>0.607010960578918</x:v>
      </x:c>
      <x:c r="P12" s="9" t="n">
        <x:v>0.448710709810257</x:v>
      </x:c>
      <x:c r="Q12" s="9" t="n">
        <x:v>94</x:v>
      </x:c>
      <x:c r="R12" s="9" t="n">
        <x:v>80</x:v>
      </x:c>
      <x:c r="S12" s="17" t="b">
        <x:v>0</x:v>
      </x:c>
      <x:c r="T12" s="18"/>
      <x:c r="U12" s="18"/>
    </x:row>
    <x:row r="13" ht="22" customHeight="1">
      <x:c r="A13" s="4" t="str">
        <x:v>Aurora</x:v>
      </x:c>
      <x:c r="B13" s="4" t="str">
        <x:v>Agriculture</x:v>
      </x:c>
      <x:c r="C13" s="4" t="n">
        <x:v>6</x:v>
      </x:c>
      <x:c r="D13" s="4" t="n">
        <x:v>2027</x:v>
      </x:c>
      <x:c r="E13" s="4" t="str">
        <x:v>no_variance_shrink</x:v>
      </x:c>
      <x:c r="F13" s="9" t="n">
        <x:v>1</x:v>
      </x:c>
      <x:c r="G13" s="9" t="n">
        <x:v>0.922082549920849</x:v>
      </x:c>
      <x:c r="H13" s="9" t="n">
        <x:v>0.690809362957664</x:v>
      </x:c>
      <x:c r="I13" s="9" t="n">
        <x:v>0.616663042959324</x:v>
      </x:c>
      <x:c r="J13" s="9" t="n">
        <x:v>0.586978132631762</x:v>
      </x:c>
      <x:c r="K13" s="9" t="n">
        <x:v>0.616663042959324</x:v>
      </x:c>
      <x:c r="L13" s="9" t="n">
        <x:v>0.586978132631762</x:v>
      </x:c>
      <x:c r="M13" s="9" t="n">
        <x:v>-33.122794373208976</x:v>
      </x:c>
      <x:c r="N13" s="9" t="n">
        <x:v>-15.030373919854522</x:v>
      </x:c>
      <x:c r="O13" s="9" t="n">
        <x:v>0.607010960578918</x:v>
      </x:c>
      <x:c r="P13" s="9" t="n">
        <x:v>0.499408960342407</x:v>
      </x:c>
      <x:c r="Q13" s="9" t="n">
        <x:v>94</x:v>
      </x:c>
      <x:c r="R13" s="9" t="n">
        <x:v>80</x:v>
      </x:c>
      <x:c r="S13" s="17" t="b">
        <x:v>1</x:v>
      </x:c>
      <x:c r="T13" s="18"/>
      <x:c r="U13" s="18"/>
    </x:row>
    <x:row r="14" ht="22" customHeight="1">
      <x:c r="A14" s="4" t="str">
        <x:v>TaTS</x:v>
      </x:c>
      <x:c r="B14" s="4" t="str">
        <x:v>Agriculture</x:v>
      </x:c>
      <x:c r="C14" s="4" t="n">
        <x:v>6</x:v>
      </x:c>
      <x:c r="D14" s="4" t="n">
        <x:v>2028</x:v>
      </x:c>
      <x:c r="E14" s="4" t="str">
        <x:v>no_variance_shrink</x:v>
      </x:c>
      <x:c r="F14" s="9" t="n">
        <x:v>1</x:v>
      </x:c>
      <x:c r="G14" s="9" t="n">
        <x:v>0.495795076040653</x:v>
      </x:c>
      <x:c r="H14" s="9" t="n">
        <x:v>0.597170186592332</x:v>
      </x:c>
      <x:c r="I14" s="9" t="n">
        <x:v>0.4001740288666</x:v>
      </x:c>
      <x:c r="J14" s="9" t="n">
        <x:v>0.532413340206687</x:v>
      </x:c>
      <x:c r="K14" s="9" t="n">
        <x:v>0.4001740288666</x:v>
      </x:c>
      <x:c r="L14" s="9" t="n">
        <x:v>0.532413340206687</x:v>
      </x:c>
      <x:c r="M14" s="9" t="n">
        <x:v>-19.2864051691818</x:v>
      </x:c>
      <x:c r="N14" s="9" t="n">
        <x:v>-10.84395166395874</x:v>
      </x:c>
      <x:c r="O14" s="9" t="n">
        <x:v>0.400901436805725</x:v>
      </x:c>
      <x:c r="P14" s="9" t="n">
        <x:v>0.480612605810165</x:v>
      </x:c>
      <x:c r="Q14" s="9" t="n">
        <x:v>94</x:v>
      </x:c>
      <x:c r="R14" s="9" t="n">
        <x:v>80</x:v>
      </x:c>
      <x:c r="S14" s="17" t="b">
        <x:v>1</x:v>
      </x:c>
      <x:c r="T14" s="18"/>
      <x:c r="U14" s="18"/>
    </x:row>
    <x:row r="15" ht="22" customHeight="1">
      <x:c r="A15" s="4" t="str">
        <x:v>MM-TSFlib</x:v>
      </x:c>
      <x:c r="B15" s="4" t="str">
        <x:v>Agriculture</x:v>
      </x:c>
      <x:c r="C15" s="4" t="n">
        <x:v>6</x:v>
      </x:c>
      <x:c r="D15" s="4" t="n">
        <x:v>2028</x:v>
      </x:c>
      <x:c r="E15" s="4" t="str">
        <x:v>no_variance_shrink</x:v>
      </x:c>
      <x:c r="F15" s="9" t="n">
        <x:v>1</x:v>
      </x:c>
      <x:c r="G15" s="9" t="n">
        <x:v>3.020122841615103</x:v>
      </x:c>
      <x:c r="H15" s="9" t="n">
        <x:v>1.279374996609722</x:v>
      </x:c>
      <x:c r="I15" s="9" t="n">
        <x:v>2.357222433112436</x:v>
      </x:c>
      <x:c r="J15" s="9" t="n">
        <x:v>1.114857325951258</x:v>
      </x:c>
      <x:c r="K15" s="9" t="n">
        <x:v>2.357222433112436</x:v>
      </x:c>
      <x:c r="L15" s="9" t="n">
        <x:v>1.114857325951258</x:v>
      </x:c>
      <x:c r="M15" s="9" t="n">
        <x:v>-21.94945183581209</x:v>
      </x:c>
      <x:c r="N15" s="9" t="n">
        <x:v>-12.859221971230216</x:v>
      </x:c>
      <x:c r="O15" s="9" t="n">
        <x:v>0.400901436805725</x:v>
      </x:c>
      <x:c r="P15" s="9" t="n">
        <x:v>0.497249752283096</x:v>
      </x:c>
      <x:c r="Q15" s="9" t="n">
        <x:v>94</x:v>
      </x:c>
      <x:c r="R15" s="9" t="n">
        <x:v>80</x:v>
      </x:c>
      <x:c r="S15" s="17" t="b">
        <x:v>1</x:v>
      </x:c>
      <x:c r="T15" s="18"/>
      <x:c r="U15" s="18"/>
    </x:row>
    <x:row r="16" ht="22" customHeight="1">
      <x:c r="A16" s="4" t="str">
        <x:v>SpecTF</x:v>
      </x:c>
      <x:c r="B16" s="4" t="str">
        <x:v>Agriculture</x:v>
      </x:c>
      <x:c r="C16" s="4" t="n">
        <x:v>6</x:v>
      </x:c>
      <x:c r="D16" s="4" t="n">
        <x:v>2028</x:v>
      </x:c>
      <x:c r="E16" s="4" t="str">
        <x:v>no_variance_shrink</x:v>
      </x:c>
      <x:c r="F16" s="9" t="n">
        <x:v>0.25</x:v>
      </x:c>
      <x:c r="G16" s="9" t="n">
        <x:v>0.209841164552612</x:v>
      </x:c>
      <x:c r="H16" s="9" t="n">
        <x:v>0.299483883888163</x:v>
      </x:c>
      <x:c r="I16" s="9" t="n">
        <x:v>0.195149156791022</x:v>
      </x:c>
      <x:c r="J16" s="9" t="n">
        <x:v>0.29511515024706</x:v>
      </x:c>
      <x:c r="K16" s="9" t="n">
        <x:v>0.179749891698467</x:v>
      </x:c>
      <x:c r="L16" s="9" t="n">
        <x:v>0.315060244173023</x:v>
      </x:c>
      <x:c r="M16" s="9" t="n">
        <x:v>-7.001489813933448</x:v>
      </x:c>
      <x:c r="N16" s="9" t="n">
        <x:v>-1.458754168800302</x:v>
      </x:c>
      <x:c r="O16" s="9" t="n">
        <x:v>0.400901436805725</x:v>
      </x:c>
      <x:c r="P16" s="9" t="n">
        <x:v>0.46800285577774</x:v>
      </x:c>
      <x:c r="Q16" s="9" t="n">
        <x:v>94</x:v>
      </x:c>
      <x:c r="R16" s="9" t="n">
        <x:v>80</x:v>
      </x:c>
      <x:c r="S16" s="17" t="b">
        <x:v>1</x:v>
      </x:c>
      <x:c r="T16" s="18"/>
      <x:c r="U16" s="18"/>
    </x:row>
    <x:row r="17" ht="22" customHeight="1">
      <x:c r="A17" s="4" t="str">
        <x:v>CFA</x:v>
      </x:c>
      <x:c r="B17" s="4" t="str">
        <x:v>Agriculture</x:v>
      </x:c>
      <x:c r="C17" s="4" t="n">
        <x:v>6</x:v>
      </x:c>
      <x:c r="D17" s="4" t="n">
        <x:v>2028</x:v>
      </x:c>
      <x:c r="E17" s="4" t="str">
        <x:v>no_variance_shrink</x:v>
      </x:c>
      <x:c r="F17" s="9" t="n">
        <x:v>0</x:v>
      </x:c>
      <x:c r="G17" s="9" t="n">
        <x:v>0.167850887495394</x:v>
      </x:c>
      <x:c r="H17" s="9" t="n">
        <x:v>0.289600725715042</x:v>
      </x:c>
      <x:c r="I17" s="9" t="n">
        <x:v>0.167850887495394</x:v>
      </x:c>
      <x:c r="J17" s="9" t="n">
        <x:v>0.289600725715042</x:v>
      </x:c>
      <x:c r="K17" s="9" t="n">
        <x:v>0.188476616782859</x:v>
      </x:c>
      <x:c r="L17" s="9" t="n">
        <x:v>0.334395871306142</x:v>
      </x:c>
      <x:c r="M17" s="9" t="n">
        <x:v>0</x:v>
      </x:c>
      <x:c r="N17" s="9" t="n">
        <x:v>0</x:v>
      </x:c>
      <x:c r="O17" s="9" t="n">
        <x:v>0.400901436805725</x:v>
      </x:c>
      <x:c r="P17" s="9" t="n">
        <x:v>0.46667605638504</x:v>
      </x:c>
      <x:c r="Q17" s="9" t="n">
        <x:v>94</x:v>
      </x:c>
      <x:c r="R17" s="9" t="n">
        <x:v>80</x:v>
      </x:c>
      <x:c r="S17" s="17" t="b">
        <x:v>0</x:v>
      </x:c>
      <x:c r="T17" s="18"/>
      <x:c r="U17" s="18"/>
    </x:row>
    <x:row r="18" ht="22" customHeight="1">
      <x:c r="A18" s="4" t="str">
        <x:v>Aurora</x:v>
      </x:c>
      <x:c r="B18" s="4" t="str">
        <x:v>Agriculture</x:v>
      </x:c>
      <x:c r="C18" s="4" t="n">
        <x:v>6</x:v>
      </x:c>
      <x:c r="D18" s="4" t="n">
        <x:v>2028</x:v>
      </x:c>
      <x:c r="E18" s="4" t="str">
        <x:v>no_variance_shrink</x:v>
      </x:c>
      <x:c r="F18" s="9" t="n">
        <x:v>1</x:v>
      </x:c>
      <x:c r="G18" s="9" t="n">
        <x:v>0.922082549920849</x:v>
      </x:c>
      <x:c r="H18" s="9" t="n">
        <x:v>0.690809362957664</x:v>
      </x:c>
      <x:c r="I18" s="9" t="n">
        <x:v>0.613728821735081</x:v>
      </x:c>
      <x:c r="J18" s="9" t="n">
        <x:v>0.583891395135974</x:v>
      </x:c>
      <x:c r="K18" s="9" t="n">
        <x:v>0.613728821735081</x:v>
      </x:c>
      <x:c r="L18" s="9" t="n">
        <x:v>0.583891395135974</x:v>
      </x:c>
      <x:c r="M18" s="9" t="n">
        <x:v>-33.441011134224006</x:v>
      </x:c>
      <x:c r="N18" s="9" t="n">
        <x:v>-15.477203054099586</x:v>
      </x:c>
      <x:c r="O18" s="9" t="n">
        <x:v>0.400901436805725</x:v>
      </x:c>
      <x:c r="P18" s="9" t="n">
        <x:v>0.492313295602798</x:v>
      </x:c>
      <x:c r="Q18" s="9" t="n">
        <x:v>94</x:v>
      </x:c>
      <x:c r="R18" s="9" t="n">
        <x:v>80</x:v>
      </x:c>
      <x:c r="S18" s="17" t="b">
        <x:v>1</x:v>
      </x:c>
      <x:c r="T18" s="18"/>
      <x:c r="U18" s="18"/>
    </x:row>
    <x:row r="19" ht="22" customHeight="1">
      <x:c r="A19" s="4" t="str">
        <x:v>TaTS</x:v>
      </x:c>
      <x:c r="B19" s="4" t="str">
        <x:v>Agriculture</x:v>
      </x:c>
      <x:c r="C19" s="4" t="n">
        <x:v>8</x:v>
      </x:c>
      <x:c r="D19" s="4" t="n">
        <x:v>2026</x:v>
      </x:c>
      <x:c r="E19" s="4" t="str">
        <x:v>no_variance_shrink</x:v>
      </x:c>
      <x:c r="F19" s="9" t="n">
        <x:v>1</x:v>
      </x:c>
      <x:c r="G19" s="9" t="n">
        <x:v>0.484192567678627</x:v>
      </x:c>
      <x:c r="H19" s="9" t="n">
        <x:v>0.572499158265798</x:v>
      </x:c>
      <x:c r="I19" s="9" t="n">
        <x:v>0.445799271299063</x:v>
      </x:c>
      <x:c r="J19" s="9" t="n">
        <x:v>0.535723211324733</x:v>
      </x:c>
      <x:c r="K19" s="9" t="n">
        <x:v>0.445799271299063</x:v>
      </x:c>
      <x:c r="L19" s="9" t="n">
        <x:v>0.535723211324733</x:v>
      </x:c>
      <x:c r="M19" s="9" t="n">
        <x:v>-7.929344426667551</x:v>
      </x:c>
      <x:c r="N19" s="9" t="n">
        <x:v>-6.423755635286121</x:v>
      </x:c>
      <x:c r="O19" s="9" t="n">
        <x:v>0.397466123104095</x:v>
      </x:c>
      <x:c r="P19" s="9" t="n">
        <x:v>0.487581789493561</x:v>
      </x:c>
      <x:c r="Q19" s="9" t="n">
        <x:v>92</x:v>
      </x:c>
      <x:c r="R19" s="9" t="n">
        <x:v>80</x:v>
      </x:c>
      <x:c r="S19" s="17" t="b">
        <x:v>1</x:v>
      </x:c>
      <x:c r="T19" s="18"/>
      <x:c r="U19" s="18"/>
    </x:row>
    <x:row r="20" ht="22" customHeight="1">
      <x:c r="A20" s="4" t="str">
        <x:v>MM-TSFlib</x:v>
      </x:c>
      <x:c r="B20" s="4" t="str">
        <x:v>Agriculture</x:v>
      </x:c>
      <x:c r="C20" s="4" t="n">
        <x:v>8</x:v>
      </x:c>
      <x:c r="D20" s="4" t="n">
        <x:v>2026</x:v>
      </x:c>
      <x:c r="E20" s="4" t="str">
        <x:v>no_variance_shrink</x:v>
      </x:c>
      <x:c r="F20" s="9" t="n">
        <x:v>1</x:v>
      </x:c>
      <x:c r="G20" s="9" t="n">
        <x:v>3.108282918725828</x:v>
      </x:c>
      <x:c r="H20" s="9" t="n">
        <x:v>1.289645807250686</x:v>
      </x:c>
      <x:c r="I20" s="9" t="n">
        <x:v>2.438441724117386</x:v>
      </x:c>
      <x:c r="J20" s="9" t="n">
        <x:v>1.126666006186734</x:v>
      </x:c>
      <x:c r="K20" s="9" t="n">
        <x:v>2.438441724117386</x:v>
      </x:c>
      <x:c r="L20" s="9" t="n">
        <x:v>1.126666006186734</x:v>
      </x:c>
      <x:c r="M20" s="9" t="n">
        <x:v>-21.55020029138881</x:v>
      </x:c>
      <x:c r="N20" s="9" t="n">
        <x:v>-12.637562976411198</x:v>
      </x:c>
      <x:c r="O20" s="9" t="n">
        <x:v>0.397466123104095</x:v>
      </x:c>
      <x:c r="P20" s="9" t="n">
        <x:v>0.509113669395447</x:v>
      </x:c>
      <x:c r="Q20" s="9" t="n">
        <x:v>92</x:v>
      </x:c>
      <x:c r="R20" s="9" t="n">
        <x:v>80</x:v>
      </x:c>
      <x:c r="S20" s="17" t="b">
        <x:v>1</x:v>
      </x:c>
      <x:c r="T20" s="18"/>
      <x:c r="U20" s="18"/>
    </x:row>
    <x:row r="21" ht="22" customHeight="1">
      <x:c r="A21" s="4" t="str">
        <x:v>SpecTF</x:v>
      </x:c>
      <x:c r="B21" s="4" t="str">
        <x:v>Agriculture</x:v>
      </x:c>
      <x:c r="C21" s="4" t="n">
        <x:v>8</x:v>
      </x:c>
      <x:c r="D21" s="4" t="n">
        <x:v>2026</x:v>
      </x:c>
      <x:c r="E21" s="4" t="str">
        <x:v>no_variance_shrink</x:v>
      </x:c>
      <x:c r="F21" s="9" t="n">
        <x:v>0</x:v>
      </x:c>
      <x:c r="G21" s="9" t="n">
        <x:v>0.285905947009229</x:v>
      </x:c>
      <x:c r="H21" s="9" t="n">
        <x:v>0.372190048351236</x:v>
      </x:c>
      <x:c r="I21" s="9" t="n">
        <x:v>0.285905947009229</x:v>
      </x:c>
      <x:c r="J21" s="9" t="n">
        <x:v>0.372190048351236</x:v>
      </x:c>
      <x:c r="K21" s="9" t="n">
        <x:v>0.253963574265563</x:v>
      </x:c>
      <x:c r="L21" s="9" t="n">
        <x:v>0.395429902750513</x:v>
      </x:c>
      <x:c r="M21" s="9" t="n">
        <x:v>0</x:v>
      </x:c>
      <x:c r="N21" s="9" t="n">
        <x:v>0</x:v>
      </x:c>
      <x:c r="O21" s="9" t="n">
        <x:v>0.397466123104095</x:v>
      </x:c>
      <x:c r="P21" s="9" t="n">
        <x:v>0.484437167644501</x:v>
      </x:c>
      <x:c r="Q21" s="9" t="n">
        <x:v>92</x:v>
      </x:c>
      <x:c r="R21" s="9" t="n">
        <x:v>80</x:v>
      </x:c>
      <x:c r="S21" s="17" t="b">
        <x:v>0</x:v>
      </x:c>
      <x:c r="T21" s="18"/>
      <x:c r="U21" s="18"/>
    </x:row>
    <x:row r="22" ht="22" customHeight="1">
      <x:c r="A22" s="4" t="str">
        <x:v>CFA</x:v>
      </x:c>
      <x:c r="B22" s="4" t="str">
        <x:v>Agriculture</x:v>
      </x:c>
      <x:c r="C22" s="4" t="n">
        <x:v>8</x:v>
      </x:c>
      <x:c r="D22" s="4" t="n">
        <x:v>2026</x:v>
      </x:c>
      <x:c r="E22" s="4" t="str">
        <x:v>no_variance_shrink</x:v>
      </x:c>
      <x:c r="F22" s="9" t="n">
        <x:v>0</x:v>
      </x:c>
      <x:c r="G22" s="9" t="n">
        <x:v>0.213515320031392</x:v>
      </x:c>
      <x:c r="H22" s="9" t="n">
        <x:v>0.319564600029717</x:v>
      </x:c>
      <x:c r="I22" s="9" t="n">
        <x:v>0.213515320031392</x:v>
      </x:c>
      <x:c r="J22" s="9" t="n">
        <x:v>0.319564600029717</x:v>
      </x:c>
      <x:c r="K22" s="9" t="n">
        <x:v>0.218264643132254</x:v>
      </x:c>
      <x:c r="L22" s="9" t="n">
        <x:v>0.358615076412325</x:v>
      </x:c>
      <x:c r="M22" s="9" t="n">
        <x:v>0</x:v>
      </x:c>
      <x:c r="N22" s="9" t="n">
        <x:v>0</x:v>
      </x:c>
      <x:c r="O22" s="9" t="n">
        <x:v>0.397466123104095</x:v>
      </x:c>
      <x:c r="P22" s="9" t="n">
        <x:v>0.480369985103607</x:v>
      </x:c>
      <x:c r="Q22" s="9" t="n">
        <x:v>92</x:v>
      </x:c>
      <x:c r="R22" s="9" t="n">
        <x:v>80</x:v>
      </x:c>
      <x:c r="S22" s="17" t="b">
        <x:v>0</x:v>
      </x:c>
      <x:c r="T22" s="18"/>
      <x:c r="U22" s="18"/>
    </x:row>
    <x:row r="23" ht="22" customHeight="1">
      <x:c r="A23" s="4" t="str">
        <x:v>Aurora</x:v>
      </x:c>
      <x:c r="B23" s="4" t="str">
        <x:v>Agriculture</x:v>
      </x:c>
      <x:c r="C23" s="4" t="n">
        <x:v>8</x:v>
      </x:c>
      <x:c r="D23" s="4" t="n">
        <x:v>2026</x:v>
      </x:c>
      <x:c r="E23" s="4" t="str">
        <x:v>no_variance_shrink</x:v>
      </x:c>
      <x:c r="F23" s="9" t="n">
        <x:v>1</x:v>
      </x:c>
      <x:c r="G23" s="9" t="n">
        <x:v>1.000703602706396</x:v>
      </x:c>
      <x:c r="H23" s="9" t="n">
        <x:v>0.722275969288919</x:v>
      </x:c>
      <x:c r="I23" s="9" t="n">
        <x:v>0.686293584108398</x:v>
      </x:c>
      <x:c r="J23" s="9" t="n">
        <x:v>0.61966018686476</x:v>
      </x:c>
      <x:c r="K23" s="9" t="n">
        <x:v>0.686293584108398</x:v>
      </x:c>
      <x:c r="L23" s="9" t="n">
        <x:v>0.61966018686476</x:v>
      </x:c>
      <x:c r="M23" s="9" t="n">
        <x:v>-31.418895439936268</x:v>
      </x:c>
      <x:c r="N23" s="9" t="n">
        <x:v>-14.207281812959229</x:v>
      </x:c>
      <x:c r="O23" s="9" t="n">
        <x:v>0.397466123104095</x:v>
      </x:c>
      <x:c r="P23" s="9" t="n">
        <x:v>0.505223512649536</x:v>
      </x:c>
      <x:c r="Q23" s="9" t="n">
        <x:v>92</x:v>
      </x:c>
      <x:c r="R23" s="9" t="n">
        <x:v>80</x:v>
      </x:c>
      <x:c r="S23" s="17" t="b">
        <x:v>1</x:v>
      </x:c>
      <x:c r="T23" s="18"/>
      <x:c r="U23" s="18"/>
    </x:row>
    <x:row r="24" ht="22" customHeight="1">
      <x:c r="A24" s="4" t="str">
        <x:v>TaTS</x:v>
      </x:c>
      <x:c r="B24" s="4" t="str">
        <x:v>Agriculture</x:v>
      </x:c>
      <x:c r="C24" s="4" t="n">
        <x:v>8</x:v>
      </x:c>
      <x:c r="D24" s="4" t="n">
        <x:v>2027</x:v>
      </x:c>
      <x:c r="E24" s="4" t="str">
        <x:v>no_variance_shrink</x:v>
      </x:c>
      <x:c r="F24" s="9" t="n">
        <x:v>1</x:v>
      </x:c>
      <x:c r="G24" s="9" t="n">
        <x:v>0.484192567678627</x:v>
      </x:c>
      <x:c r="H24" s="9" t="n">
        <x:v>0.572499158265798</x:v>
      </x:c>
      <x:c r="I24" s="9" t="n">
        <x:v>0.442409839919071</x:v>
      </x:c>
      <x:c r="J24" s="9" t="n">
        <x:v>0.535070924007374</x:v>
      </x:c>
      <x:c r="K24" s="9" t="n">
        <x:v>0.442409839919071</x:v>
      </x:c>
      <x:c r="L24" s="9" t="n">
        <x:v>0.535070924007374</x:v>
      </x:c>
      <x:c r="M24" s="9" t="n">
        <x:v>-8.629361652508571</x:v>
      </x:c>
      <x:c r="N24" s="9" t="n">
        <x:v>-6.537692452125254</x:v>
      </x:c>
      <x:c r="O24" s="9" t="n">
        <x:v>0.604517579078674</x:v>
      </x:c>
      <x:c r="P24" s="9" t="n">
        <x:v>0.482126235961914</x:v>
      </x:c>
      <x:c r="Q24" s="9" t="n">
        <x:v>92</x:v>
      </x:c>
      <x:c r="R24" s="9" t="n">
        <x:v>80</x:v>
      </x:c>
      <x:c r="S24" s="17" t="b">
        <x:v>1</x:v>
      </x:c>
      <x:c r="T24" s="18"/>
      <x:c r="U24" s="18"/>
    </x:row>
    <x:row r="25" ht="22" customHeight="1">
      <x:c r="A25" s="4" t="str">
        <x:v>MM-TSFlib</x:v>
      </x:c>
      <x:c r="B25" s="4" t="str">
        <x:v>Agriculture</x:v>
      </x:c>
      <x:c r="C25" s="4" t="n">
        <x:v>8</x:v>
      </x:c>
      <x:c r="D25" s="4" t="n">
        <x:v>2027</x:v>
      </x:c>
      <x:c r="E25" s="4" t="str">
        <x:v>no_variance_shrink</x:v>
      </x:c>
      <x:c r="F25" s="9" t="n">
        <x:v>1</x:v>
      </x:c>
      <x:c r="G25" s="9" t="n">
        <x:v>3.108282918725828</x:v>
      </x:c>
      <x:c r="H25" s="9" t="n">
        <x:v>1.289645807250686</x:v>
      </x:c>
      <x:c r="I25" s="9" t="n">
        <x:v>2.437321090890085</x:v>
      </x:c>
      <x:c r="J25" s="9" t="n">
        <x:v>1.126331687135541</x:v>
      </x:c>
      <x:c r="K25" s="9" t="n">
        <x:v>2.437321090890085</x:v>
      </x:c>
      <x:c r="L25" s="9" t="n">
        <x:v>1.126331687135541</x:v>
      </x:c>
      <x:c r="M25" s="9" t="n">
        <x:v>-21.58625341964655</x:v>
      </x:c>
      <x:c r="N25" s="9" t="n">
        <x:v>-12.663486299645664</x:v>
      </x:c>
      <x:c r="O25" s="9" t="n">
        <x:v>0.604517579078674</x:v>
      </x:c>
      <x:c r="P25" s="9" t="n">
        <x:v>0.510118544101715</x:v>
      </x:c>
      <x:c r="Q25" s="9" t="n">
        <x:v>92</x:v>
      </x:c>
      <x:c r="R25" s="9" t="n">
        <x:v>80</x:v>
      </x:c>
      <x:c r="S25" s="17" t="b">
        <x:v>1</x:v>
      </x:c>
      <x:c r="T25" s="18"/>
      <x:c r="U25" s="18"/>
    </x:row>
    <x:row r="26" ht="22" customHeight="1">
      <x:c r="A26" s="4" t="str">
        <x:v>SpecTF</x:v>
      </x:c>
      <x:c r="B26" s="4" t="str">
        <x:v>Agriculture</x:v>
      </x:c>
      <x:c r="C26" s="4" t="n">
        <x:v>8</x:v>
      </x:c>
      <x:c r="D26" s="4" t="n">
        <x:v>2027</x:v>
      </x:c>
      <x:c r="E26" s="4" t="str">
        <x:v>no_variance_shrink</x:v>
      </x:c>
      <x:c r="F26" s="9" t="n">
        <x:v>0</x:v>
      </x:c>
      <x:c r="G26" s="9" t="n">
        <x:v>0.285905947009229</x:v>
      </x:c>
      <x:c r="H26" s="9" t="n">
        <x:v>0.372190048351236</x:v>
      </x:c>
      <x:c r="I26" s="9" t="n">
        <x:v>0.285905947009229</x:v>
      </x:c>
      <x:c r="J26" s="9" t="n">
        <x:v>0.372190048351236</x:v>
      </x:c>
      <x:c r="K26" s="9" t="n">
        <x:v>0.254687763730714</x:v>
      </x:c>
      <x:c r="L26" s="9" t="n">
        <x:v>0.395550436947657</x:v>
      </x:c>
      <x:c r="M26" s="9" t="n">
        <x:v>0</x:v>
      </x:c>
      <x:c r="N26" s="9" t="n">
        <x:v>0</x:v>
      </x:c>
      <x:c r="O26" s="9" t="n">
        <x:v>0.604517579078674</x:v>
      </x:c>
      <x:c r="P26" s="9" t="n">
        <x:v>0.477771997451782</x:v>
      </x:c>
      <x:c r="Q26" s="9" t="n">
        <x:v>92</x:v>
      </x:c>
      <x:c r="R26" s="9" t="n">
        <x:v>80</x:v>
      </x:c>
      <x:c r="S26" s="17" t="b">
        <x:v>0</x:v>
      </x:c>
      <x:c r="T26" s="18"/>
      <x:c r="U26" s="18"/>
    </x:row>
    <x:row r="27" ht="22" customHeight="1">
      <x:c r="A27" s="4" t="str">
        <x:v>CFA</x:v>
      </x:c>
      <x:c r="B27" s="4" t="str">
        <x:v>Agriculture</x:v>
      </x:c>
      <x:c r="C27" s="4" t="n">
        <x:v>8</x:v>
      </x:c>
      <x:c r="D27" s="4" t="n">
        <x:v>2027</x:v>
      </x:c>
      <x:c r="E27" s="4" t="str">
        <x:v>no_variance_shrink</x:v>
      </x:c>
      <x:c r="F27" s="9" t="n">
        <x:v>0</x:v>
      </x:c>
      <x:c r="G27" s="9" t="n">
        <x:v>0.213515320031392</x:v>
      </x:c>
      <x:c r="H27" s="9" t="n">
        <x:v>0.319564600029717</x:v>
      </x:c>
      <x:c r="I27" s="9" t="n">
        <x:v>0.213515320031392</x:v>
      </x:c>
      <x:c r="J27" s="9" t="n">
        <x:v>0.319564600029717</x:v>
      </x:c>
      <x:c r="K27" s="9" t="n">
        <x:v>0.21955475285568</x:v>
      </x:c>
      <x:c r="L27" s="9" t="n">
        <x:v>0.360451320429211</x:v>
      </x:c>
      <x:c r="M27" s="9" t="n">
        <x:v>0</x:v>
      </x:c>
      <x:c r="N27" s="9" t="n">
        <x:v>0</x:v>
      </x:c>
      <x:c r="O27" s="9" t="n">
        <x:v>0.604517579078674</x:v>
      </x:c>
      <x:c r="P27" s="9" t="n">
        <x:v>0.472757756710052</x:v>
      </x:c>
      <x:c r="Q27" s="9" t="n">
        <x:v>92</x:v>
      </x:c>
      <x:c r="R27" s="9" t="n">
        <x:v>80</x:v>
      </x:c>
      <x:c r="S27" s="17" t="b">
        <x:v>0</x:v>
      </x:c>
      <x:c r="T27" s="18"/>
      <x:c r="U27" s="18"/>
    </x:row>
    <x:row r="28" ht="22" customHeight="1">
      <x:c r="A28" s="4" t="str">
        <x:v>Aurora</x:v>
      </x:c>
      <x:c r="B28" s="4" t="str">
        <x:v>Agriculture</x:v>
      </x:c>
      <x:c r="C28" s="4" t="n">
        <x:v>8</x:v>
      </x:c>
      <x:c r="D28" s="4" t="n">
        <x:v>2027</x:v>
      </x:c>
      <x:c r="E28" s="4" t="str">
        <x:v>no_variance_shrink</x:v>
      </x:c>
      <x:c r="F28" s="9" t="n">
        <x:v>1</x:v>
      </x:c>
      <x:c r="G28" s="9" t="n">
        <x:v>1.000703602706396</x:v>
      </x:c>
      <x:c r="H28" s="9" t="n">
        <x:v>0.722275969288919</x:v>
      </x:c>
      <x:c r="I28" s="9" t="n">
        <x:v>0.685370327174764</x:v>
      </x:c>
      <x:c r="J28" s="9" t="n">
        <x:v>0.619741578302954</x:v>
      </x:c>
      <x:c r="K28" s="9" t="n">
        <x:v>0.685370327174764</x:v>
      </x:c>
      <x:c r="L28" s="9" t="n">
        <x:v>0.619741578302954</x:v>
      </x:c>
      <x:c r="M28" s="9" t="n">
        <x:v>-31.51115621836633</x:v>
      </x:c>
      <x:c r="N28" s="9" t="n">
        <x:v>-14.196013067818225</x:v>
      </x:c>
      <x:c r="O28" s="9" t="n">
        <x:v>0.604517579078674</x:v>
      </x:c>
      <x:c r="P28" s="9" t="n">
        <x:v>0.505792796611786</x:v>
      </x:c>
      <x:c r="Q28" s="9" t="n">
        <x:v>92</x:v>
      </x:c>
      <x:c r="R28" s="9" t="n">
        <x:v>80</x:v>
      </x:c>
      <x:c r="S28" s="17" t="b">
        <x:v>1</x:v>
      </x:c>
      <x:c r="T28" s="18"/>
      <x:c r="U28" s="18"/>
    </x:row>
    <x:row r="29" ht="22" customHeight="1">
      <x:c r="A29" s="4" t="str">
        <x:v>TaTS</x:v>
      </x:c>
      <x:c r="B29" s="4" t="str">
        <x:v>Agriculture</x:v>
      </x:c>
      <x:c r="C29" s="4" t="n">
        <x:v>8</x:v>
      </x:c>
      <x:c r="D29" s="4" t="n">
        <x:v>2028</x:v>
      </x:c>
      <x:c r="E29" s="4" t="str">
        <x:v>no_variance_shrink</x:v>
      </x:c>
      <x:c r="F29" s="9" t="n">
        <x:v>1</x:v>
      </x:c>
      <x:c r="G29" s="9" t="n">
        <x:v>0.484192567678627</x:v>
      </x:c>
      <x:c r="H29" s="9" t="n">
        <x:v>0.572499158265798</x:v>
      </x:c>
      <x:c r="I29" s="9" t="n">
        <x:v>0.448060626051574</x:v>
      </x:c>
      <x:c r="J29" s="9" t="n">
        <x:v>0.536909055774627</x:v>
      </x:c>
      <x:c r="K29" s="9" t="n">
        <x:v>0.448060626051574</x:v>
      </x:c>
      <x:c r="L29" s="9" t="n">
        <x:v>0.536909055774627</x:v>
      </x:c>
      <x:c r="M29" s="9" t="n">
        <x:v>-7.462308188719313</x:v>
      </x:c>
      <x:c r="N29" s="9" t="n">
        <x:v>-6.216620929012406</x:v>
      </x:c>
      <x:c r="O29" s="9" t="n">
        <x:v>0.468450874090195</x:v>
      </x:c>
      <x:c r="P29" s="9" t="n">
        <x:v>0.488044321537018</x:v>
      </x:c>
      <x:c r="Q29" s="9" t="n">
        <x:v>92</x:v>
      </x:c>
      <x:c r="R29" s="9" t="n">
        <x:v>77</x:v>
      </x:c>
      <x:c r="S29" s="17" t="b">
        <x:v>1</x:v>
      </x:c>
      <x:c r="T29" s="18"/>
      <x:c r="U29" s="18"/>
    </x:row>
    <x:row r="30" ht="22" customHeight="1">
      <x:c r="A30" s="4" t="str">
        <x:v>MM-TSFlib</x:v>
      </x:c>
      <x:c r="B30" s="4" t="str">
        <x:v>Agriculture</x:v>
      </x:c>
      <x:c r="C30" s="4" t="n">
        <x:v>8</x:v>
      </x:c>
      <x:c r="D30" s="4" t="n">
        <x:v>2028</x:v>
      </x:c>
      <x:c r="E30" s="4" t="str">
        <x:v>no_variance_shrink</x:v>
      </x:c>
      <x:c r="F30" s="9" t="n">
        <x:v>1</x:v>
      </x:c>
      <x:c r="G30" s="9" t="n">
        <x:v>3.108282918725828</x:v>
      </x:c>
      <x:c r="H30" s="9" t="n">
        <x:v>1.289645807250686</x:v>
      </x:c>
      <x:c r="I30" s="9" t="n">
        <x:v>2.43945535295471</x:v>
      </x:c>
      <x:c r="J30" s="9" t="n">
        <x:v>1.127205291519994</x:v>
      </x:c>
      <x:c r="K30" s="9" t="n">
        <x:v>2.43945535295471</x:v>
      </x:c>
      <x:c r="L30" s="9" t="n">
        <x:v>1.127205291519994</x:v>
      </x:c>
      <x:c r="M30" s="9" t="n">
        <x:v>-21.51758971944837</x:v>
      </x:c>
      <x:c r="N30" s="9" t="n">
        <x:v>-12.595746430331012</x:v>
      </x:c>
      <x:c r="O30" s="9" t="n">
        <x:v>0.468450874090195</x:v>
      </x:c>
      <x:c r="P30" s="9" t="n">
        <x:v>0.505742907524109</x:v>
      </x:c>
      <x:c r="Q30" s="9" t="n">
        <x:v>92</x:v>
      </x:c>
      <x:c r="R30" s="9" t="n">
        <x:v>77</x:v>
      </x:c>
      <x:c r="S30" s="17" t="b">
        <x:v>1</x:v>
      </x:c>
      <x:c r="T30" s="18"/>
      <x:c r="U30" s="18"/>
    </x:row>
    <x:row r="31" ht="22" customHeight="1">
      <x:c r="A31" s="4" t="str">
        <x:v>SpecTF</x:v>
      </x:c>
      <x:c r="B31" s="4" t="str">
        <x:v>Agriculture</x:v>
      </x:c>
      <x:c r="C31" s="4" t="n">
        <x:v>8</x:v>
      </x:c>
      <x:c r="D31" s="4" t="n">
        <x:v>2028</x:v>
      </x:c>
      <x:c r="E31" s="4" t="str">
        <x:v>no_variance_shrink</x:v>
      </x:c>
      <x:c r="F31" s="9" t="n">
        <x:v>0</x:v>
      </x:c>
      <x:c r="G31" s="9" t="n">
        <x:v>0.285905947009229</x:v>
      </x:c>
      <x:c r="H31" s="9" t="n">
        <x:v>0.372190048351236</x:v>
      </x:c>
      <x:c r="I31" s="9" t="n">
        <x:v>0.285905947009229</x:v>
      </x:c>
      <x:c r="J31" s="9" t="n">
        <x:v>0.372190048351236</x:v>
      </x:c>
      <x:c r="K31" s="9" t="n">
        <x:v>0.252186329966721</x:v>
      </x:c>
      <x:c r="L31" s="9" t="n">
        <x:v>0.394060829411382</x:v>
      </x:c>
      <x:c r="M31" s="9" t="n">
        <x:v>0</x:v>
      </x:c>
      <x:c r="N31" s="9" t="n">
        <x:v>0</x:v>
      </x:c>
      <x:c r="O31" s="9" t="n">
        <x:v>0.468450874090195</x:v>
      </x:c>
      <x:c r="P31" s="9" t="n">
        <x:v>0.486413776874542</x:v>
      </x:c>
      <x:c r="Q31" s="9" t="n">
        <x:v>92</x:v>
      </x:c>
      <x:c r="R31" s="9" t="n">
        <x:v>77</x:v>
      </x:c>
      <x:c r="S31" s="17" t="b">
        <x:v>0</x:v>
      </x:c>
      <x:c r="T31" s="18"/>
      <x:c r="U31" s="18"/>
    </x:row>
    <x:row r="32" ht="22" customHeight="1">
      <x:c r="A32" s="4" t="str">
        <x:v>CFA</x:v>
      </x:c>
      <x:c r="B32" s="4" t="str">
        <x:v>Agriculture</x:v>
      </x:c>
      <x:c r="C32" s="4" t="n">
        <x:v>8</x:v>
      </x:c>
      <x:c r="D32" s="4" t="n">
        <x:v>2028</x:v>
      </x:c>
      <x:c r="E32" s="4" t="str">
        <x:v>no_variance_shrink</x:v>
      </x:c>
      <x:c r="F32" s="9" t="n">
        <x:v>0</x:v>
      </x:c>
      <x:c r="G32" s="9" t="n">
        <x:v>0.213515320031392</x:v>
      </x:c>
      <x:c r="H32" s="9" t="n">
        <x:v>0.319564600029717</x:v>
      </x:c>
      <x:c r="I32" s="9" t="n">
        <x:v>0.213515320031392</x:v>
      </x:c>
      <x:c r="J32" s="9" t="n">
        <x:v>0.319564600029717</x:v>
      </x:c>
      <x:c r="K32" s="9" t="n">
        <x:v>0.218673739930957</x:v>
      </x:c>
      <x:c r="L32" s="9" t="n">
        <x:v>0.358840670922528</x:v>
      </x:c>
      <x:c r="M32" s="9" t="n">
        <x:v>0</x:v>
      </x:c>
      <x:c r="N32" s="9" t="n">
        <x:v>0</x:v>
      </x:c>
      <x:c r="O32" s="9" t="n">
        <x:v>0.468450874090195</x:v>
      </x:c>
      <x:c r="P32" s="9" t="n">
        <x:v>0.485600799322128</x:v>
      </x:c>
      <x:c r="Q32" s="9" t="n">
        <x:v>92</x:v>
      </x:c>
      <x:c r="R32" s="9" t="n">
        <x:v>77</x:v>
      </x:c>
      <x:c r="S32" s="17" t="b">
        <x:v>0</x:v>
      </x:c>
      <x:c r="T32" s="18"/>
      <x:c r="U32" s="18"/>
    </x:row>
    <x:row r="33" ht="22" customHeight="1">
      <x:c r="A33" s="4" t="str">
        <x:v>Aurora</x:v>
      </x:c>
      <x:c r="B33" s="4" t="str">
        <x:v>Agriculture</x:v>
      </x:c>
      <x:c r="C33" s="4" t="n">
        <x:v>8</x:v>
      </x:c>
      <x:c r="D33" s="4" t="n">
        <x:v>2028</x:v>
      </x:c>
      <x:c r="E33" s="4" t="str">
        <x:v>no_variance_shrink</x:v>
      </x:c>
      <x:c r="F33" s="9" t="n">
        <x:v>1</x:v>
      </x:c>
      <x:c r="G33" s="9" t="n">
        <x:v>1.000703602706396</x:v>
      </x:c>
      <x:c r="H33" s="9" t="n">
        <x:v>0.722275969288919</x:v>
      </x:c>
      <x:c r="I33" s="9" t="n">
        <x:v>0.684287154581082</x:v>
      </x:c>
      <x:c r="J33" s="9" t="n">
        <x:v>0.618289517643659</x:v>
      </x:c>
      <x:c r="K33" s="9" t="n">
        <x:v>0.684287154581082</x:v>
      </x:c>
      <x:c r="L33" s="9" t="n">
        <x:v>0.618289517643659</x:v>
      </x:c>
      <x:c r="M33" s="9" t="n">
        <x:v>-31.61939731900312</x:v>
      </x:c>
      <x:c r="N33" s="9" t="n">
        <x:v>-14.39705265947514</x:v>
      </x:c>
      <x:c r="O33" s="9" t="n">
        <x:v>0.468450874090195</x:v>
      </x:c>
      <x:c r="P33" s="9" t="n">
        <x:v>0.501350104808807</x:v>
      </x:c>
      <x:c r="Q33" s="9" t="n">
        <x:v>92</x:v>
      </x:c>
      <x:c r="R33" s="9" t="n">
        <x:v>77</x:v>
      </x:c>
      <x:c r="S33" s="17" t="b">
        <x:v>1</x:v>
      </x:c>
      <x:c r="T33" s="18"/>
      <x:c r="U33" s="18"/>
    </x:row>
    <x:row r="34" ht="22" customHeight="1">
      <x:c r="A34" s="4" t="str">
        <x:v>TaTS</x:v>
      </x:c>
      <x:c r="B34" s="4" t="str">
        <x:v>Agriculture</x:v>
      </x:c>
      <x:c r="C34" s="4" t="n">
        <x:v>10</x:v>
      </x:c>
      <x:c r="D34" s="4" t="n">
        <x:v>2026</x:v>
      </x:c>
      <x:c r="E34" s="4" t="str">
        <x:v>no_variance_shrink</x:v>
      </x:c>
      <x:c r="F34" s="9" t="n">
        <x:v>1</x:v>
      </x:c>
      <x:c r="G34" s="9" t="n">
        <x:v>0.66027575358582</x:v>
      </x:c>
      <x:c r="H34" s="9" t="n">
        <x:v>0.644641374879413</x:v>
      </x:c>
      <x:c r="I34" s="9" t="n">
        <x:v>0.566434389195012</x:v>
      </x:c>
      <x:c r="J34" s="9" t="n">
        <x:v>0.584551108678182</x:v>
      </x:c>
      <x:c r="K34" s="9" t="n">
        <x:v>0.566434389195012</x:v>
      </x:c>
      <x:c r="L34" s="9" t="n">
        <x:v>0.584551108678182</x:v>
      </x:c>
      <x:c r="M34" s="9" t="n">
        <x:v>-14.212450461973605</x:v>
      </x:c>
      <x:c r="N34" s="9" t="n">
        <x:v>-9.32150317104169</x:v>
      </x:c>
      <x:c r="O34" s="9" t="n">
        <x:v>0.409972727298737</x:v>
      </x:c>
      <x:c r="P34" s="9" t="n">
        <x:v>0.494017779827118</x:v>
      </x:c>
      <x:c r="Q34" s="9" t="n">
        <x:v>90</x:v>
      </x:c>
      <x:c r="R34" s="9" t="n">
        <x:v>80</x:v>
      </x:c>
      <x:c r="S34" s="17" t="b">
        <x:v>1</x:v>
      </x:c>
      <x:c r="T34" s="18"/>
      <x:c r="U34" s="18"/>
    </x:row>
    <x:row r="35" ht="22" customHeight="1">
      <x:c r="A35" s="4" t="str">
        <x:v>MM-TSFlib</x:v>
      </x:c>
      <x:c r="B35" s="4" t="str">
        <x:v>Agriculture</x:v>
      </x:c>
      <x:c r="C35" s="4" t="n">
        <x:v>10</x:v>
      </x:c>
      <x:c r="D35" s="4" t="n">
        <x:v>2026</x:v>
      </x:c>
      <x:c r="E35" s="4" t="str">
        <x:v>no_variance_shrink</x:v>
      </x:c>
      <x:c r="F35" s="9" t="n">
        <x:v>1</x:v>
      </x:c>
      <x:c r="G35" s="9" t="n">
        <x:v>3.134140358334833</x:v>
      </x:c>
      <x:c r="H35" s="9" t="n">
        <x:v>1.297273069355223</x:v>
      </x:c>
      <x:c r="I35" s="9" t="n">
        <x:v>2.470799476735098</x:v>
      </x:c>
      <x:c r="J35" s="9" t="n">
        <x:v>1.136314627197054</x:v>
      </x:c>
      <x:c r="K35" s="9" t="n">
        <x:v>2.470799476735098</x:v>
      </x:c>
      <x:c r="L35" s="9" t="n">
        <x:v>1.136314627197054</x:v>
      </x:c>
      <x:c r="M35" s="9" t="n">
        <x:v>-21.165002385284627</x:v>
      </x:c>
      <x:c r="N35" s="9" t="n">
        <x:v>-12.407444967478565</x:v>
      </x:c>
      <x:c r="O35" s="9" t="n">
        <x:v>0.409972727298737</x:v>
      </x:c>
      <x:c r="P35" s="9" t="n">
        <x:v>0.511414110660553</x:v>
      </x:c>
      <x:c r="Q35" s="9" t="n">
        <x:v>90</x:v>
      </x:c>
      <x:c r="R35" s="9" t="n">
        <x:v>80</x:v>
      </x:c>
      <x:c r="S35" s="17" t="b">
        <x:v>1</x:v>
      </x:c>
      <x:c r="T35" s="18"/>
      <x:c r="U35" s="18"/>
    </x:row>
    <x:row r="36" ht="22" customHeight="1">
      <x:c r="A36" s="4" t="str">
        <x:v>SpecTF</x:v>
      </x:c>
      <x:c r="B36" s="4" t="str">
        <x:v>Agriculture</x:v>
      </x:c>
      <x:c r="C36" s="4" t="n">
        <x:v>10</x:v>
      </x:c>
      <x:c r="D36" s="4" t="n">
        <x:v>2026</x:v>
      </x:c>
      <x:c r="E36" s="4" t="str">
        <x:v>no_variance_shrink</x:v>
      </x:c>
      <x:c r="F36" s="9" t="n">
        <x:v>0.25</x:v>
      </x:c>
      <x:c r="G36" s="9" t="n">
        <x:v>0.374515693974826</x:v>
      </x:c>
      <x:c r="H36" s="9" t="n">
        <x:v>0.44496886783176</x:v>
      </x:c>
      <x:c r="I36" s="9" t="n">
        <x:v>0.357376653130076</x:v>
      </x:c>
      <x:c r="J36" s="9" t="n">
        <x:v>0.441269693904453</x:v>
      </x:c>
      <x:c r="K36" s="9" t="n">
        <x:v>0.335060477856412</x:v>
      </x:c>
      <x:c r="L36" s="9" t="n">
        <x:v>0.453647780153486</x:v>
      </x:c>
      <x:c r="M36" s="9" t="n">
        <x:v>-4.576321131659277</x:v>
      </x:c>
      <x:c r="N36" s="9" t="n">
        <x:v>-0.831333199855622</x:v>
      </x:c>
      <x:c r="O36" s="9" t="n">
        <x:v>0.409972727298737</x:v>
      </x:c>
      <x:c r="P36" s="9" t="n">
        <x:v>0.486949592828751</x:v>
      </x:c>
      <x:c r="Q36" s="9" t="n">
        <x:v>90</x:v>
      </x:c>
      <x:c r="R36" s="9" t="n">
        <x:v>80</x:v>
      </x:c>
      <x:c r="S36" s="17" t="b">
        <x:v>1</x:v>
      </x:c>
      <x:c r="T36" s="18"/>
      <x:c r="U36" s="18"/>
    </x:row>
    <x:row r="37" ht="22" customHeight="1">
      <x:c r="A37" s="4" t="str">
        <x:v>CFA</x:v>
      </x:c>
      <x:c r="B37" s="4" t="str">
        <x:v>Agriculture</x:v>
      </x:c>
      <x:c r="C37" s="4" t="n">
        <x:v>10</x:v>
      </x:c>
      <x:c r="D37" s="4" t="n">
        <x:v>2026</x:v>
      </x:c>
      <x:c r="E37" s="4" t="str">
        <x:v>no_variance_shrink</x:v>
      </x:c>
      <x:c r="F37" s="9" t="n">
        <x:v>0</x:v>
      </x:c>
      <x:c r="G37" s="9" t="n">
        <x:v>0.295766570313701</x:v>
      </x:c>
      <x:c r="H37" s="9" t="n">
        <x:v>0.370982690122392</x:v>
      </x:c>
      <x:c r="I37" s="9" t="n">
        <x:v>0.295766570313701</x:v>
      </x:c>
      <x:c r="J37" s="9" t="n">
        <x:v>0.370982690122392</x:v>
      </x:c>
      <x:c r="K37" s="9" t="n">
        <x:v>0.267340908281214</x:v>
      </x:c>
      <x:c r="L37" s="9" t="n">
        <x:v>0.38947026597129</x:v>
      </x:c>
      <x:c r="M37" s="9" t="n">
        <x:v>0</x:v>
      </x:c>
      <x:c r="N37" s="9" t="n">
        <x:v>0</x:v>
      </x:c>
      <x:c r="O37" s="9" t="n">
        <x:v>0.409972727298737</x:v>
      </x:c>
      <x:c r="P37" s="9" t="n">
        <x:v>0.483127981424332</x:v>
      </x:c>
      <x:c r="Q37" s="9" t="n">
        <x:v>90</x:v>
      </x:c>
      <x:c r="R37" s="9" t="n">
        <x:v>80</x:v>
      </x:c>
      <x:c r="S37" s="17" t="b">
        <x:v>0</x:v>
      </x:c>
      <x:c r="T37" s="18"/>
      <x:c r="U37" s="18"/>
    </x:row>
    <x:row r="38" ht="22" customHeight="1">
      <x:c r="A38" s="4" t="str">
        <x:v>Aurora</x:v>
      </x:c>
      <x:c r="B38" s="4" t="str">
        <x:v>Agriculture</x:v>
      </x:c>
      <x:c r="C38" s="4" t="n">
        <x:v>10</x:v>
      </x:c>
      <x:c r="D38" s="4" t="n">
        <x:v>2026</x:v>
      </x:c>
      <x:c r="E38" s="4" t="str">
        <x:v>no_variance_shrink</x:v>
      </x:c>
      <x:c r="F38" s="9" t="n">
        <x:v>1</x:v>
      </x:c>
      <x:c r="G38" s="9" t="n">
        <x:v>1.048992621960628</x:v>
      </x:c>
      <x:c r="H38" s="9" t="n">
        <x:v>0.741444878578186</x:v>
      </x:c>
      <x:c r="I38" s="9" t="n">
        <x:v>0.734455831187864</x:v>
      </x:c>
      <x:c r="J38" s="9" t="n">
        <x:v>0.642367691861259</x:v>
      </x:c>
      <x:c r="K38" s="9" t="n">
        <x:v>0.734455831187864</x:v>
      </x:c>
      <x:c r="L38" s="9" t="n">
        <x:v>0.642367691861259</x:v>
      </x:c>
      <x:c r="M38" s="9" t="n">
        <x:v>-29.98465234053561</x:v>
      </x:c>
      <x:c r="N38" s="9" t="n">
        <x:v>-13.36271779325261</x:v>
      </x:c>
      <x:c r="O38" s="9" t="n">
        <x:v>0.409972727298737</x:v>
      </x:c>
      <x:c r="P38" s="9" t="n">
        <x:v>0.510316669940948</x:v>
      </x:c>
      <x:c r="Q38" s="9" t="n">
        <x:v>90</x:v>
      </x:c>
      <x:c r="R38" s="9" t="n">
        <x:v>80</x:v>
      </x:c>
      <x:c r="S38" s="17" t="b">
        <x:v>1</x:v>
      </x:c>
      <x:c r="T38" s="18"/>
      <x:c r="U38" s="18"/>
    </x:row>
    <x:row r="39" ht="22" customHeight="1">
      <x:c r="A39" s="4" t="str">
        <x:v>TaTS</x:v>
      </x:c>
      <x:c r="B39" s="4" t="str">
        <x:v>Agriculture</x:v>
      </x:c>
      <x:c r="C39" s="4" t="n">
        <x:v>10</x:v>
      </x:c>
      <x:c r="D39" s="4" t="n">
        <x:v>2027</x:v>
      </x:c>
      <x:c r="E39" s="4" t="str">
        <x:v>no_variance_shrink</x:v>
      </x:c>
      <x:c r="F39" s="9" t="n">
        <x:v>1</x:v>
      </x:c>
      <x:c r="G39" s="9" t="n">
        <x:v>0.66027575358582</x:v>
      </x:c>
      <x:c r="H39" s="9" t="n">
        <x:v>0.644641374879413</x:v>
      </x:c>
      <x:c r="I39" s="9" t="n">
        <x:v>0.571875140770836</x:v>
      </x:c>
      <x:c r="J39" s="9" t="n">
        <x:v>0.591635841528575</x:v>
      </x:c>
      <x:c r="K39" s="9" t="n">
        <x:v>0.571875140770836</x:v>
      </x:c>
      <x:c r="L39" s="9" t="n">
        <x:v>0.591635841528575</x:v>
      </x:c>
      <x:c r="M39" s="9" t="n">
        <x:v>-13.388438441802233</x:v>
      </x:c>
      <x:c r="N39" s="9" t="n">
        <x:v>-8.222483913750311</x:v>
      </x:c>
      <x:c r="O39" s="9" t="n">
        <x:v>0.627276301383972</x:v>
      </x:c>
      <x:c r="P39" s="9" t="n">
        <x:v>0.490939259529114</x:v>
      </x:c>
      <x:c r="Q39" s="9" t="n">
        <x:v>90</x:v>
      </x:c>
      <x:c r="R39" s="9" t="n">
        <x:v>80</x:v>
      </x:c>
      <x:c r="S39" s="17" t="b">
        <x:v>1</x:v>
      </x:c>
      <x:c r="T39" s="18"/>
      <x:c r="U39" s="18"/>
    </x:row>
    <x:row r="40" ht="22" customHeight="1">
      <x:c r="A40" s="4" t="str">
        <x:v>MM-TSFlib</x:v>
      </x:c>
      <x:c r="B40" s="4" t="str">
        <x:v>Agriculture</x:v>
      </x:c>
      <x:c r="C40" s="4" t="n">
        <x:v>10</x:v>
      </x:c>
      <x:c r="D40" s="4" t="n">
        <x:v>2027</x:v>
      </x:c>
      <x:c r="E40" s="4" t="str">
        <x:v>no_variance_shrink</x:v>
      </x:c>
      <x:c r="F40" s="9" t="n">
        <x:v>1</x:v>
      </x:c>
      <x:c r="G40" s="9" t="n">
        <x:v>3.134140358334833</x:v>
      </x:c>
      <x:c r="H40" s="9" t="n">
        <x:v>1.297273069355223</x:v>
      </x:c>
      <x:c r="I40" s="9" t="n">
        <x:v>2.469972708392912</x:v>
      </x:c>
      <x:c r="J40" s="9" t="n">
        <x:v>1.136005238294602</x:v>
      </x:c>
      <x:c r="K40" s="9" t="n">
        <x:v>2.469972708392912</x:v>
      </x:c>
      <x:c r="L40" s="9" t="n">
        <x:v>1.136005238294602</x:v>
      </x:c>
      <x:c r="M40" s="9" t="n">
        <x:v>-21.191381814654687</x:v>
      </x:c>
      <x:c r="N40" s="9" t="n">
        <x:v>-12.43129414077605</x:v>
      </x:c>
      <x:c r="O40" s="9" t="n">
        <x:v>0.627276301383972</x:v>
      </x:c>
      <x:c r="P40" s="9" t="n">
        <x:v>0.513185918331146</x:v>
      </x:c>
      <x:c r="Q40" s="9" t="n">
        <x:v>90</x:v>
      </x:c>
      <x:c r="R40" s="9" t="n">
        <x:v>80</x:v>
      </x:c>
      <x:c r="S40" s="17" t="b">
        <x:v>1</x:v>
      </x:c>
      <x:c r="T40" s="18"/>
      <x:c r="U40" s="18"/>
    </x:row>
    <x:row r="41" ht="22" customHeight="1">
      <x:c r="A41" s="4" t="str">
        <x:v>SpecTF</x:v>
      </x:c>
      <x:c r="B41" s="4" t="str">
        <x:v>Agriculture</x:v>
      </x:c>
      <x:c r="C41" s="4" t="n">
        <x:v>10</x:v>
      </x:c>
      <x:c r="D41" s="4" t="n">
        <x:v>2027</x:v>
      </x:c>
      <x:c r="E41" s="4" t="str">
        <x:v>no_variance_shrink</x:v>
      </x:c>
      <x:c r="F41" s="9" t="n">
        <x:v>0.25</x:v>
      </x:c>
      <x:c r="G41" s="9" t="n">
        <x:v>0.374515693974826</x:v>
      </x:c>
      <x:c r="H41" s="9" t="n">
        <x:v>0.44496886783176</x:v>
      </x:c>
      <x:c r="I41" s="9" t="n">
        <x:v>0.359672417575957</x:v>
      </x:c>
      <x:c r="J41" s="9" t="n">
        <x:v>0.442818518214756</x:v>
      </x:c>
      <x:c r="K41" s="9" t="n">
        <x:v>0.34309292776925</x:v>
      </x:c>
      <x:c r="L41" s="9" t="n">
        <x:v>0.45939423388905</x:v>
      </x:c>
      <x:c r="M41" s="9" t="n">
        <x:v>-3.963325606287426</x:v>
      </x:c>
      <x:c r="N41" s="9" t="n">
        <x:v>-0.483258441760792</x:v>
      </x:c>
      <x:c r="O41" s="9" t="n">
        <x:v>0.627276301383972</x:v>
      </x:c>
      <x:c r="P41" s="9" t="n">
        <x:v>0.478836983442306</x:v>
      </x:c>
      <x:c r="Q41" s="9" t="n">
        <x:v>90</x:v>
      </x:c>
      <x:c r="R41" s="9" t="n">
        <x:v>80</x:v>
      </x:c>
      <x:c r="S41" s="17" t="b">
        <x:v>1</x:v>
      </x:c>
      <x:c r="T41" s="18"/>
      <x:c r="U41" s="18"/>
    </x:row>
    <x:row r="42" ht="22" customHeight="1">
      <x:c r="A42" s="4" t="str">
        <x:v>CFA</x:v>
      </x:c>
      <x:c r="B42" s="4" t="str">
        <x:v>Agriculture</x:v>
      </x:c>
      <x:c r="C42" s="4" t="n">
        <x:v>10</x:v>
      </x:c>
      <x:c r="D42" s="4" t="n">
        <x:v>2027</x:v>
      </x:c>
      <x:c r="E42" s="4" t="str">
        <x:v>no_variance_shrink</x:v>
      </x:c>
      <x:c r="F42" s="9" t="n">
        <x:v>0</x:v>
      </x:c>
      <x:c r="G42" s="9" t="n">
        <x:v>0.295766570313701</x:v>
      </x:c>
      <x:c r="H42" s="9" t="n">
        <x:v>0.370982690122392</x:v>
      </x:c>
      <x:c r="I42" s="9" t="n">
        <x:v>0.295766570313701</x:v>
      </x:c>
      <x:c r="J42" s="9" t="n">
        <x:v>0.370982690122392</x:v>
      </x:c>
      <x:c r="K42" s="9" t="n">
        <x:v>0.271931318108205</x:v>
      </x:c>
      <x:c r="L42" s="9" t="n">
        <x:v>0.393698884381188</x:v>
      </x:c>
      <x:c r="M42" s="9" t="n">
        <x:v>0</x:v>
      </x:c>
      <x:c r="N42" s="9" t="n">
        <x:v>0</x:v>
      </x:c>
      <x:c r="O42" s="9" t="n">
        <x:v>0.627276301383972</x:v>
      </x:c>
      <x:c r="P42" s="9" t="n">
        <x:v>0.476362407207489</x:v>
      </x:c>
      <x:c r="Q42" s="9" t="n">
        <x:v>90</x:v>
      </x:c>
      <x:c r="R42" s="9" t="n">
        <x:v>80</x:v>
      </x:c>
      <x:c r="S42" s="17" t="b">
        <x:v>0</x:v>
      </x:c>
      <x:c r="T42" s="18"/>
      <x:c r="U42" s="18"/>
    </x:row>
    <x:row r="43" ht="22" customHeight="1">
      <x:c r="A43" s="4" t="str">
        <x:v>Aurora</x:v>
      </x:c>
      <x:c r="B43" s="4" t="str">
        <x:v>Agriculture</x:v>
      </x:c>
      <x:c r="C43" s="4" t="n">
        <x:v>10</x:v>
      </x:c>
      <x:c r="D43" s="4" t="n">
        <x:v>2027</x:v>
      </x:c>
      <x:c r="E43" s="4" t="str">
        <x:v>no_variance_shrink</x:v>
      </x:c>
      <x:c r="F43" s="9" t="n">
        <x:v>1</x:v>
      </x:c>
      <x:c r="G43" s="9" t="n">
        <x:v>1.048992621960628</x:v>
      </x:c>
      <x:c r="H43" s="9" t="n">
        <x:v>0.741444878578186</x:v>
      </x:c>
      <x:c r="I43" s="9" t="n">
        <x:v>0.744469462833776</x:v>
      </x:c>
      <x:c r="J43" s="9" t="n">
        <x:v>0.648232184383604</x:v>
      </x:c>
      <x:c r="K43" s="9" t="n">
        <x:v>0.744469462833776</x:v>
      </x:c>
      <x:c r="L43" s="9" t="n">
        <x:v>0.648232184383604</x:v>
      </x:c>
      <x:c r="M43" s="9" t="n">
        <x:v>-29.03005729036301</x:v>
      </x:c>
      <x:c r="N43" s="9" t="n">
        <x:v>-12.571763173188122</x:v>
      </x:c>
      <x:c r="O43" s="9" t="n">
        <x:v>0.627276301383972</x:v>
      </x:c>
      <x:c r="P43" s="9" t="n">
        <x:v>0.501736223697662</x:v>
      </x:c>
      <x:c r="Q43" s="9" t="n">
        <x:v>90</x:v>
      </x:c>
      <x:c r="R43" s="9" t="n">
        <x:v>80</x:v>
      </x:c>
      <x:c r="S43" s="17" t="b">
        <x:v>1</x:v>
      </x:c>
      <x:c r="T43" s="18"/>
      <x:c r="U43" s="18"/>
    </x:row>
    <x:row r="44" ht="22" customHeight="1">
      <x:c r="A44" s="4" t="str">
        <x:v>TaTS</x:v>
      </x:c>
      <x:c r="B44" s="4" t="str">
        <x:v>Agriculture</x:v>
      </x:c>
      <x:c r="C44" s="4" t="n">
        <x:v>10</x:v>
      </x:c>
      <x:c r="D44" s="4" t="n">
        <x:v>2028</x:v>
      </x:c>
      <x:c r="E44" s="4" t="str">
        <x:v>no_variance_shrink</x:v>
      </x:c>
      <x:c r="F44" s="9" t="n">
        <x:v>1</x:v>
      </x:c>
      <x:c r="G44" s="9" t="n">
        <x:v>0.66027575358582</x:v>
      </x:c>
      <x:c r="H44" s="9" t="n">
        <x:v>0.644641374879413</x:v>
      </x:c>
      <x:c r="I44" s="9" t="n">
        <x:v>0.567736295529889</x:v>
      </x:c>
      <x:c r="J44" s="9" t="n">
        <x:v>0.586146428055233</x:v>
      </x:c>
      <x:c r="K44" s="9" t="n">
        <x:v>0.567736295529889</x:v>
      </x:c>
      <x:c r="L44" s="9" t="n">
        <x:v>0.586146428055233</x:v>
      </x:c>
      <x:c r="M44" s="9" t="n">
        <x:v>-14.015274308251968</x:v>
      </x:c>
      <x:c r="N44" s="9" t="n">
        <x:v>-9.074029236041802</x:v>
      </x:c>
      <x:c r="O44" s="9" t="n">
        <x:v>0.437533736228943</x:v>
      </x:c>
      <x:c r="P44" s="9" t="n">
        <x:v>0.492331862449646</x:v>
      </x:c>
      <x:c r="Q44" s="9" t="n">
        <x:v>90</x:v>
      </x:c>
      <x:c r="R44" s="9" t="n">
        <x:v>80</x:v>
      </x:c>
      <x:c r="S44" s="17" t="b">
        <x:v>1</x:v>
      </x:c>
      <x:c r="T44" s="18"/>
      <x:c r="U44" s="18"/>
    </x:row>
    <x:row r="45" ht="22" customHeight="1">
      <x:c r="A45" s="4" t="str">
        <x:v>MM-TSFlib</x:v>
      </x:c>
      <x:c r="B45" s="4" t="str">
        <x:v>Agriculture</x:v>
      </x:c>
      <x:c r="C45" s="4" t="n">
        <x:v>10</x:v>
      </x:c>
      <x:c r="D45" s="4" t="n">
        <x:v>2028</x:v>
      </x:c>
      <x:c r="E45" s="4" t="str">
        <x:v>no_variance_shrink</x:v>
      </x:c>
      <x:c r="F45" s="9" t="n">
        <x:v>1</x:v>
      </x:c>
      <x:c r="G45" s="9" t="n">
        <x:v>3.134140358334833</x:v>
      </x:c>
      <x:c r="H45" s="9" t="n">
        <x:v>1.297273069355223</x:v>
      </x:c>
      <x:c r="I45" s="9" t="n">
        <x:v>2.47306614660106</x:v>
      </x:c>
      <x:c r="J45" s="9" t="n">
        <x:v>1.137036949263679</x:v>
      </x:c>
      <x:c r="K45" s="9" t="n">
        <x:v>2.47306614660106</x:v>
      </x:c>
      <x:c r="L45" s="9" t="n">
        <x:v>1.137036949263679</x:v>
      </x:c>
      <x:c r="M45" s="9" t="n">
        <x:v>-21.092680484960844</x:v>
      </x:c>
      <x:c r="N45" s="9" t="n">
        <x:v>-12.351764934979004</x:v>
      </x:c>
      <x:c r="O45" s="9" t="n">
        <x:v>0.437533736228943</x:v>
      </x:c>
      <x:c r="P45" s="9" t="n">
        <x:v>0.508564531803131</x:v>
      </x:c>
      <x:c r="Q45" s="9" t="n">
        <x:v>90</x:v>
      </x:c>
      <x:c r="R45" s="9" t="n">
        <x:v>80</x:v>
      </x:c>
      <x:c r="S45" s="17" t="b">
        <x:v>1</x:v>
      </x:c>
      <x:c r="T45" s="18"/>
      <x:c r="U45" s="18"/>
    </x:row>
    <x:row r="46" ht="22" customHeight="1">
      <x:c r="A46" s="4" t="str">
        <x:v>SpecTF</x:v>
      </x:c>
      <x:c r="B46" s="4" t="str">
        <x:v>Agriculture</x:v>
      </x:c>
      <x:c r="C46" s="4" t="n">
        <x:v>10</x:v>
      </x:c>
      <x:c r="D46" s="4" t="n">
        <x:v>2028</x:v>
      </x:c>
      <x:c r="E46" s="4" t="str">
        <x:v>no_variance_shrink</x:v>
      </x:c>
      <x:c r="F46" s="9" t="n">
        <x:v>0.25</x:v>
      </x:c>
      <x:c r="G46" s="9" t="n">
        <x:v>0.374515693974826</x:v>
      </x:c>
      <x:c r="H46" s="9" t="n">
        <x:v>0.44496886783176</x:v>
      </x:c>
      <x:c r="I46" s="9" t="n">
        <x:v>0.357279816870202</x:v>
      </x:c>
      <x:c r="J46" s="9" t="n">
        <x:v>0.44128671195772</x:v>
      </x:c>
      <x:c r="K46" s="9" t="n">
        <x:v>0.335138634600586</x:v>
      </x:c>
      <x:c r="L46" s="9" t="n">
        <x:v>0.454108792543411</x:v>
      </x:c>
      <x:c r="M46" s="9" t="n">
        <x:v>-4.602177527380857</x:v>
      </x:c>
      <x:c r="N46" s="9" t="n">
        <x:v>-0.827508650657471</x:v>
      </x:c>
      <x:c r="O46" s="9" t="n">
        <x:v>0.437533736228943</x:v>
      </x:c>
      <x:c r="P46" s="9" t="n">
        <x:v>0.488148510456085</x:v>
      </x:c>
      <x:c r="Q46" s="9" t="n">
        <x:v>90</x:v>
      </x:c>
      <x:c r="R46" s="9" t="n">
        <x:v>80</x:v>
      </x:c>
      <x:c r="S46" s="17" t="b">
        <x:v>1</x:v>
      </x:c>
      <x:c r="T46" s="18"/>
      <x:c r="U46" s="18"/>
    </x:row>
    <x:row r="47" ht="22" customHeight="1">
      <x:c r="A47" s="4" t="str">
        <x:v>CFA</x:v>
      </x:c>
      <x:c r="B47" s="4" t="str">
        <x:v>Agriculture</x:v>
      </x:c>
      <x:c r="C47" s="4" t="n">
        <x:v>10</x:v>
      </x:c>
      <x:c r="D47" s="4" t="n">
        <x:v>2028</x:v>
      </x:c>
      <x:c r="E47" s="4" t="str">
        <x:v>no_variance_shrink</x:v>
      </x:c>
      <x:c r="F47" s="9" t="n">
        <x:v>0</x:v>
      </x:c>
      <x:c r="G47" s="9" t="n">
        <x:v>0.295766570313701</x:v>
      </x:c>
      <x:c r="H47" s="9" t="n">
        <x:v>0.370982690122392</x:v>
      </x:c>
      <x:c r="I47" s="9" t="n">
        <x:v>0.295766570313701</x:v>
      </x:c>
      <x:c r="J47" s="9" t="n">
        <x:v>0.370982690122392</x:v>
      </x:c>
      <x:c r="K47" s="9" t="n">
        <x:v>0.267531877106474</x:v>
      </x:c>
      <x:c r="L47" s="9" t="n">
        <x:v>0.390145548846986</x:v>
      </x:c>
      <x:c r="M47" s="9" t="n">
        <x:v>0</x:v>
      </x:c>
      <x:c r="N47" s="9" t="n">
        <x:v>0</x:v>
      </x:c>
      <x:c r="O47" s="9" t="n">
        <x:v>0.437533736228943</x:v>
      </x:c>
      <x:c r="P47" s="9" t="n">
        <x:v>0.485361516475678</x:v>
      </x:c>
      <x:c r="Q47" s="9" t="n">
        <x:v>90</x:v>
      </x:c>
      <x:c r="R47" s="9" t="n">
        <x:v>80</x:v>
      </x:c>
      <x:c r="S47" s="17" t="b">
        <x:v>0</x:v>
      </x:c>
      <x:c r="T47" s="18"/>
      <x:c r="U47" s="18"/>
    </x:row>
    <x:row r="48" ht="22" customHeight="1">
      <x:c r="A48" s="4" t="str">
        <x:v>Aurora</x:v>
      </x:c>
      <x:c r="B48" s="4" t="str">
        <x:v>Agriculture</x:v>
      </x:c>
      <x:c r="C48" s="4" t="n">
        <x:v>10</x:v>
      </x:c>
      <x:c r="D48" s="4" t="n">
        <x:v>2028</x:v>
      </x:c>
      <x:c r="E48" s="4" t="str">
        <x:v>no_variance_shrink</x:v>
      </x:c>
      <x:c r="F48" s="9" t="n">
        <x:v>1</x:v>
      </x:c>
      <x:c r="G48" s="9" t="n">
        <x:v>1.048992621960628</x:v>
      </x:c>
      <x:c r="H48" s="9" t="n">
        <x:v>0.741444878578186</x:v>
      </x:c>
      <x:c r="I48" s="9" t="n">
        <x:v>0.734240866150868</x:v>
      </x:c>
      <x:c r="J48" s="9" t="n">
        <x:v>0.642359042167664</x:v>
      </x:c>
      <x:c r="K48" s="9" t="n">
        <x:v>0.734240866150868</x:v>
      </x:c>
      <x:c r="L48" s="9" t="n">
        <x:v>0.642359042167664</x:v>
      </x:c>
      <x:c r="M48" s="9" t="n">
        <x:v>-30.005144861883835</x:v>
      </x:c>
      <x:c r="N48" s="9" t="n">
        <x:v>-13.363884392934525</x:v>
      </x:c>
      <x:c r="O48" s="9" t="n">
        <x:v>0.437533736228943</x:v>
      </x:c>
      <x:c r="P48" s="9" t="n">
        <x:v>0.509268343448639</x:v>
      </x:c>
      <x:c r="Q48" s="9" t="n">
        <x:v>90</x:v>
      </x:c>
      <x:c r="R48" s="9" t="n">
        <x:v>80</x:v>
      </x:c>
      <x:c r="S48" s="17" t="b">
        <x:v>1</x:v>
      </x:c>
      <x:c r="T48" s="18"/>
      <x:c r="U48" s="18"/>
    </x:row>
    <x:row r="49" ht="22" customHeight="1">
      <x:c r="A49" s="4" t="str">
        <x:v>TaTS</x:v>
      </x:c>
      <x:c r="B49" s="4" t="str">
        <x:v>Agriculture</x:v>
      </x:c>
      <x:c r="C49" s="4" t="n">
        <x:v>12</x:v>
      </x:c>
      <x:c r="D49" s="4" t="n">
        <x:v>2026</x:v>
      </x:c>
      <x:c r="E49" s="4" t="str">
        <x:v>no_variance_shrink</x:v>
      </x:c>
      <x:c r="F49" s="9" t="n">
        <x:v>1</x:v>
      </x:c>
      <x:c r="G49" s="9" t="n">
        <x:v>0.809189509922338</x:v>
      </x:c>
      <x:c r="H49" s="9" t="n">
        <x:v>0.717221935590108</x:v>
      </x:c>
      <x:c r="I49" s="9" t="n">
        <x:v>0.683370096091069</x:v>
      </x:c>
      <x:c r="J49" s="9" t="n">
        <x:v>0.651079967617989</x:v>
      </x:c>
      <x:c r="K49" s="9" t="n">
        <x:v>0.683370096091069</x:v>
      </x:c>
      <x:c r="L49" s="9" t="n">
        <x:v>0.651079967617989</x:v>
      </x:c>
      <x:c r="M49" s="9" t="n">
        <x:v>-15.548819193583553</x:v>
      </x:c>
      <x:c r="N49" s="9" t="n">
        <x:v>-9.22196668701998</x:v>
      </x:c>
      <x:c r="O49" s="9" t="n">
        <x:v>0.421029657125473</x:v>
      </x:c>
      <x:c r="P49" s="9" t="n">
        <x:v>0.49599626660347</x:v>
      </x:c>
      <x:c r="Q49" s="9" t="n">
        <x:v>88</x:v>
      </x:c>
      <x:c r="R49" s="9" t="n">
        <x:v>80</x:v>
      </x:c>
      <x:c r="S49" s="17" t="b">
        <x:v>1</x:v>
      </x:c>
      <x:c r="T49" s="18"/>
      <x:c r="U49" s="18"/>
    </x:row>
    <x:row r="50" ht="22" customHeight="1">
      <x:c r="A50" s="4" t="str">
        <x:v>MM-TSFlib</x:v>
      </x:c>
      <x:c r="B50" s="4" t="str">
        <x:v>Agriculture</x:v>
      </x:c>
      <x:c r="C50" s="4" t="n">
        <x:v>12</x:v>
      </x:c>
      <x:c r="D50" s="4" t="n">
        <x:v>2026</x:v>
      </x:c>
      <x:c r="E50" s="4" t="str">
        <x:v>no_variance_shrink</x:v>
      </x:c>
      <x:c r="F50" s="9" t="n">
        <x:v>1</x:v>
      </x:c>
      <x:c r="G50" s="9" t="n">
        <x:v>3.444487867309843</x:v>
      </x:c>
      <x:c r="H50" s="9" t="n">
        <x:v>1.390887038612908</x:v>
      </x:c>
      <x:c r="I50" s="9" t="n">
        <x:v>2.770920546789381</x:v>
      </x:c>
      <x:c r="J50" s="9" t="n">
        <x:v>1.235645649898233</x:v>
      </x:c>
      <x:c r="K50" s="9" t="n">
        <x:v>2.770920546789381</x:v>
      </x:c>
      <x:c r="L50" s="9" t="n">
        <x:v>1.235645649898233</x:v>
      </x:c>
      <x:c r="M50" s="9" t="n">
        <x:v>-19.55493375119711</x:v>
      </x:c>
      <x:c r="N50" s="9" t="n">
        <x:v>-11.161322552081042</x:v>
      </x:c>
      <x:c r="O50" s="9" t="n">
        <x:v>0.421029657125473</x:v>
      </x:c>
      <x:c r="P50" s="9" t="n">
        <x:v>0.512350738048553</x:v>
      </x:c>
      <x:c r="Q50" s="9" t="n">
        <x:v>88</x:v>
      </x:c>
      <x:c r="R50" s="9" t="n">
        <x:v>80</x:v>
      </x:c>
      <x:c r="S50" s="17" t="b">
        <x:v>1</x:v>
      </x:c>
      <x:c r="T50" s="18"/>
      <x:c r="U50" s="18"/>
    </x:row>
    <x:row r="51" ht="22" customHeight="1">
      <x:c r="A51" s="4" t="str">
        <x:v>SpecTF</x:v>
      </x:c>
      <x:c r="B51" s="4" t="str">
        <x:v>Agriculture</x:v>
      </x:c>
      <x:c r="C51" s="4" t="n">
        <x:v>12</x:v>
      </x:c>
      <x:c r="D51" s="4" t="n">
        <x:v>2026</x:v>
      </x:c>
      <x:c r="E51" s="4" t="str">
        <x:v>no_variance_shrink</x:v>
      </x:c>
      <x:c r="F51" s="9" t="n">
        <x:v>0</x:v>
      </x:c>
      <x:c r="G51" s="9" t="n">
        <x:v>0.35785318025578</x:v>
      </x:c>
      <x:c r="H51" s="9" t="n">
        <x:v>0.420916967884158</x:v>
      </x:c>
      <x:c r="I51" s="9" t="n">
        <x:v>0.35785318025578</x:v>
      </x:c>
      <x:c r="J51" s="9" t="n">
        <x:v>0.420916967884158</x:v>
      </x:c>
      <x:c r="K51" s="9" t="n">
        <x:v>0.353664029771243</x:v>
      </x:c>
      <x:c r="L51" s="9" t="n">
        <x:v>0.457481668302507</x:v>
      </x:c>
      <x:c r="M51" s="9" t="n">
        <x:v>0</x:v>
      </x:c>
      <x:c r="N51" s="9" t="n">
        <x:v>0</x:v>
      </x:c>
      <x:c r="O51" s="9" t="n">
        <x:v>0.421029657125473</x:v>
      </x:c>
      <x:c r="P51" s="9" t="n">
        <x:v>0.481970310211182</x:v>
      </x:c>
      <x:c r="Q51" s="9" t="n">
        <x:v>88</x:v>
      </x:c>
      <x:c r="R51" s="9" t="n">
        <x:v>80</x:v>
      </x:c>
      <x:c r="S51" s="17" t="b">
        <x:v>0</x:v>
      </x:c>
      <x:c r="T51" s="18"/>
      <x:c r="U51" s="18"/>
    </x:row>
    <x:row r="52" ht="22" customHeight="1">
      <x:c r="A52" s="4" t="str">
        <x:v>CFA</x:v>
      </x:c>
      <x:c r="B52" s="4" t="str">
        <x:v>Agriculture</x:v>
      </x:c>
      <x:c r="C52" s="4" t="n">
        <x:v>12</x:v>
      </x:c>
      <x:c r="D52" s="4" t="n">
        <x:v>2026</x:v>
      </x:c>
      <x:c r="E52" s="4" t="str">
        <x:v>no_variance_shrink</x:v>
      </x:c>
      <x:c r="F52" s="9" t="n">
        <x:v>0.5</x:v>
      </x:c>
      <x:c r="G52" s="9" t="n">
        <x:v>0.375511167328514</x:v>
      </x:c>
      <x:c r="H52" s="9" t="n">
        <x:v>0.414420480981018</x:v>
      </x:c>
      <x:c r="I52" s="9" t="n">
        <x:v>0.335059582964355</x:v>
      </x:c>
      <x:c r="J52" s="9" t="n">
        <x:v>0.400951345084292</x:v>
      </x:c>
      <x:c r="K52" s="9" t="n">
        <x:v>0.31268982326158</x:v>
      </x:c>
      <x:c r="L52" s="9" t="n">
        <x:v>0.40489691936157</x:v>
      </x:c>
      <x:c r="M52" s="9" t="n">
        <x:v>-10.772405159596632</x:v>
      </x:c>
      <x:c r="N52" s="9" t="n">
        <x:v>-3.250113475290084</x:v>
      </x:c>
      <x:c r="O52" s="9" t="n">
        <x:v>0.421029657125473</x:v>
      </x:c>
      <x:c r="P52" s="9" t="n">
        <x:v>0.48321983218193</x:v>
      </x:c>
      <x:c r="Q52" s="9" t="n">
        <x:v>88</x:v>
      </x:c>
      <x:c r="R52" s="9" t="n">
        <x:v>80</x:v>
      </x:c>
      <x:c r="S52" s="17" t="b">
        <x:v>1</x:v>
      </x:c>
      <x:c r="T52" s="18"/>
      <x:c r="U52" s="18"/>
    </x:row>
    <x:row r="53" ht="22" customHeight="1">
      <x:c r="A53" s="4" t="str">
        <x:v>Aurora</x:v>
      </x:c>
      <x:c r="B53" s="4" t="str">
        <x:v>Agriculture</x:v>
      </x:c>
      <x:c r="C53" s="4" t="n">
        <x:v>12</x:v>
      </x:c>
      <x:c r="D53" s="4" t="n">
        <x:v>2026</x:v>
      </x:c>
      <x:c r="E53" s="4" t="str">
        <x:v>no_variance_shrink</x:v>
      </x:c>
      <x:c r="F53" s="9" t="n">
        <x:v>1</x:v>
      </x:c>
      <x:c r="G53" s="9" t="n">
        <x:v>1.062715799991609</x:v>
      </x:c>
      <x:c r="H53" s="9" t="n">
        <x:v>0.746248825707219</x:v>
      </x:c>
      <x:c r="I53" s="9" t="n">
        <x:v>0.760519620143087</x:v>
      </x:c>
      <x:c r="J53" s="9" t="n">
        <x:v>0.652392681800958</x:v>
      </x:c>
      <x:c r="K53" s="9" t="n">
        <x:v>0.760519620143087</x:v>
      </x:c>
      <x:c r="L53" s="9" t="n">
        <x:v>0.652392681800958</x:v>
      </x:c>
      <x:c r="M53" s="9" t="n">
        <x:v>-28.43621783461848</x:v>
      </x:c>
      <x:c r="N53" s="9" t="n">
        <x:v>-12.577057500534572</x:v>
      </x:c>
      <x:c r="O53" s="9" t="n">
        <x:v>0.421029657125473</x:v>
      </x:c>
      <x:c r="P53" s="9" t="n">
        <x:v>0.510900914669037</x:v>
      </x:c>
      <x:c r="Q53" s="9" t="n">
        <x:v>88</x:v>
      </x:c>
      <x:c r="R53" s="9" t="n">
        <x:v>80</x:v>
      </x:c>
      <x:c r="S53" s="17" t="b">
        <x:v>1</x:v>
      </x:c>
      <x:c r="T53" s="18"/>
      <x:c r="U53" s="18"/>
    </x:row>
    <x:row r="54" ht="22" customHeight="1">
      <x:c r="A54" s="4" t="str">
        <x:v>TaTS</x:v>
      </x:c>
      <x:c r="B54" s="4" t="str">
        <x:v>Agriculture</x:v>
      </x:c>
      <x:c r="C54" s="4" t="n">
        <x:v>12</x:v>
      </x:c>
      <x:c r="D54" s="4" t="n">
        <x:v>2027</x:v>
      </x:c>
      <x:c r="E54" s="4" t="str">
        <x:v>no_variance_shrink</x:v>
      </x:c>
      <x:c r="F54" s="9" t="n">
        <x:v>1</x:v>
      </x:c>
      <x:c r="G54" s="9" t="n">
        <x:v>0.809189509922338</x:v>
      </x:c>
      <x:c r="H54" s="9" t="n">
        <x:v>0.717221935590108</x:v>
      </x:c>
      <x:c r="I54" s="9" t="n">
        <x:v>0.687951851744637</x:v>
      </x:c>
      <x:c r="J54" s="9" t="n">
        <x:v>0.656476110107068</x:v>
      </x:c>
      <x:c r="K54" s="9" t="n">
        <x:v>0.687951851744637</x:v>
      </x:c>
      <x:c r="L54" s="9" t="n">
        <x:v>0.656476110107068</x:v>
      </x:c>
      <x:c r="M54" s="9" t="n">
        <x:v>-14.982603789480333</x:v>
      </x:c>
      <x:c r="N54" s="9" t="n">
        <x:v>-8.469599501730329</x:v>
      </x:c>
      <x:c r="O54" s="9" t="n">
        <x:v>0.573299407958984</x:v>
      </x:c>
      <x:c r="P54" s="9" t="n">
        <x:v>0.492507427930832</x:v>
      </x:c>
      <x:c r="Q54" s="9" t="n">
        <x:v>88</x:v>
      </x:c>
      <x:c r="R54" s="9" t="n">
        <x:v>80</x:v>
      </x:c>
      <x:c r="S54" s="17" t="b">
        <x:v>1</x:v>
      </x:c>
      <x:c r="T54" s="18"/>
      <x:c r="U54" s="18"/>
    </x:row>
    <x:row r="55" ht="22" customHeight="1">
      <x:c r="A55" s="4" t="str">
        <x:v>MM-TSFlib</x:v>
      </x:c>
      <x:c r="B55" s="4" t="str">
        <x:v>Agriculture</x:v>
      </x:c>
      <x:c r="C55" s="4" t="n">
        <x:v>12</x:v>
      </x:c>
      <x:c r="D55" s="4" t="n">
        <x:v>2027</x:v>
      </x:c>
      <x:c r="E55" s="4" t="str">
        <x:v>no_variance_shrink</x:v>
      </x:c>
      <x:c r="F55" s="9" t="n">
        <x:v>1</x:v>
      </x:c>
      <x:c r="G55" s="9" t="n">
        <x:v>3.444487867309843</x:v>
      </x:c>
      <x:c r="H55" s="9" t="n">
        <x:v>1.390887038612908</x:v>
      </x:c>
      <x:c r="I55" s="9" t="n">
        <x:v>2.77115698787108</x:v>
      </x:c>
      <x:c r="J55" s="9" t="n">
        <x:v>1.235683069197517</x:v>
      </x:c>
      <x:c r="K55" s="9" t="n">
        <x:v>2.77115698787108</x:v>
      </x:c>
      <x:c r="L55" s="9" t="n">
        <x:v>1.235683069197517</x:v>
      </x:c>
      <x:c r="M55" s="9" t="n">
        <x:v>-19.54806941923232</x:v>
      </x:c>
      <x:c r="N55" s="9" t="n">
        <x:v>-11.158632233007992</x:v>
      </x:c>
      <x:c r="O55" s="9" t="n">
        <x:v>0.573299407958984</x:v>
      </x:c>
      <x:c r="P55" s="9" t="n">
        <x:v>0.513281583786011</x:v>
      </x:c>
      <x:c r="Q55" s="9" t="n">
        <x:v>88</x:v>
      </x:c>
      <x:c r="R55" s="9" t="n">
        <x:v>80</x:v>
      </x:c>
      <x:c r="S55" s="17" t="b">
        <x:v>1</x:v>
      </x:c>
      <x:c r="T55" s="18"/>
      <x:c r="U55" s="18"/>
    </x:row>
    <x:row r="56" ht="22" customHeight="1">
      <x:c r="A56" s="4" t="str">
        <x:v>SpecTF</x:v>
      </x:c>
      <x:c r="B56" s="4" t="str">
        <x:v>Agriculture</x:v>
      </x:c>
      <x:c r="C56" s="4" t="n">
        <x:v>12</x:v>
      </x:c>
      <x:c r="D56" s="4" t="n">
        <x:v>2027</x:v>
      </x:c>
      <x:c r="E56" s="4" t="str">
        <x:v>no_variance_shrink</x:v>
      </x:c>
      <x:c r="F56" s="9" t="n">
        <x:v>0</x:v>
      </x:c>
      <x:c r="G56" s="9" t="n">
        <x:v>0.35785318025578</x:v>
      </x:c>
      <x:c r="H56" s="9" t="n">
        <x:v>0.420916967884158</x:v>
      </x:c>
      <x:c r="I56" s="9" t="n">
        <x:v>0.35785318025578</x:v>
      </x:c>
      <x:c r="J56" s="9" t="n">
        <x:v>0.420916967884158</x:v>
      </x:c>
      <x:c r="K56" s="9" t="n">
        <x:v>0.355170109863221</x:v>
      </x:c>
      <x:c r="L56" s="9" t="n">
        <x:v>0.459293490106409</x:v>
      </x:c>
      <x:c r="M56" s="9" t="n">
        <x:v>0</x:v>
      </x:c>
      <x:c r="N56" s="9" t="n">
        <x:v>0</x:v>
      </x:c>
      <x:c r="O56" s="9" t="n">
        <x:v>0.573299407958984</x:v>
      </x:c>
      <x:c r="P56" s="9" t="n">
        <x:v>0.476063460111618</x:v>
      </x:c>
      <x:c r="Q56" s="9" t="n">
        <x:v>88</x:v>
      </x:c>
      <x:c r="R56" s="9" t="n">
        <x:v>80</x:v>
      </x:c>
      <x:c r="S56" s="17" t="b">
        <x:v>0</x:v>
      </x:c>
      <x:c r="T56" s="18"/>
      <x:c r="U56" s="18"/>
    </x:row>
    <x:row r="57" ht="22" customHeight="1">
      <x:c r="A57" s="4" t="str">
        <x:v>CFA</x:v>
      </x:c>
      <x:c r="B57" s="4" t="str">
        <x:v>Agriculture</x:v>
      </x:c>
      <x:c r="C57" s="4" t="n">
        <x:v>12</x:v>
      </x:c>
      <x:c r="D57" s="4" t="n">
        <x:v>2027</x:v>
      </x:c>
      <x:c r="E57" s="4" t="str">
        <x:v>no_variance_shrink</x:v>
      </x:c>
      <x:c r="F57" s="9" t="n">
        <x:v>0.5</x:v>
      </x:c>
      <x:c r="G57" s="9" t="n">
        <x:v>0.375511167328514</x:v>
      </x:c>
      <x:c r="H57" s="9" t="n">
        <x:v>0.414420480981018</x:v>
      </x:c>
      <x:c r="I57" s="9" t="n">
        <x:v>0.338714537854895</x:v>
      </x:c>
      <x:c r="J57" s="9" t="n">
        <x:v>0.403735142652736</x:v>
      </x:c>
      <x:c r="K57" s="9" t="n">
        <x:v>0.319815083964974</x:v>
      </x:c>
      <x:c r="L57" s="9" t="n">
        <x:v>0.41060234888485</x:v>
      </x:c>
      <x:c r="M57" s="9" t="n">
        <x:v>-9.799077277887648</x:v>
      </x:c>
      <x:c r="N57" s="9" t="n">
        <x:v>-2.578380851976148</x:v>
      </x:c>
      <x:c r="O57" s="9" t="n">
        <x:v>0.573299407958984</x:v>
      </x:c>
      <x:c r="P57" s="9" t="n">
        <x:v>0.481346637010574</x:v>
      </x:c>
      <x:c r="Q57" s="9" t="n">
        <x:v>88</x:v>
      </x:c>
      <x:c r="R57" s="9" t="n">
        <x:v>80</x:v>
      </x:c>
      <x:c r="S57" s="17" t="b">
        <x:v>1</x:v>
      </x:c>
      <x:c r="T57" s="18"/>
      <x:c r="U57" s="18"/>
    </x:row>
    <x:row r="58" ht="22" customHeight="1">
      <x:c r="A58" s="4" t="str">
        <x:v>Aurora</x:v>
      </x:c>
      <x:c r="B58" s="4" t="str">
        <x:v>Agriculture</x:v>
      </x:c>
      <x:c r="C58" s="4" t="n">
        <x:v>12</x:v>
      </x:c>
      <x:c r="D58" s="4" t="n">
        <x:v>2027</x:v>
      </x:c>
      <x:c r="E58" s="4" t="str">
        <x:v>no_variance_shrink</x:v>
      </x:c>
      <x:c r="F58" s="9" t="n">
        <x:v>1</x:v>
      </x:c>
      <x:c r="G58" s="9" t="n">
        <x:v>1.062715799991609</x:v>
      </x:c>
      <x:c r="H58" s="9" t="n">
        <x:v>0.746248825707219</x:v>
      </x:c>
      <x:c r="I58" s="9" t="n">
        <x:v>0.768400285210449</x:v>
      </x:c>
      <x:c r="J58" s="9" t="n">
        <x:v>0.657141183587638</x:v>
      </x:c>
      <x:c r="K58" s="9" t="n">
        <x:v>0.768400285210449</x:v>
      </x:c>
      <x:c r="L58" s="9" t="n">
        <x:v>0.657141183587638</x:v>
      </x:c>
      <x:c r="M58" s="9" t="n">
        <x:v>-27.694658796216636</x:v>
      </x:c>
      <x:c r="N58" s="9" t="n">
        <x:v>-11.94074135193899</x:v>
      </x:c>
      <x:c r="O58" s="9" t="n">
        <x:v>0.573299407958984</x:v>
      </x:c>
      <x:c r="P58" s="9" t="n">
        <x:v>0.50347113609314</x:v>
      </x:c>
      <x:c r="Q58" s="9" t="n">
        <x:v>88</x:v>
      </x:c>
      <x:c r="R58" s="9" t="n">
        <x:v>80</x:v>
      </x:c>
      <x:c r="S58" s="17" t="b">
        <x:v>1</x:v>
      </x:c>
      <x:c r="T58" s="18"/>
      <x:c r="U58" s="18"/>
    </x:row>
    <x:row r="59" ht="22" customHeight="1">
      <x:c r="A59" s="4" t="str">
        <x:v>TaTS</x:v>
      </x:c>
      <x:c r="B59" s="4" t="str">
        <x:v>Agriculture</x:v>
      </x:c>
      <x:c r="C59" s="4" t="n">
        <x:v>12</x:v>
      </x:c>
      <x:c r="D59" s="4" t="n">
        <x:v>2028</x:v>
      </x:c>
      <x:c r="E59" s="4" t="str">
        <x:v>no_variance_shrink</x:v>
      </x:c>
      <x:c r="F59" s="9" t="n">
        <x:v>1</x:v>
      </x:c>
      <x:c r="G59" s="9" t="n">
        <x:v>0.809189509922338</x:v>
      </x:c>
      <x:c r="H59" s="9" t="n">
        <x:v>0.717221935590108</x:v>
      </x:c>
      <x:c r="I59" s="9" t="n">
        <x:v>0.687703010399388</x:v>
      </x:c>
      <x:c r="J59" s="9" t="n">
        <x:v>0.655602178225915</x:v>
      </x:c>
      <x:c r="K59" s="9" t="n">
        <x:v>0.687703010399388</x:v>
      </x:c>
      <x:c r="L59" s="9" t="n">
        <x:v>0.655602178225915</x:v>
      </x:c>
      <x:c r="M59" s="9" t="n">
        <x:v>-15.013355713744923</x:v>
      </x:c>
      <x:c r="N59" s="9" t="n">
        <x:v>-8.591449076846047</x:v>
      </x:c>
      <x:c r="O59" s="9" t="n">
        <x:v>0.497032850980759</x:v>
      </x:c>
      <x:c r="P59" s="9" t="n">
        <x:v>0.489341825246811</x:v>
      </x:c>
      <x:c r="Q59" s="9" t="n">
        <x:v>88</x:v>
      </x:c>
      <x:c r="R59" s="9" t="n">
        <x:v>80</x:v>
      </x:c>
      <x:c r="S59" s="17" t="b">
        <x:v>1</x:v>
      </x:c>
      <x:c r="T59" s="18"/>
      <x:c r="U59" s="18"/>
    </x:row>
    <x:row r="60" ht="22" customHeight="1">
      <x:c r="A60" s="4" t="str">
        <x:v>MM-TSFlib</x:v>
      </x:c>
      <x:c r="B60" s="4" t="str">
        <x:v>Agriculture</x:v>
      </x:c>
      <x:c r="C60" s="4" t="n">
        <x:v>12</x:v>
      </x:c>
      <x:c r="D60" s="4" t="n">
        <x:v>2028</x:v>
      </x:c>
      <x:c r="E60" s="4" t="str">
        <x:v>no_variance_shrink</x:v>
      </x:c>
      <x:c r="F60" s="9" t="n">
        <x:v>1</x:v>
      </x:c>
      <x:c r="G60" s="9" t="n">
        <x:v>3.444487867309843</x:v>
      </x:c>
      <x:c r="H60" s="9" t="n">
        <x:v>1.390887038612908</x:v>
      </x:c>
      <x:c r="I60" s="9" t="n">
        <x:v>2.780955556650319</x:v>
      </x:c>
      <x:c r="J60" s="9" t="n">
        <x:v>1.238271307990406</x:v>
      </x:c>
      <x:c r="K60" s="9" t="n">
        <x:v>2.780955556650319</x:v>
      </x:c>
      <x:c r="L60" s="9" t="n">
        <x:v>1.238271307990406</x:v>
      </x:c>
      <x:c r="M60" s="9" t="n">
        <x:v>-19.263598427993443</x:v>
      </x:c>
      <x:c r="N60" s="9" t="n">
        <x:v>-10.972546755105329</x:v>
      </x:c>
      <x:c r="O60" s="9" t="n">
        <x:v>0.497032850980759</x:v>
      </x:c>
      <x:c r="P60" s="9" t="n">
        <x:v>0.50587123632431</x:v>
      </x:c>
      <x:c r="Q60" s="9" t="n">
        <x:v>88</x:v>
      </x:c>
      <x:c r="R60" s="9" t="n">
        <x:v>80</x:v>
      </x:c>
      <x:c r="S60" s="17" t="b">
        <x:v>1</x:v>
      </x:c>
      <x:c r="T60" s="18"/>
      <x:c r="U60" s="18"/>
    </x:row>
    <x:row r="61" ht="22" customHeight="1">
      <x:c r="A61" s="4" t="str">
        <x:v>SpecTF</x:v>
      </x:c>
      <x:c r="B61" s="4" t="str">
        <x:v>Agriculture</x:v>
      </x:c>
      <x:c r="C61" s="4" t="n">
        <x:v>12</x:v>
      </x:c>
      <x:c r="D61" s="4" t="n">
        <x:v>2028</x:v>
      </x:c>
      <x:c r="E61" s="4" t="str">
        <x:v>no_variance_shrink</x:v>
      </x:c>
      <x:c r="F61" s="9" t="n">
        <x:v>0</x:v>
      </x:c>
      <x:c r="G61" s="9" t="n">
        <x:v>0.35785318025578</x:v>
      </x:c>
      <x:c r="H61" s="9" t="n">
        <x:v>0.420916967884158</x:v>
      </x:c>
      <x:c r="I61" s="9" t="n">
        <x:v>0.35785318025578</x:v>
      </x:c>
      <x:c r="J61" s="9" t="n">
        <x:v>0.420916967884158</x:v>
      </x:c>
      <x:c r="K61" s="9" t="n">
        <x:v>0.356277665052025</x:v>
      </x:c>
      <x:c r="L61" s="9" t="n">
        <x:v>0.459123425298568</x:v>
      </x:c>
      <x:c r="M61" s="9" t="n">
        <x:v>0</x:v>
      </x:c>
      <x:c r="N61" s="9" t="n">
        <x:v>0</x:v>
      </x:c>
      <x:c r="O61" s="9" t="n">
        <x:v>0.497032850980759</x:v>
      </x:c>
      <x:c r="P61" s="9" t="n">
        <x:v>0.482684999704361</x:v>
      </x:c>
      <x:c r="Q61" s="9" t="n">
        <x:v>88</x:v>
      </x:c>
      <x:c r="R61" s="9" t="n">
        <x:v>80</x:v>
      </x:c>
      <x:c r="S61" s="17" t="b">
        <x:v>0</x:v>
      </x:c>
      <x:c r="T61" s="18"/>
      <x:c r="U61" s="18"/>
    </x:row>
    <x:row r="62" ht="22" customHeight="1">
      <x:c r="A62" s="4" t="str">
        <x:v>CFA</x:v>
      </x:c>
      <x:c r="B62" s="4" t="str">
        <x:v>Agriculture</x:v>
      </x:c>
      <x:c r="C62" s="4" t="n">
        <x:v>12</x:v>
      </x:c>
      <x:c r="D62" s="4" t="n">
        <x:v>2028</x:v>
      </x:c>
      <x:c r="E62" s="4" t="str">
        <x:v>no_variance_shrink</x:v>
      </x:c>
      <x:c r="F62" s="9" t="n">
        <x:v>0.5</x:v>
      </x:c>
      <x:c r="G62" s="9" t="n">
        <x:v>0.375511167328514</x:v>
      </x:c>
      <x:c r="H62" s="9" t="n">
        <x:v>0.414420480981018</x:v>
      </x:c>
      <x:c r="I62" s="9" t="n">
        <x:v>0.337640732831367</x:v>
      </x:c>
      <x:c r="J62" s="9" t="n">
        <x:v>0.402949284987919</x:v>
      </x:c>
      <x:c r="K62" s="9" t="n">
        <x:v>0.317998096626232</x:v>
      </x:c>
      <x:c r="L62" s="9" t="n">
        <x:v>0.408614402806217</x:v>
      </x:c>
      <x:c r="M62" s="9" t="n">
        <x:v>-10.085035490839678</x:v>
      </x:c>
      <x:c r="N62" s="9" t="n">
        <x:v>-2.768008947324141</x:v>
      </x:c>
      <x:c r="O62" s="9" t="n">
        <x:v>0.497032850980759</x:v>
      </x:c>
      <x:c r="P62" s="9" t="n">
        <x:v>0.484561324119568</x:v>
      </x:c>
      <x:c r="Q62" s="9" t="n">
        <x:v>88</x:v>
      </x:c>
      <x:c r="R62" s="9" t="n">
        <x:v>80</x:v>
      </x:c>
      <x:c r="S62" s="17" t="b">
        <x:v>1</x:v>
      </x:c>
      <x:c r="T62" s="18"/>
      <x:c r="U62" s="18"/>
    </x:row>
    <x:row r="63" ht="22" customHeight="1">
      <x:c r="A63" s="4" t="str">
        <x:v>Aurora</x:v>
      </x:c>
      <x:c r="B63" s="4" t="str">
        <x:v>Agriculture</x:v>
      </x:c>
      <x:c r="C63" s="4" t="n">
        <x:v>12</x:v>
      </x:c>
      <x:c r="D63" s="4" t="n">
        <x:v>2028</x:v>
      </x:c>
      <x:c r="E63" s="4" t="str">
        <x:v>no_variance_shrink</x:v>
      </x:c>
      <x:c r="F63" s="9" t="n">
        <x:v>1</x:v>
      </x:c>
      <x:c r="G63" s="9" t="n">
        <x:v>1.062715799991609</x:v>
      </x:c>
      <x:c r="H63" s="9" t="n">
        <x:v>0.746248825707219</x:v>
      </x:c>
      <x:c r="I63" s="9" t="n">
        <x:v>0.769495936667952</x:v>
      </x:c>
      <x:c r="J63" s="9" t="n">
        <x:v>0.656831639959957</x:v>
      </x:c>
      <x:c r="K63" s="9" t="n">
        <x:v>0.769495936667952</x:v>
      </x:c>
      <x:c r="L63" s="9" t="n">
        <x:v>0.656831639959957</x:v>
      </x:c>
      <x:c r="M63" s="9" t="n">
        <x:v>-27.5915595990925</x:v>
      </x:c>
      <x:c r="N63" s="9" t="n">
        <x:v>-11.982221300317851</x:v>
      </x:c>
      <x:c r="O63" s="9" t="n">
        <x:v>0.497032850980759</x:v>
      </x:c>
      <x:c r="P63" s="9" t="n">
        <x:v>0.500744521617889</x:v>
      </x:c>
      <x:c r="Q63" s="9" t="n">
        <x:v>88</x:v>
      </x:c>
      <x:c r="R63" s="9" t="n">
        <x:v>80</x:v>
      </x:c>
      <x:c r="S63" s="17" t="b">
        <x:v>1</x:v>
      </x:c>
      <x:c r="T63" s="18"/>
      <x:c r="U63" s="18"/>
    </x:row>
    <x:row r="64" ht="22" customHeight="1">
      <x:c r="A64" s="4" t="str">
        <x:v>TaTS</x:v>
      </x:c>
      <x:c r="B64" s="4" t="str">
        <x:v>Climate</x:v>
      </x:c>
      <x:c r="C64" s="4" t="n">
        <x:v>6</x:v>
      </x:c>
      <x:c r="D64" s="4" t="n">
        <x:v>2026</x:v>
      </x:c>
      <x:c r="E64" s="4" t="str">
        <x:v>no_variance_shrink</x:v>
      </x:c>
      <x:c r="F64" s="9" t="n">
        <x:v>0</x:v>
      </x:c>
      <x:c r="G64" s="9" t="n">
        <x:v>1.143348655095016</x:v>
      </x:c>
      <x:c r="H64" s="9" t="n">
        <x:v>0.851276233239126</x:v>
      </x:c>
      <x:c r="I64" s="9" t="n">
        <x:v>1.143348655095016</x:v>
      </x:c>
      <x:c r="J64" s="9" t="n">
        <x:v>0.851276233239126</x:v>
      </x:c>
      <x:c r="K64" s="9" t="n">
        <x:v>1.143348655238879</x:v>
      </x:c>
      <x:c r="L64" s="9" t="n">
        <x:v>0.851276233222768</x:v>
      </x:c>
      <x:c r="M64" s="9" t="n">
        <x:v>0</x:v>
      </x:c>
      <x:c r="N64" s="9" t="n">
        <x:v>0</x:v>
      </x:c>
      <x:c r="O64" s="9" t="n">
        <x:v>0.529965162277222</x:v>
      </x:c>
      <x:c r="P64" s="9" t="n">
        <x:v>5.18943e-10</x:v>
      </x:c>
      <x:c r="Q64" s="9" t="n">
        <x:v>94</x:v>
      </x:c>
      <x:c r="R64" s="9" t="n">
        <x:v>0</x:v>
      </x:c>
      <x:c r="S64" s="17" t="b">
        <x:v>0</x:v>
      </x:c>
      <x:c r="T64" s="18"/>
      <x:c r="U64" s="18"/>
    </x:row>
    <x:row r="65" ht="22" customHeight="1">
      <x:c r="A65" s="4" t="str">
        <x:v>MM-TSFlib</x:v>
      </x:c>
      <x:c r="B65" s="4" t="str">
        <x:v>Climate</x:v>
      </x:c>
      <x:c r="C65" s="4" t="n">
        <x:v>6</x:v>
      </x:c>
      <x:c r="D65" s="4" t="n">
        <x:v>2026</x:v>
      </x:c>
      <x:c r="E65" s="4" t="str">
        <x:v>no_variance_shrink</x:v>
      </x:c>
      <x:c r="F65" s="9" t="n">
        <x:v>0</x:v>
      </x:c>
      <x:c r="G65" s="9" t="n">
        <x:v>1.194147740010936</x:v>
      </x:c>
      <x:c r="H65" s="9" t="n">
        <x:v>0.87856884133434</x:v>
      </x:c>
      <x:c r="I65" s="9" t="n">
        <x:v>1.194147740010936</x:v>
      </x:c>
      <x:c r="J65" s="9" t="n">
        <x:v>0.87856884133434</x:v>
      </x:c>
      <x:c r="K65" s="9" t="n">
        <x:v>1.194147740167988</x:v>
      </x:c>
      <x:c r="L65" s="9" t="n">
        <x:v>0.87856884135213</x:v>
      </x:c>
      <x:c r="M65" s="9" t="n">
        <x:v>0</x:v>
      </x:c>
      <x:c r="N65" s="9" t="n">
        <x:v>0</x:v>
      </x:c>
      <x:c r="O65" s="9" t="n">
        <x:v>0.529965162277222</x:v>
      </x:c>
      <x:c r="P65" s="9" t="n">
        <x:v>5.13421e-10</x:v>
      </x:c>
      <x:c r="Q65" s="9" t="n">
        <x:v>94</x:v>
      </x:c>
      <x:c r="R65" s="9" t="n">
        <x:v>0</x:v>
      </x:c>
      <x:c r="S65" s="17" t="b">
        <x:v>0</x:v>
      </x:c>
      <x:c r="T65" s="18"/>
      <x:c r="U65" s="18"/>
    </x:row>
    <x:row r="66" ht="22" customHeight="1">
      <x:c r="A66" s="4" t="str">
        <x:v>SpecTF</x:v>
      </x:c>
      <x:c r="B66" s="4" t="str">
        <x:v>Climate</x:v>
      </x:c>
      <x:c r="C66" s="4" t="n">
        <x:v>6</x:v>
      </x:c>
      <x:c r="D66" s="4" t="n">
        <x:v>2026</x:v>
      </x:c>
      <x:c r="E66" s="4" t="str">
        <x:v>no_variance_shrink</x:v>
      </x:c>
      <x:c r="F66" s="9" t="n">
        <x:v>0.25</x:v>
      </x:c>
      <x:c r="G66" s="9" t="n">
        <x:v>1.057241405225904</x:v>
      </x:c>
      <x:c r="H66" s="9" t="n">
        <x:v>0.834196669426053</x:v>
      </x:c>
      <x:c r="I66" s="9" t="n">
        <x:v>1.057241405227141</x:v>
      </x:c>
      <x:c r="J66" s="9" t="n">
        <x:v>0.834196669431007</x:v>
      </x:c>
      <x:c r="K66" s="9" t="n">
        <x:v>1.057241405126826</x:v>
      </x:c>
      <x:c r="L66" s="9" t="n">
        <x:v>0.834196669388074</x:v>
      </x:c>
      <x:c r="M66" s="9" t="n">
        <x:v>1.17018e-10</x:v>
      </x:c>
      <x:c r="N66" s="9" t="n">
        <x:v>5.93858e-10</x:v>
      </x:c>
      <x:c r="O66" s="9" t="n">
        <x:v>0.529965162277222</x:v>
      </x:c>
      <x:c r="P66" s="9" t="n">
        <x:v>6.86547e-10</x:v>
      </x:c>
      <x:c r="Q66" s="9" t="n">
        <x:v>94</x:v>
      </x:c>
      <x:c r="R66" s="9" t="n">
        <x:v>0</x:v>
      </x:c>
      <x:c r="S66" s="17" t="b">
        <x:v>0</x:v>
      </x:c>
      <x:c r="T66" s="18"/>
      <x:c r="U66" s="18"/>
    </x:row>
    <x:row r="67" ht="22" customHeight="1">
      <x:c r="A67" s="4" t="str">
        <x:v>CFA</x:v>
      </x:c>
      <x:c r="B67" s="4" t="str">
        <x:v>Climate</x:v>
      </x:c>
      <x:c r="C67" s="4" t="n">
        <x:v>6</x:v>
      </x:c>
      <x:c r="D67" s="4" t="n">
        <x:v>2026</x:v>
      </x:c>
      <x:c r="E67" s="4" t="str">
        <x:v>no_variance_shrink</x:v>
      </x:c>
      <x:c r="F67" s="9" t="n">
        <x:v>0.25</x:v>
      </x:c>
      <x:c r="G67" s="9" t="n">
        <x:v>1.207252451872352</x:v>
      </x:c>
      <x:c r="H67" s="9" t="n">
        <x:v>0.887742212884366</x:v>
      </x:c>
      <x:c r="I67" s="9" t="n">
        <x:v>1.207252451854487</x:v>
      </x:c>
      <x:c r="J67" s="9" t="n">
        <x:v>0.887742212873839</x:v>
      </x:c>
      <x:c r="K67" s="9" t="n">
        <x:v>1.207252451944563</x:v>
      </x:c>
      <x:c r="L67" s="9" t="n">
        <x:v>0.887742212928744</x:v>
      </x:c>
      <x:c r="M67" s="9" t="n">
        <x:v>-1.479772e-9</x:v>
      </x:c>
      <x:c r="N67" s="9" t="n">
        <x:v>-1.185807e-9</x:v>
      </x:c>
      <x:c r="O67" s="9" t="n">
        <x:v>0.529965162277222</x:v>
      </x:c>
      <x:c r="P67" s="9" t="n">
        <x:v>5.03912e-10</x:v>
      </x:c>
      <x:c r="Q67" s="9" t="n">
        <x:v>94</x:v>
      </x:c>
      <x:c r="R67" s="9" t="n">
        <x:v>0</x:v>
      </x:c>
      <x:c r="S67" s="17" t="b">
        <x:v>0</x:v>
      </x:c>
      <x:c r="T67" s="18"/>
      <x:c r="U67" s="18"/>
    </x:row>
    <x:row r="68" ht="22" customHeight="1">
      <x:c r="A68" s="4" t="str">
        <x:v>Aurora</x:v>
      </x:c>
      <x:c r="B68" s="4" t="str">
        <x:v>Climate</x:v>
      </x:c>
      <x:c r="C68" s="4" t="n">
        <x:v>6</x:v>
      </x:c>
      <x:c r="D68" s="4" t="n">
        <x:v>2026</x:v>
      </x:c>
      <x:c r="E68" s="4" t="str">
        <x:v>no_variance_shrink</x:v>
      </x:c>
      <x:c r="F68" s="9" t="n">
        <x:v>0.25</x:v>
      </x:c>
      <x:c r="G68" s="9" t="n">
        <x:v>1.134932710533632</x:v>
      </x:c>
      <x:c r="H68" s="9" t="n">
        <x:v>0.861618795169713</x:v>
      </x:c>
      <x:c r="I68" s="9" t="n">
        <x:v>1.134932710586661</x:v>
      </x:c>
      <x:c r="J68" s="9" t="n">
        <x:v>0.861618795189283</x:v>
      </x:c>
      <x:c r="K68" s="9" t="n">
        <x:v>1.134932710346783</x:v>
      </x:c>
      <x:c r="L68" s="9" t="n">
        <x:v>0.861618795080402</x:v>
      </x:c>
      <x:c r="M68" s="9" t="n">
        <x:v>4.67244e-9</x:v>
      </x:c>
      <x:c r="N68" s="9" t="n">
        <x:v>2.271339e-9</x:v>
      </x:c>
      <x:c r="O68" s="9" t="n">
        <x:v>0.529965162277222</x:v>
      </x:c>
      <x:c r="P68" s="9" t="n">
        <x:v>5.26582e-10</x:v>
      </x:c>
      <x:c r="Q68" s="9" t="n">
        <x:v>94</x:v>
      </x:c>
      <x:c r="R68" s="9" t="n">
        <x:v>0</x:v>
      </x:c>
      <x:c r="S68" s="17" t="b">
        <x:v>0</x:v>
      </x:c>
      <x:c r="T68" s="18"/>
      <x:c r="U68" s="18"/>
    </x:row>
    <x:row r="69" ht="22" customHeight="1">
      <x:c r="A69" s="4" t="str">
        <x:v>TaTS</x:v>
      </x:c>
      <x:c r="B69" s="4" t="str">
        <x:v>Climate</x:v>
      </x:c>
      <x:c r="C69" s="4" t="n">
        <x:v>6</x:v>
      </x:c>
      <x:c r="D69" s="4" t="n">
        <x:v>2027</x:v>
      </x:c>
      <x:c r="E69" s="4" t="str">
        <x:v>no_variance_shrink</x:v>
      </x:c>
      <x:c r="F69" s="9" t="n">
        <x:v>0</x:v>
      </x:c>
      <x:c r="G69" s="9" t="n">
        <x:v>1.143348655095016</x:v>
      </x:c>
      <x:c r="H69" s="9" t="n">
        <x:v>0.851276233239126</x:v>
      </x:c>
      <x:c r="I69" s="9" t="n">
        <x:v>1.143348655095016</x:v>
      </x:c>
      <x:c r="J69" s="9" t="n">
        <x:v>0.851276233239126</x:v>
      </x:c>
      <x:c r="K69" s="9" t="n">
        <x:v>1.143348655238879</x:v>
      </x:c>
      <x:c r="L69" s="9" t="n">
        <x:v>0.851276233222768</x:v>
      </x:c>
      <x:c r="M69" s="9" t="n">
        <x:v>0</x:v>
      </x:c>
      <x:c r="N69" s="9" t="n">
        <x:v>0</x:v>
      </x:c>
      <x:c r="O69" s="9" t="n">
        <x:v>0.482724606990814</x:v>
      </x:c>
      <x:c r="P69" s="9" t="n">
        <x:v>5.18943e-10</x:v>
      </x:c>
      <x:c r="Q69" s="9" t="n">
        <x:v>94</x:v>
      </x:c>
      <x:c r="R69" s="9" t="n">
        <x:v>0</x:v>
      </x:c>
      <x:c r="S69" s="17" t="b">
        <x:v>0</x:v>
      </x:c>
      <x:c r="T69" s="18"/>
      <x:c r="U69" s="18"/>
    </x:row>
    <x:row r="70" ht="22" customHeight="1">
      <x:c r="A70" s="4" t="str">
        <x:v>MM-TSFlib</x:v>
      </x:c>
      <x:c r="B70" s="4" t="str">
        <x:v>Climate</x:v>
      </x:c>
      <x:c r="C70" s="4" t="n">
        <x:v>6</x:v>
      </x:c>
      <x:c r="D70" s="4" t="n">
        <x:v>2027</x:v>
      </x:c>
      <x:c r="E70" s="4" t="str">
        <x:v>no_variance_shrink</x:v>
      </x:c>
      <x:c r="F70" s="9" t="n">
        <x:v>0</x:v>
      </x:c>
      <x:c r="G70" s="9" t="n">
        <x:v>1.194147740010936</x:v>
      </x:c>
      <x:c r="H70" s="9" t="n">
        <x:v>0.87856884133434</x:v>
      </x:c>
      <x:c r="I70" s="9" t="n">
        <x:v>1.194147740010936</x:v>
      </x:c>
      <x:c r="J70" s="9" t="n">
        <x:v>0.87856884133434</x:v>
      </x:c>
      <x:c r="K70" s="9" t="n">
        <x:v>1.194147740167988</x:v>
      </x:c>
      <x:c r="L70" s="9" t="n">
        <x:v>0.87856884135213</x:v>
      </x:c>
      <x:c r="M70" s="9" t="n">
        <x:v>0</x:v>
      </x:c>
      <x:c r="N70" s="9" t="n">
        <x:v>0</x:v>
      </x:c>
      <x:c r="O70" s="9" t="n">
        <x:v>0.482724606990814</x:v>
      </x:c>
      <x:c r="P70" s="9" t="n">
        <x:v>5.13421e-10</x:v>
      </x:c>
      <x:c r="Q70" s="9" t="n">
        <x:v>94</x:v>
      </x:c>
      <x:c r="R70" s="9" t="n">
        <x:v>0</x:v>
      </x:c>
      <x:c r="S70" s="17" t="b">
        <x:v>0</x:v>
      </x:c>
      <x:c r="T70" s="18"/>
      <x:c r="U70" s="18"/>
    </x:row>
    <x:row r="71" ht="22" customHeight="1">
      <x:c r="A71" s="4" t="str">
        <x:v>SpecTF</x:v>
      </x:c>
      <x:c r="B71" s="4" t="str">
        <x:v>Climate</x:v>
      </x:c>
      <x:c r="C71" s="4" t="n">
        <x:v>6</x:v>
      </x:c>
      <x:c r="D71" s="4" t="n">
        <x:v>2027</x:v>
      </x:c>
      <x:c r="E71" s="4" t="str">
        <x:v>no_variance_shrink</x:v>
      </x:c>
      <x:c r="F71" s="9" t="n">
        <x:v>0.25</x:v>
      </x:c>
      <x:c r="G71" s="9" t="n">
        <x:v>1.057241405225904</x:v>
      </x:c>
      <x:c r="H71" s="9" t="n">
        <x:v>0.834196669426053</x:v>
      </x:c>
      <x:c r="I71" s="9" t="n">
        <x:v>1.057241405227141</x:v>
      </x:c>
      <x:c r="J71" s="9" t="n">
        <x:v>0.834196669431007</x:v>
      </x:c>
      <x:c r="K71" s="9" t="n">
        <x:v>1.057241405126826</x:v>
      </x:c>
      <x:c r="L71" s="9" t="n">
        <x:v>0.834196669388074</x:v>
      </x:c>
      <x:c r="M71" s="9" t="n">
        <x:v>1.17018e-10</x:v>
      </x:c>
      <x:c r="N71" s="9" t="n">
        <x:v>5.93858e-10</x:v>
      </x:c>
      <x:c r="O71" s="9" t="n">
        <x:v>0.482724606990814</x:v>
      </x:c>
      <x:c r="P71" s="9" t="n">
        <x:v>6.86547e-10</x:v>
      </x:c>
      <x:c r="Q71" s="9" t="n">
        <x:v>94</x:v>
      </x:c>
      <x:c r="R71" s="9" t="n">
        <x:v>0</x:v>
      </x:c>
      <x:c r="S71" s="17" t="b">
        <x:v>0</x:v>
      </x:c>
      <x:c r="T71" s="18"/>
      <x:c r="U71" s="18"/>
    </x:row>
    <x:row r="72" ht="22" customHeight="1">
      <x:c r="A72" s="4" t="str">
        <x:v>CFA</x:v>
      </x:c>
      <x:c r="B72" s="4" t="str">
        <x:v>Climate</x:v>
      </x:c>
      <x:c r="C72" s="4" t="n">
        <x:v>6</x:v>
      </x:c>
      <x:c r="D72" s="4" t="n">
        <x:v>2027</x:v>
      </x:c>
      <x:c r="E72" s="4" t="str">
        <x:v>no_variance_shrink</x:v>
      </x:c>
      <x:c r="F72" s="9" t="n">
        <x:v>0.25</x:v>
      </x:c>
      <x:c r="G72" s="9" t="n">
        <x:v>1.207252451872352</x:v>
      </x:c>
      <x:c r="H72" s="9" t="n">
        <x:v>0.887742212884366</x:v>
      </x:c>
      <x:c r="I72" s="9" t="n">
        <x:v>1.207252451854487</x:v>
      </x:c>
      <x:c r="J72" s="9" t="n">
        <x:v>0.887742212873839</x:v>
      </x:c>
      <x:c r="K72" s="9" t="n">
        <x:v>1.207252451944563</x:v>
      </x:c>
      <x:c r="L72" s="9" t="n">
        <x:v>0.887742212928744</x:v>
      </x:c>
      <x:c r="M72" s="9" t="n">
        <x:v>-1.479772e-9</x:v>
      </x:c>
      <x:c r="N72" s="9" t="n">
        <x:v>-1.185807e-9</x:v>
      </x:c>
      <x:c r="O72" s="9" t="n">
        <x:v>0.482724606990814</x:v>
      </x:c>
      <x:c r="P72" s="9" t="n">
        <x:v>5.03912e-10</x:v>
      </x:c>
      <x:c r="Q72" s="9" t="n">
        <x:v>94</x:v>
      </x:c>
      <x:c r="R72" s="9" t="n">
        <x:v>0</x:v>
      </x:c>
      <x:c r="S72" s="17" t="b">
        <x:v>0</x:v>
      </x:c>
      <x:c r="T72" s="18"/>
      <x:c r="U72" s="18"/>
    </x:row>
    <x:row r="73" ht="22" customHeight="1">
      <x:c r="A73" s="4" t="str">
        <x:v>Aurora</x:v>
      </x:c>
      <x:c r="B73" s="4" t="str">
        <x:v>Climate</x:v>
      </x:c>
      <x:c r="C73" s="4" t="n">
        <x:v>6</x:v>
      </x:c>
      <x:c r="D73" s="4" t="n">
        <x:v>2027</x:v>
      </x:c>
      <x:c r="E73" s="4" t="str">
        <x:v>no_variance_shrink</x:v>
      </x:c>
      <x:c r="F73" s="9" t="n">
        <x:v>0.25</x:v>
      </x:c>
      <x:c r="G73" s="9" t="n">
        <x:v>1.134932710533632</x:v>
      </x:c>
      <x:c r="H73" s="9" t="n">
        <x:v>0.861618795169713</x:v>
      </x:c>
      <x:c r="I73" s="9" t="n">
        <x:v>1.134932710586661</x:v>
      </x:c>
      <x:c r="J73" s="9" t="n">
        <x:v>0.861618795189283</x:v>
      </x:c>
      <x:c r="K73" s="9" t="n">
        <x:v>1.134932710346783</x:v>
      </x:c>
      <x:c r="L73" s="9" t="n">
        <x:v>0.861618795080402</x:v>
      </x:c>
      <x:c r="M73" s="9" t="n">
        <x:v>4.67244e-9</x:v>
      </x:c>
      <x:c r="N73" s="9" t="n">
        <x:v>2.271339e-9</x:v>
      </x:c>
      <x:c r="O73" s="9" t="n">
        <x:v>0.482724606990814</x:v>
      </x:c>
      <x:c r="P73" s="9" t="n">
        <x:v>5.26582e-10</x:v>
      </x:c>
      <x:c r="Q73" s="9" t="n">
        <x:v>94</x:v>
      </x:c>
      <x:c r="R73" s="9" t="n">
        <x:v>0</x:v>
      </x:c>
      <x:c r="S73" s="17" t="b">
        <x:v>0</x:v>
      </x:c>
      <x:c r="T73" s="18"/>
      <x:c r="U73" s="18"/>
    </x:row>
    <x:row r="74" ht="22" customHeight="1">
      <x:c r="A74" s="4" t="str">
        <x:v>TaTS</x:v>
      </x:c>
      <x:c r="B74" s="4" t="str">
        <x:v>Climate</x:v>
      </x:c>
      <x:c r="C74" s="4" t="n">
        <x:v>6</x:v>
      </x:c>
      <x:c r="D74" s="4" t="n">
        <x:v>2028</x:v>
      </x:c>
      <x:c r="E74" s="4" t="str">
        <x:v>no_variance_shrink</x:v>
      </x:c>
      <x:c r="F74" s="9" t="n">
        <x:v>0</x:v>
      </x:c>
      <x:c r="G74" s="9" t="n">
        <x:v>1.143348655095016</x:v>
      </x:c>
      <x:c r="H74" s="9" t="n">
        <x:v>0.851276233239126</x:v>
      </x:c>
      <x:c r="I74" s="9" t="n">
        <x:v>1.143348655095016</x:v>
      </x:c>
      <x:c r="J74" s="9" t="n">
        <x:v>0.851276233239126</x:v>
      </x:c>
      <x:c r="K74" s="9" t="n">
        <x:v>1.143348655238879</x:v>
      </x:c>
      <x:c r="L74" s="9" t="n">
        <x:v>0.851276233222768</x:v>
      </x:c>
      <x:c r="M74" s="9" t="n">
        <x:v>0</x:v>
      </x:c>
      <x:c r="N74" s="9" t="n">
        <x:v>0</x:v>
      </x:c>
      <x:c r="O74" s="9" t="n">
        <x:v>0.51842212677002</x:v>
      </x:c>
      <x:c r="P74" s="9" t="n">
        <x:v>5.18943e-10</x:v>
      </x:c>
      <x:c r="Q74" s="9" t="n">
        <x:v>94</x:v>
      </x:c>
      <x:c r="R74" s="9" t="n">
        <x:v>0</x:v>
      </x:c>
      <x:c r="S74" s="17" t="b">
        <x:v>0</x:v>
      </x:c>
      <x:c r="T74" s="18"/>
      <x:c r="U74" s="18"/>
    </x:row>
    <x:row r="75" ht="22" customHeight="1">
      <x:c r="A75" s="4" t="str">
        <x:v>MM-TSFlib</x:v>
      </x:c>
      <x:c r="B75" s="4" t="str">
        <x:v>Climate</x:v>
      </x:c>
      <x:c r="C75" s="4" t="n">
        <x:v>6</x:v>
      </x:c>
      <x:c r="D75" s="4" t="n">
        <x:v>2028</x:v>
      </x:c>
      <x:c r="E75" s="4" t="str">
        <x:v>no_variance_shrink</x:v>
      </x:c>
      <x:c r="F75" s="9" t="n">
        <x:v>0</x:v>
      </x:c>
      <x:c r="G75" s="9" t="n">
        <x:v>1.194147740010936</x:v>
      </x:c>
      <x:c r="H75" s="9" t="n">
        <x:v>0.87856884133434</x:v>
      </x:c>
      <x:c r="I75" s="9" t="n">
        <x:v>1.194147740010936</x:v>
      </x:c>
      <x:c r="J75" s="9" t="n">
        <x:v>0.87856884133434</x:v>
      </x:c>
      <x:c r="K75" s="9" t="n">
        <x:v>1.194147740167988</x:v>
      </x:c>
      <x:c r="L75" s="9" t="n">
        <x:v>0.87856884135213</x:v>
      </x:c>
      <x:c r="M75" s="9" t="n">
        <x:v>0</x:v>
      </x:c>
      <x:c r="N75" s="9" t="n">
        <x:v>0</x:v>
      </x:c>
      <x:c r="O75" s="9" t="n">
        <x:v>0.51842212677002</x:v>
      </x:c>
      <x:c r="P75" s="9" t="n">
        <x:v>5.13421e-10</x:v>
      </x:c>
      <x:c r="Q75" s="9" t="n">
        <x:v>94</x:v>
      </x:c>
      <x:c r="R75" s="9" t="n">
        <x:v>0</x:v>
      </x:c>
      <x:c r="S75" s="17" t="b">
        <x:v>0</x:v>
      </x:c>
      <x:c r="T75" s="18"/>
      <x:c r="U75" s="18"/>
    </x:row>
    <x:row r="76" ht="22" customHeight="1">
      <x:c r="A76" s="4" t="str">
        <x:v>SpecTF</x:v>
      </x:c>
      <x:c r="B76" s="4" t="str">
        <x:v>Climate</x:v>
      </x:c>
      <x:c r="C76" s="4" t="n">
        <x:v>6</x:v>
      </x:c>
      <x:c r="D76" s="4" t="n">
        <x:v>2028</x:v>
      </x:c>
      <x:c r="E76" s="4" t="str">
        <x:v>no_variance_shrink</x:v>
      </x:c>
      <x:c r="F76" s="9" t="n">
        <x:v>0.25</x:v>
      </x:c>
      <x:c r="G76" s="9" t="n">
        <x:v>1.057241405225904</x:v>
      </x:c>
      <x:c r="H76" s="9" t="n">
        <x:v>0.834196669426053</x:v>
      </x:c>
      <x:c r="I76" s="9" t="n">
        <x:v>1.057241405227141</x:v>
      </x:c>
      <x:c r="J76" s="9" t="n">
        <x:v>0.834196669431007</x:v>
      </x:c>
      <x:c r="K76" s="9" t="n">
        <x:v>1.057241405126826</x:v>
      </x:c>
      <x:c r="L76" s="9" t="n">
        <x:v>0.834196669388074</x:v>
      </x:c>
      <x:c r="M76" s="9" t="n">
        <x:v>1.17018e-10</x:v>
      </x:c>
      <x:c r="N76" s="9" t="n">
        <x:v>5.93858e-10</x:v>
      </x:c>
      <x:c r="O76" s="9" t="n">
        <x:v>0.51842212677002</x:v>
      </x:c>
      <x:c r="P76" s="9" t="n">
        <x:v>6.86547e-10</x:v>
      </x:c>
      <x:c r="Q76" s="9" t="n">
        <x:v>94</x:v>
      </x:c>
      <x:c r="R76" s="9" t="n">
        <x:v>0</x:v>
      </x:c>
      <x:c r="S76" s="17" t="b">
        <x:v>0</x:v>
      </x:c>
      <x:c r="T76" s="18"/>
      <x:c r="U76" s="18"/>
    </x:row>
    <x:row r="77" ht="22" customHeight="1">
      <x:c r="A77" s="4" t="str">
        <x:v>CFA</x:v>
      </x:c>
      <x:c r="B77" s="4" t="str">
        <x:v>Climate</x:v>
      </x:c>
      <x:c r="C77" s="4" t="n">
        <x:v>6</x:v>
      </x:c>
      <x:c r="D77" s="4" t="n">
        <x:v>2028</x:v>
      </x:c>
      <x:c r="E77" s="4" t="str">
        <x:v>no_variance_shrink</x:v>
      </x:c>
      <x:c r="F77" s="9" t="n">
        <x:v>0.25</x:v>
      </x:c>
      <x:c r="G77" s="9" t="n">
        <x:v>1.207252451872352</x:v>
      </x:c>
      <x:c r="H77" s="9" t="n">
        <x:v>0.887742212884366</x:v>
      </x:c>
      <x:c r="I77" s="9" t="n">
        <x:v>1.207252451854487</x:v>
      </x:c>
      <x:c r="J77" s="9" t="n">
        <x:v>0.887742212873839</x:v>
      </x:c>
      <x:c r="K77" s="9" t="n">
        <x:v>1.207252451944563</x:v>
      </x:c>
      <x:c r="L77" s="9" t="n">
        <x:v>0.887742212928744</x:v>
      </x:c>
      <x:c r="M77" s="9" t="n">
        <x:v>-1.479772e-9</x:v>
      </x:c>
      <x:c r="N77" s="9" t="n">
        <x:v>-1.185807e-9</x:v>
      </x:c>
      <x:c r="O77" s="9" t="n">
        <x:v>0.51842212677002</x:v>
      </x:c>
      <x:c r="P77" s="9" t="n">
        <x:v>5.03912e-10</x:v>
      </x:c>
      <x:c r="Q77" s="9" t="n">
        <x:v>94</x:v>
      </x:c>
      <x:c r="R77" s="9" t="n">
        <x:v>0</x:v>
      </x:c>
      <x:c r="S77" s="17" t="b">
        <x:v>0</x:v>
      </x:c>
      <x:c r="T77" s="18"/>
      <x:c r="U77" s="18"/>
    </x:row>
    <x:row r="78" ht="22" customHeight="1">
      <x:c r="A78" s="4" t="str">
        <x:v>Aurora</x:v>
      </x:c>
      <x:c r="B78" s="4" t="str">
        <x:v>Climate</x:v>
      </x:c>
      <x:c r="C78" s="4" t="n">
        <x:v>6</x:v>
      </x:c>
      <x:c r="D78" s="4" t="n">
        <x:v>2028</x:v>
      </x:c>
      <x:c r="E78" s="4" t="str">
        <x:v>no_variance_shrink</x:v>
      </x:c>
      <x:c r="F78" s="9" t="n">
        <x:v>0.25</x:v>
      </x:c>
      <x:c r="G78" s="9" t="n">
        <x:v>1.134932710533632</x:v>
      </x:c>
      <x:c r="H78" s="9" t="n">
        <x:v>0.861618795169713</x:v>
      </x:c>
      <x:c r="I78" s="9" t="n">
        <x:v>1.134932710586661</x:v>
      </x:c>
      <x:c r="J78" s="9" t="n">
        <x:v>0.861618795189283</x:v>
      </x:c>
      <x:c r="K78" s="9" t="n">
        <x:v>1.134932710346783</x:v>
      </x:c>
      <x:c r="L78" s="9" t="n">
        <x:v>0.861618795080402</x:v>
      </x:c>
      <x:c r="M78" s="9" t="n">
        <x:v>4.67244e-9</x:v>
      </x:c>
      <x:c r="N78" s="9" t="n">
        <x:v>2.271339e-9</x:v>
      </x:c>
      <x:c r="O78" s="9" t="n">
        <x:v>0.51842212677002</x:v>
      </x:c>
      <x:c r="P78" s="9" t="n">
        <x:v>5.26582e-10</x:v>
      </x:c>
      <x:c r="Q78" s="9" t="n">
        <x:v>94</x:v>
      </x:c>
      <x:c r="R78" s="9" t="n">
        <x:v>0</x:v>
      </x:c>
      <x:c r="S78" s="17" t="b">
        <x:v>0</x:v>
      </x:c>
      <x:c r="T78" s="18"/>
      <x:c r="U78" s="18"/>
    </x:row>
    <x:row r="79" ht="22" customHeight="1">
      <x:c r="A79" s="4" t="str">
        <x:v>TaTS</x:v>
      </x:c>
      <x:c r="B79" s="4" t="str">
        <x:v>Climate</x:v>
      </x:c>
      <x:c r="C79" s="4" t="n">
        <x:v>8</x:v>
      </x:c>
      <x:c r="D79" s="4" t="n">
        <x:v>2026</x:v>
      </x:c>
      <x:c r="E79" s="4" t="str">
        <x:v>no_variance_shrink</x:v>
      </x:c>
      <x:c r="F79" s="9" t="n">
        <x:v>0.75</x:v>
      </x:c>
      <x:c r="G79" s="9" t="n">
        <x:v>1.167597304259481</x:v>
      </x:c>
      <x:c r="H79" s="9" t="n">
        <x:v>0.867811394055657</x:v>
      </x:c>
      <x:c r="I79" s="9" t="n">
        <x:v>1.16759730444178</x:v>
      </x:c>
      <x:c r="J79" s="9" t="n">
        <x:v>0.867811394119559</x:v>
      </x:c>
      <x:c r="K79" s="9" t="n">
        <x:v>1.16759730446557</x:v>
      </x:c>
      <x:c r="L79" s="9" t="n">
        <x:v>0.867811394125254</x:v>
      </x:c>
      <x:c r="M79" s="9" t="n">
        <x:v>1.5613222e-8</x:v>
      </x:c>
      <x:c r="N79" s="9" t="n">
        <x:v>7.363576e-9</x:v>
      </x:c>
      <x:c r="O79" s="9" t="n">
        <x:v>0.529977738857269</x:v>
      </x:c>
      <x:c r="P79" s="9" t="n">
        <x:v>3.13104e-10</x:v>
      </x:c>
      <x:c r="Q79" s="9" t="n">
        <x:v>92</x:v>
      </x:c>
      <x:c r="R79" s="9" t="n">
        <x:v>0</x:v>
      </x:c>
      <x:c r="S79" s="17" t="b">
        <x:v>0</x:v>
      </x:c>
      <x:c r="T79" s="18"/>
      <x:c r="U79" s="18"/>
    </x:row>
    <x:row r="80" ht="22" customHeight="1">
      <x:c r="A80" s="4" t="str">
        <x:v>MM-TSFlib</x:v>
      </x:c>
      <x:c r="B80" s="4" t="str">
        <x:v>Climate</x:v>
      </x:c>
      <x:c r="C80" s="4" t="n">
        <x:v>8</x:v>
      </x:c>
      <x:c r="D80" s="4" t="n">
        <x:v>2026</x:v>
      </x:c>
      <x:c r="E80" s="4" t="str">
        <x:v>no_variance_shrink</x:v>
      </x:c>
      <x:c r="F80" s="9" t="n">
        <x:v>0.75</x:v>
      </x:c>
      <x:c r="G80" s="9" t="n">
        <x:v>1.320285579060983</x:v>
      </x:c>
      <x:c r="H80" s="9" t="n">
        <x:v>0.924705491657812</x:v>
      </x:c>
      <x:c r="I80" s="9" t="n">
        <x:v>1.320285579092022</x:v>
      </x:c>
      <x:c r="J80" s="9" t="n">
        <x:v>0.924705491645316</x:v>
      </x:c>
      <x:c r="K80" s="9" t="n">
        <x:v>1.320285579090391</x:v>
      </x:c>
      <x:c r="L80" s="9" t="n">
        <x:v>0.92470549164326</x:v>
      </x:c>
      <x:c r="M80" s="9" t="n">
        <x:v>2.350897e-9</x:v>
      </x:c>
      <x:c r="N80" s="9" t="n">
        <x:v>-1.351319e-9</x:v>
      </x:c>
      <x:c r="O80" s="9" t="n">
        <x:v>0.529977738857269</x:v>
      </x:c>
      <x:c r="P80" s="9" t="n">
        <x:v>3.06587e-10</x:v>
      </x:c>
      <x:c r="Q80" s="9" t="n">
        <x:v>92</x:v>
      </x:c>
      <x:c r="R80" s="9" t="n">
        <x:v>0</x:v>
      </x:c>
      <x:c r="S80" s="17" t="b">
        <x:v>0</x:v>
      </x:c>
      <x:c r="T80" s="18"/>
      <x:c r="U80" s="18"/>
    </x:row>
    <x:row r="81" ht="22" customHeight="1">
      <x:c r="A81" s="4" t="str">
        <x:v>SpecTF</x:v>
      </x:c>
      <x:c r="B81" s="4" t="str">
        <x:v>Climate</x:v>
      </x:c>
      <x:c r="C81" s="4" t="n">
        <x:v>8</x:v>
      </x:c>
      <x:c r="D81" s="4" t="n">
        <x:v>2026</x:v>
      </x:c>
      <x:c r="E81" s="4" t="str">
        <x:v>no_variance_shrink</x:v>
      </x:c>
      <x:c r="F81" s="9" t="n">
        <x:v>0</x:v>
      </x:c>
      <x:c r="G81" s="9" t="n">
        <x:v>1.07353160690252</x:v>
      </x:c>
      <x:c r="H81" s="9" t="n">
        <x:v>0.840314075127994</x:v>
      </x:c>
      <x:c r="I81" s="9" t="n">
        <x:v>1.07353160690252</x:v>
      </x:c>
      <x:c r="J81" s="9" t="n">
        <x:v>0.840314075127994</x:v>
      </x:c>
      <x:c r="K81" s="9" t="n">
        <x:v>1.073531606988552</x:v>
      </x:c>
      <x:c r="L81" s="9" t="n">
        <x:v>0.840314075141182</x:v>
      </x:c>
      <x:c r="M81" s="9" t="n">
        <x:v>0</x:v>
      </x:c>
      <x:c r="N81" s="9" t="n">
        <x:v>0</x:v>
      </x:c>
      <x:c r="O81" s="9" t="n">
        <x:v>0.529977738857269</x:v>
      </x:c>
      <x:c r="P81" s="9" t="n">
        <x:v>4.73296e-10</x:v>
      </x:c>
      <x:c r="Q81" s="9" t="n">
        <x:v>92</x:v>
      </x:c>
      <x:c r="R81" s="9" t="n">
        <x:v>0</x:v>
      </x:c>
      <x:c r="S81" s="17" t="b">
        <x:v>0</x:v>
      </x:c>
      <x:c r="T81" s="18"/>
      <x:c r="U81" s="18"/>
    </x:row>
    <x:row r="82" ht="22" customHeight="1">
      <x:c r="A82" s="4" t="str">
        <x:v>CFA</x:v>
      </x:c>
      <x:c r="B82" s="4" t="str">
        <x:v>Climate</x:v>
      </x:c>
      <x:c r="C82" s="4" t="n">
        <x:v>8</x:v>
      </x:c>
      <x:c r="D82" s="4" t="n">
        <x:v>2026</x:v>
      </x:c>
      <x:c r="E82" s="4" t="str">
        <x:v>no_variance_shrink</x:v>
      </x:c>
      <x:c r="F82" s="9" t="n">
        <x:v>0.75</x:v>
      </x:c>
      <x:c r="G82" s="9" t="n">
        <x:v>1.161504816687175</x:v>
      </x:c>
      <x:c r="H82" s="9" t="n">
        <x:v>0.879487159076076</x:v>
      </x:c>
      <x:c r="I82" s="9" t="n">
        <x:v>1.161504816662217</x:v>
      </x:c>
      <x:c r="J82" s="9" t="n">
        <x:v>0.879487159071963</x:v>
      </x:c>
      <x:c r="K82" s="9" t="n">
        <x:v>1.161504816657739</x:v>
      </x:c>
      <x:c r="L82" s="9" t="n">
        <x:v>0.879487159070065</x:v>
      </x:c>
      <x:c r="M82" s="9" t="n">
        <x:v>-2.148726e-9</x:v>
      </x:c>
      <x:c r="N82" s="9" t="n">
        <x:v>-4.67604e-10</x:v>
      </x:c>
      <x:c r="O82" s="9" t="n">
        <x:v>0.529977738857269</x:v>
      </x:c>
      <x:c r="P82" s="9" t="n">
        <x:v>3.24574e-10</x:v>
      </x:c>
      <x:c r="Q82" s="9" t="n">
        <x:v>92</x:v>
      </x:c>
      <x:c r="R82" s="9" t="n">
        <x:v>0</x:v>
      </x:c>
      <x:c r="S82" s="17" t="b">
        <x:v>0</x:v>
      </x:c>
      <x:c r="T82" s="18"/>
      <x:c r="U82" s="18"/>
    </x:row>
    <x:row r="83" ht="22" customHeight="1">
      <x:c r="A83" s="4" t="str">
        <x:v>Aurora</x:v>
      </x:c>
      <x:c r="B83" s="4" t="str">
        <x:v>Climate</x:v>
      </x:c>
      <x:c r="C83" s="4" t="n">
        <x:v>8</x:v>
      </x:c>
      <x:c r="D83" s="4" t="n">
        <x:v>2026</x:v>
      </x:c>
      <x:c r="E83" s="4" t="str">
        <x:v>no_variance_shrink</x:v>
      </x:c>
      <x:c r="F83" s="9" t="n">
        <x:v>0</x:v>
      </x:c>
      <x:c r="G83" s="9" t="n">
        <x:v>1.144852338424339</x:v>
      </x:c>
      <x:c r="H83" s="9" t="n">
        <x:v>0.867424801511699</x:v>
      </x:c>
      <x:c r="I83" s="9" t="n">
        <x:v>1.144852338424339</x:v>
      </x:c>
      <x:c r="J83" s="9" t="n">
        <x:v>0.867424801511699</x:v>
      </x:c>
      <x:c r="K83" s="9" t="n">
        <x:v>1.144852338357018</x:v>
      </x:c>
      <x:c r="L83" s="9" t="n">
        <x:v>0.867424801425406</x:v>
      </x:c>
      <x:c r="M83" s="9" t="n">
        <x:v>0</x:v>
      </x:c>
      <x:c r="N83" s="9" t="n">
        <x:v>0</x:v>
      </x:c>
      <x:c r="O83" s="9" t="n">
        <x:v>0.529977738857269</x:v>
      </x:c>
      <x:c r="P83" s="9" t="n">
        <x:v>3.38327e-10</x:v>
      </x:c>
      <x:c r="Q83" s="9" t="n">
        <x:v>92</x:v>
      </x:c>
      <x:c r="R83" s="9" t="n">
        <x:v>0</x:v>
      </x:c>
      <x:c r="S83" s="17" t="b">
        <x:v>0</x:v>
      </x:c>
      <x:c r="T83" s="18"/>
      <x:c r="U83" s="18"/>
    </x:row>
    <x:row r="84" ht="22" customHeight="1">
      <x:c r="A84" s="4" t="str">
        <x:v>TaTS</x:v>
      </x:c>
      <x:c r="B84" s="4" t="str">
        <x:v>Climate</x:v>
      </x:c>
      <x:c r="C84" s="4" t="n">
        <x:v>8</x:v>
      </x:c>
      <x:c r="D84" s="4" t="n">
        <x:v>2027</x:v>
      </x:c>
      <x:c r="E84" s="4" t="str">
        <x:v>no_variance_shrink</x:v>
      </x:c>
      <x:c r="F84" s="9" t="n">
        <x:v>0.75</x:v>
      </x:c>
      <x:c r="G84" s="9" t="n">
        <x:v>1.167597304259481</x:v>
      </x:c>
      <x:c r="H84" s="9" t="n">
        <x:v>0.867811394055657</x:v>
      </x:c>
      <x:c r="I84" s="9" t="n">
        <x:v>1.16759730444178</x:v>
      </x:c>
      <x:c r="J84" s="9" t="n">
        <x:v>0.867811394119559</x:v>
      </x:c>
      <x:c r="K84" s="9" t="n">
        <x:v>1.16759730446557</x:v>
      </x:c>
      <x:c r="L84" s="9" t="n">
        <x:v>0.867811394125254</x:v>
      </x:c>
      <x:c r="M84" s="9" t="n">
        <x:v>1.5613222e-8</x:v>
      </x:c>
      <x:c r="N84" s="9" t="n">
        <x:v>7.363576e-9</x:v>
      </x:c>
      <x:c r="O84" s="9" t="n">
        <x:v>0.482731610536575</x:v>
      </x:c>
      <x:c r="P84" s="9" t="n">
        <x:v>3.13104e-10</x:v>
      </x:c>
      <x:c r="Q84" s="9" t="n">
        <x:v>92</x:v>
      </x:c>
      <x:c r="R84" s="9" t="n">
        <x:v>0</x:v>
      </x:c>
      <x:c r="S84" s="17" t="b">
        <x:v>0</x:v>
      </x:c>
      <x:c r="T84" s="18"/>
      <x:c r="U84" s="18"/>
    </x:row>
    <x:row r="85" ht="22" customHeight="1">
      <x:c r="A85" s="4" t="str">
        <x:v>MM-TSFlib</x:v>
      </x:c>
      <x:c r="B85" s="4" t="str">
        <x:v>Climate</x:v>
      </x:c>
      <x:c r="C85" s="4" t="n">
        <x:v>8</x:v>
      </x:c>
      <x:c r="D85" s="4" t="n">
        <x:v>2027</x:v>
      </x:c>
      <x:c r="E85" s="4" t="str">
        <x:v>no_variance_shrink</x:v>
      </x:c>
      <x:c r="F85" s="9" t="n">
        <x:v>0.75</x:v>
      </x:c>
      <x:c r="G85" s="9" t="n">
        <x:v>1.320285579060983</x:v>
      </x:c>
      <x:c r="H85" s="9" t="n">
        <x:v>0.924705491657812</x:v>
      </x:c>
      <x:c r="I85" s="9" t="n">
        <x:v>1.320285579092022</x:v>
      </x:c>
      <x:c r="J85" s="9" t="n">
        <x:v>0.924705491645316</x:v>
      </x:c>
      <x:c r="K85" s="9" t="n">
        <x:v>1.320285579090391</x:v>
      </x:c>
      <x:c r="L85" s="9" t="n">
        <x:v>0.92470549164326</x:v>
      </x:c>
      <x:c r="M85" s="9" t="n">
        <x:v>2.350897e-9</x:v>
      </x:c>
      <x:c r="N85" s="9" t="n">
        <x:v>-1.351319e-9</x:v>
      </x:c>
      <x:c r="O85" s="9" t="n">
        <x:v>0.482731610536575</x:v>
      </x:c>
      <x:c r="P85" s="9" t="n">
        <x:v>3.06587e-10</x:v>
      </x:c>
      <x:c r="Q85" s="9" t="n">
        <x:v>92</x:v>
      </x:c>
      <x:c r="R85" s="9" t="n">
        <x:v>0</x:v>
      </x:c>
      <x:c r="S85" s="17" t="b">
        <x:v>0</x:v>
      </x:c>
      <x:c r="T85" s="18"/>
      <x:c r="U85" s="18"/>
    </x:row>
    <x:row r="86" ht="22" customHeight="1">
      <x:c r="A86" s="4" t="str">
        <x:v>SpecTF</x:v>
      </x:c>
      <x:c r="B86" s="4" t="str">
        <x:v>Climate</x:v>
      </x:c>
      <x:c r="C86" s="4" t="n">
        <x:v>8</x:v>
      </x:c>
      <x:c r="D86" s="4" t="n">
        <x:v>2027</x:v>
      </x:c>
      <x:c r="E86" s="4" t="str">
        <x:v>no_variance_shrink</x:v>
      </x:c>
      <x:c r="F86" s="9" t="n">
        <x:v>0</x:v>
      </x:c>
      <x:c r="G86" s="9" t="n">
        <x:v>1.07353160690252</x:v>
      </x:c>
      <x:c r="H86" s="9" t="n">
        <x:v>0.840314075127994</x:v>
      </x:c>
      <x:c r="I86" s="9" t="n">
        <x:v>1.07353160690252</x:v>
      </x:c>
      <x:c r="J86" s="9" t="n">
        <x:v>0.840314075127994</x:v>
      </x:c>
      <x:c r="K86" s="9" t="n">
        <x:v>1.073531606988552</x:v>
      </x:c>
      <x:c r="L86" s="9" t="n">
        <x:v>0.840314075141182</x:v>
      </x:c>
      <x:c r="M86" s="9" t="n">
        <x:v>0</x:v>
      </x:c>
      <x:c r="N86" s="9" t="n">
        <x:v>0</x:v>
      </x:c>
      <x:c r="O86" s="9" t="n">
        <x:v>0.482731610536575</x:v>
      </x:c>
      <x:c r="P86" s="9" t="n">
        <x:v>4.73296e-10</x:v>
      </x:c>
      <x:c r="Q86" s="9" t="n">
        <x:v>92</x:v>
      </x:c>
      <x:c r="R86" s="9" t="n">
        <x:v>0</x:v>
      </x:c>
      <x:c r="S86" s="17" t="b">
        <x:v>0</x:v>
      </x:c>
      <x:c r="T86" s="18"/>
      <x:c r="U86" s="18"/>
    </x:row>
    <x:row r="87" ht="22" customHeight="1">
      <x:c r="A87" s="4" t="str">
        <x:v>CFA</x:v>
      </x:c>
      <x:c r="B87" s="4" t="str">
        <x:v>Climate</x:v>
      </x:c>
      <x:c r="C87" s="4" t="n">
        <x:v>8</x:v>
      </x:c>
      <x:c r="D87" s="4" t="n">
        <x:v>2027</x:v>
      </x:c>
      <x:c r="E87" s="4" t="str">
        <x:v>no_variance_shrink</x:v>
      </x:c>
      <x:c r="F87" s="9" t="n">
        <x:v>0.75</x:v>
      </x:c>
      <x:c r="G87" s="9" t="n">
        <x:v>1.161504816687175</x:v>
      </x:c>
      <x:c r="H87" s="9" t="n">
        <x:v>0.879487159076076</x:v>
      </x:c>
      <x:c r="I87" s="9" t="n">
        <x:v>1.161504816662217</x:v>
      </x:c>
      <x:c r="J87" s="9" t="n">
        <x:v>0.879487159071963</x:v>
      </x:c>
      <x:c r="K87" s="9" t="n">
        <x:v>1.161504816657739</x:v>
      </x:c>
      <x:c r="L87" s="9" t="n">
        <x:v>0.879487159070065</x:v>
      </x:c>
      <x:c r="M87" s="9" t="n">
        <x:v>-2.148726e-9</x:v>
      </x:c>
      <x:c r="N87" s="9" t="n">
        <x:v>-4.67604e-10</x:v>
      </x:c>
      <x:c r="O87" s="9" t="n">
        <x:v>0.482731610536575</x:v>
      </x:c>
      <x:c r="P87" s="9" t="n">
        <x:v>3.24574e-10</x:v>
      </x:c>
      <x:c r="Q87" s="9" t="n">
        <x:v>92</x:v>
      </x:c>
      <x:c r="R87" s="9" t="n">
        <x:v>0</x:v>
      </x:c>
      <x:c r="S87" s="17" t="b">
        <x:v>0</x:v>
      </x:c>
      <x:c r="T87" s="18"/>
      <x:c r="U87" s="18"/>
    </x:row>
    <x:row r="88" ht="22" customHeight="1">
      <x:c r="A88" s="4" t="str">
        <x:v>Aurora</x:v>
      </x:c>
      <x:c r="B88" s="4" t="str">
        <x:v>Climate</x:v>
      </x:c>
      <x:c r="C88" s="4" t="n">
        <x:v>8</x:v>
      </x:c>
      <x:c r="D88" s="4" t="n">
        <x:v>2027</x:v>
      </x:c>
      <x:c r="E88" s="4" t="str">
        <x:v>no_variance_shrink</x:v>
      </x:c>
      <x:c r="F88" s="9" t="n">
        <x:v>0</x:v>
      </x:c>
      <x:c r="G88" s="9" t="n">
        <x:v>1.144852338424339</x:v>
      </x:c>
      <x:c r="H88" s="9" t="n">
        <x:v>0.867424801511699</x:v>
      </x:c>
      <x:c r="I88" s="9" t="n">
        <x:v>1.144852338424339</x:v>
      </x:c>
      <x:c r="J88" s="9" t="n">
        <x:v>0.867424801511699</x:v>
      </x:c>
      <x:c r="K88" s="9" t="n">
        <x:v>1.144852338357018</x:v>
      </x:c>
      <x:c r="L88" s="9" t="n">
        <x:v>0.867424801425406</x:v>
      </x:c>
      <x:c r="M88" s="9" t="n">
        <x:v>0</x:v>
      </x:c>
      <x:c r="N88" s="9" t="n">
        <x:v>0</x:v>
      </x:c>
      <x:c r="O88" s="9" t="n">
        <x:v>0.482731610536575</x:v>
      </x:c>
      <x:c r="P88" s="9" t="n">
        <x:v>3.38327e-10</x:v>
      </x:c>
      <x:c r="Q88" s="9" t="n">
        <x:v>92</x:v>
      </x:c>
      <x:c r="R88" s="9" t="n">
        <x:v>0</x:v>
      </x:c>
      <x:c r="S88" s="17" t="b">
        <x:v>0</x:v>
      </x:c>
      <x:c r="T88" s="18"/>
      <x:c r="U88" s="18"/>
    </x:row>
    <x:row r="89" ht="22" customHeight="1">
      <x:c r="A89" s="4" t="str">
        <x:v>TaTS</x:v>
      </x:c>
      <x:c r="B89" s="4" t="str">
        <x:v>Climate</x:v>
      </x:c>
      <x:c r="C89" s="4" t="n">
        <x:v>8</x:v>
      </x:c>
      <x:c r="D89" s="4" t="n">
        <x:v>2028</x:v>
      </x:c>
      <x:c r="E89" s="4" t="str">
        <x:v>no_variance_shrink</x:v>
      </x:c>
      <x:c r="F89" s="9" t="n">
        <x:v>0.75</x:v>
      </x:c>
      <x:c r="G89" s="9" t="n">
        <x:v>1.167597304259481</x:v>
      </x:c>
      <x:c r="H89" s="9" t="n">
        <x:v>0.867811394055657</x:v>
      </x:c>
      <x:c r="I89" s="9" t="n">
        <x:v>1.16759730444178</x:v>
      </x:c>
      <x:c r="J89" s="9" t="n">
        <x:v>0.867811394119559</x:v>
      </x:c>
      <x:c r="K89" s="9" t="n">
        <x:v>1.16759730446557</x:v>
      </x:c>
      <x:c r="L89" s="9" t="n">
        <x:v>0.867811394125254</x:v>
      </x:c>
      <x:c r="M89" s="9" t="n">
        <x:v>1.5613222e-8</x:v>
      </x:c>
      <x:c r="N89" s="9" t="n">
        <x:v>7.363576e-9</x:v>
      </x:c>
      <x:c r="O89" s="9" t="n">
        <x:v>0.518399477005005</x:v>
      </x:c>
      <x:c r="P89" s="9" t="n">
        <x:v>3.13104e-10</x:v>
      </x:c>
      <x:c r="Q89" s="9" t="n">
        <x:v>92</x:v>
      </x:c>
      <x:c r="R89" s="9" t="n">
        <x:v>0</x:v>
      </x:c>
      <x:c r="S89" s="17" t="b">
        <x:v>0</x:v>
      </x:c>
      <x:c r="T89" s="18"/>
      <x:c r="U89" s="18"/>
    </x:row>
    <x:row r="90" ht="22" customHeight="1">
      <x:c r="A90" s="4" t="str">
        <x:v>MM-TSFlib</x:v>
      </x:c>
      <x:c r="B90" s="4" t="str">
        <x:v>Climate</x:v>
      </x:c>
      <x:c r="C90" s="4" t="n">
        <x:v>8</x:v>
      </x:c>
      <x:c r="D90" s="4" t="n">
        <x:v>2028</x:v>
      </x:c>
      <x:c r="E90" s="4" t="str">
        <x:v>no_variance_shrink</x:v>
      </x:c>
      <x:c r="F90" s="9" t="n">
        <x:v>0.75</x:v>
      </x:c>
      <x:c r="G90" s="9" t="n">
        <x:v>1.320285579060983</x:v>
      </x:c>
      <x:c r="H90" s="9" t="n">
        <x:v>0.924705491657812</x:v>
      </x:c>
      <x:c r="I90" s="9" t="n">
        <x:v>1.320285579092022</x:v>
      </x:c>
      <x:c r="J90" s="9" t="n">
        <x:v>0.924705491645316</x:v>
      </x:c>
      <x:c r="K90" s="9" t="n">
        <x:v>1.320285579090391</x:v>
      </x:c>
      <x:c r="L90" s="9" t="n">
        <x:v>0.92470549164326</x:v>
      </x:c>
      <x:c r="M90" s="9" t="n">
        <x:v>2.350897e-9</x:v>
      </x:c>
      <x:c r="N90" s="9" t="n">
        <x:v>-1.351319e-9</x:v>
      </x:c>
      <x:c r="O90" s="9" t="n">
        <x:v>0.518399477005005</x:v>
      </x:c>
      <x:c r="P90" s="9" t="n">
        <x:v>3.06587e-10</x:v>
      </x:c>
      <x:c r="Q90" s="9" t="n">
        <x:v>92</x:v>
      </x:c>
      <x:c r="R90" s="9" t="n">
        <x:v>0</x:v>
      </x:c>
      <x:c r="S90" s="17" t="b">
        <x:v>0</x:v>
      </x:c>
      <x:c r="T90" s="18"/>
      <x:c r="U90" s="18"/>
    </x:row>
    <x:row r="91" ht="22" customHeight="1">
      <x:c r="A91" s="4" t="str">
        <x:v>SpecTF</x:v>
      </x:c>
      <x:c r="B91" s="4" t="str">
        <x:v>Climate</x:v>
      </x:c>
      <x:c r="C91" s="4" t="n">
        <x:v>8</x:v>
      </x:c>
      <x:c r="D91" s="4" t="n">
        <x:v>2028</x:v>
      </x:c>
      <x:c r="E91" s="4" t="str">
        <x:v>no_variance_shrink</x:v>
      </x:c>
      <x:c r="F91" s="9" t="n">
        <x:v>0</x:v>
      </x:c>
      <x:c r="G91" s="9" t="n">
        <x:v>1.07353160690252</x:v>
      </x:c>
      <x:c r="H91" s="9" t="n">
        <x:v>0.840314075127994</x:v>
      </x:c>
      <x:c r="I91" s="9" t="n">
        <x:v>1.07353160690252</x:v>
      </x:c>
      <x:c r="J91" s="9" t="n">
        <x:v>0.840314075127994</x:v>
      </x:c>
      <x:c r="K91" s="9" t="n">
        <x:v>1.073531606988552</x:v>
      </x:c>
      <x:c r="L91" s="9" t="n">
        <x:v>0.840314075141182</x:v>
      </x:c>
      <x:c r="M91" s="9" t="n">
        <x:v>0</x:v>
      </x:c>
      <x:c r="N91" s="9" t="n">
        <x:v>0</x:v>
      </x:c>
      <x:c r="O91" s="9" t="n">
        <x:v>0.518399477005005</x:v>
      </x:c>
      <x:c r="P91" s="9" t="n">
        <x:v>4.73296e-10</x:v>
      </x:c>
      <x:c r="Q91" s="9" t="n">
        <x:v>92</x:v>
      </x:c>
      <x:c r="R91" s="9" t="n">
        <x:v>0</x:v>
      </x:c>
      <x:c r="S91" s="17" t="b">
        <x:v>0</x:v>
      </x:c>
      <x:c r="T91" s="18"/>
      <x:c r="U91" s="18"/>
    </x:row>
    <x:row r="92" ht="22" customHeight="1">
      <x:c r="A92" s="4" t="str">
        <x:v>CFA</x:v>
      </x:c>
      <x:c r="B92" s="4" t="str">
        <x:v>Climate</x:v>
      </x:c>
      <x:c r="C92" s="4" t="n">
        <x:v>8</x:v>
      </x:c>
      <x:c r="D92" s="4" t="n">
        <x:v>2028</x:v>
      </x:c>
      <x:c r="E92" s="4" t="str">
        <x:v>no_variance_shrink</x:v>
      </x:c>
      <x:c r="F92" s="9" t="n">
        <x:v>0.75</x:v>
      </x:c>
      <x:c r="G92" s="9" t="n">
        <x:v>1.161504816687175</x:v>
      </x:c>
      <x:c r="H92" s="9" t="n">
        <x:v>0.879487159076076</x:v>
      </x:c>
      <x:c r="I92" s="9" t="n">
        <x:v>1.161504816662217</x:v>
      </x:c>
      <x:c r="J92" s="9" t="n">
        <x:v>0.879487159071963</x:v>
      </x:c>
      <x:c r="K92" s="9" t="n">
        <x:v>1.161504816657739</x:v>
      </x:c>
      <x:c r="L92" s="9" t="n">
        <x:v>0.879487159070065</x:v>
      </x:c>
      <x:c r="M92" s="9" t="n">
        <x:v>-2.148726e-9</x:v>
      </x:c>
      <x:c r="N92" s="9" t="n">
        <x:v>-4.67604e-10</x:v>
      </x:c>
      <x:c r="O92" s="9" t="n">
        <x:v>0.518399477005005</x:v>
      </x:c>
      <x:c r="P92" s="9" t="n">
        <x:v>3.24574e-10</x:v>
      </x:c>
      <x:c r="Q92" s="9" t="n">
        <x:v>92</x:v>
      </x:c>
      <x:c r="R92" s="9" t="n">
        <x:v>0</x:v>
      </x:c>
      <x:c r="S92" s="17" t="b">
        <x:v>0</x:v>
      </x:c>
      <x:c r="T92" s="18"/>
      <x:c r="U92" s="18"/>
    </x:row>
    <x:row r="93" ht="22" customHeight="1">
      <x:c r="A93" s="4" t="str">
        <x:v>Aurora</x:v>
      </x:c>
      <x:c r="B93" s="4" t="str">
        <x:v>Climate</x:v>
      </x:c>
      <x:c r="C93" s="4" t="n">
        <x:v>8</x:v>
      </x:c>
      <x:c r="D93" s="4" t="n">
        <x:v>2028</x:v>
      </x:c>
      <x:c r="E93" s="4" t="str">
        <x:v>no_variance_shrink</x:v>
      </x:c>
      <x:c r="F93" s="9" t="n">
        <x:v>0</x:v>
      </x:c>
      <x:c r="G93" s="9" t="n">
        <x:v>1.144852338424339</x:v>
      </x:c>
      <x:c r="H93" s="9" t="n">
        <x:v>0.867424801511699</x:v>
      </x:c>
      <x:c r="I93" s="9" t="n">
        <x:v>1.144852338424339</x:v>
      </x:c>
      <x:c r="J93" s="9" t="n">
        <x:v>0.867424801511699</x:v>
      </x:c>
      <x:c r="K93" s="9" t="n">
        <x:v>1.144852338357018</x:v>
      </x:c>
      <x:c r="L93" s="9" t="n">
        <x:v>0.867424801425406</x:v>
      </x:c>
      <x:c r="M93" s="9" t="n">
        <x:v>0</x:v>
      </x:c>
      <x:c r="N93" s="9" t="n">
        <x:v>0</x:v>
      </x:c>
      <x:c r="O93" s="9" t="n">
        <x:v>0.518399477005005</x:v>
      </x:c>
      <x:c r="P93" s="9" t="n">
        <x:v>3.38327e-10</x:v>
      </x:c>
      <x:c r="Q93" s="9" t="n">
        <x:v>92</x:v>
      </x:c>
      <x:c r="R93" s="9" t="n">
        <x:v>0</x:v>
      </x:c>
      <x:c r="S93" s="17" t="b">
        <x:v>0</x:v>
      </x:c>
      <x:c r="T93" s="18"/>
      <x:c r="U93" s="18"/>
    </x:row>
    <x:row r="94" ht="22" customHeight="1">
      <x:c r="A94" s="4" t="str">
        <x:v>TaTS</x:v>
      </x:c>
      <x:c r="B94" s="4" t="str">
        <x:v>Climate</x:v>
      </x:c>
      <x:c r="C94" s="4" t="n">
        <x:v>10</x:v>
      </x:c>
      <x:c r="D94" s="4" t="n">
        <x:v>2026</x:v>
      </x:c>
      <x:c r="E94" s="4" t="str">
        <x:v>no_variance_shrink</x:v>
      </x:c>
      <x:c r="F94" s="9" t="n">
        <x:v>1</x:v>
      </x:c>
      <x:c r="G94" s="9" t="n">
        <x:v>1.161944658964559</x:v>
      </x:c>
      <x:c r="H94" s="9" t="n">
        <x:v>0.860819576697217</x:v>
      </x:c>
      <x:c r="I94" s="9" t="n">
        <x:v>1.161944659133274</x:v>
      </x:c>
      <x:c r="J94" s="9" t="n">
        <x:v>0.860819576716426</x:v>
      </x:c>
      <x:c r="K94" s="9" t="n">
        <x:v>1.161944659133274</x:v>
      </x:c>
      <x:c r="L94" s="9" t="n">
        <x:v>0.860819576716426</x:v>
      </x:c>
      <x:c r="M94" s="9" t="n">
        <x:v>1.452003e-8</x:v>
      </x:c>
      <x:c r="N94" s="9" t="n">
        <x:v>2.231415e-9</x:v>
      </x:c>
      <x:c r="O94" s="9" t="n">
        <x:v>0.530086278915405</x:v>
      </x:c>
      <x:c r="P94" s="9" t="n">
        <x:v>7.21632e-10</x:v>
      </x:c>
      <x:c r="Q94" s="9" t="n">
        <x:v>90</x:v>
      </x:c>
      <x:c r="R94" s="9" t="n">
        <x:v>0</x:v>
      </x:c>
      <x:c r="S94" s="17" t="b">
        <x:v>0</x:v>
      </x:c>
      <x:c r="T94" s="18"/>
      <x:c r="U94" s="18"/>
    </x:row>
    <x:row r="95" ht="22" customHeight="1">
      <x:c r="A95" s="4" t="str">
        <x:v>MM-TSFlib</x:v>
      </x:c>
      <x:c r="B95" s="4" t="str">
        <x:v>Climate</x:v>
      </x:c>
      <x:c r="C95" s="4" t="n">
        <x:v>10</x:v>
      </x:c>
      <x:c r="D95" s="4" t="n">
        <x:v>2026</x:v>
      </x:c>
      <x:c r="E95" s="4" t="str">
        <x:v>no_variance_shrink</x:v>
      </x:c>
      <x:c r="F95" s="9" t="n">
        <x:v>0.25</x:v>
      </x:c>
      <x:c r="G95" s="9" t="n">
        <x:v>1.240591447723062</x:v>
      </x:c>
      <x:c r="H95" s="9" t="n">
        <x:v>0.897915285691722</x:v>
      </x:c>
      <x:c r="I95" s="9" t="n">
        <x:v>1.240591447754212</x:v>
      </x:c>
      <x:c r="J95" s="9" t="n">
        <x:v>0.897915285690946</x:v>
      </x:c>
      <x:c r="K95" s="9" t="n">
        <x:v>1.240591447769157</x:v>
      </x:c>
      <x:c r="L95" s="9" t="n">
        <x:v>0.897915285617993</x:v>
      </x:c>
      <x:c r="M95" s="9" t="n">
        <x:v>2.510903e-9</x:v>
      </x:c>
      <x:c r="N95" s="9" t="n">
        <x:v>-8.6442e-11</x:v>
      </x:c>
      <x:c r="O95" s="9" t="n">
        <x:v>0.530086278915405</x:v>
      </x:c>
      <x:c r="P95" s="9" t="n">
        <x:v>6.69491e-10</x:v>
      </x:c>
      <x:c r="Q95" s="9" t="n">
        <x:v>90</x:v>
      </x:c>
      <x:c r="R95" s="9" t="n">
        <x:v>0</x:v>
      </x:c>
      <x:c r="S95" s="17" t="b">
        <x:v>0</x:v>
      </x:c>
      <x:c r="T95" s="18"/>
      <x:c r="U95" s="18"/>
    </x:row>
    <x:row r="96" ht="22" customHeight="1">
      <x:c r="A96" s="4" t="str">
        <x:v>SpecTF</x:v>
      </x:c>
      <x:c r="B96" s="4" t="str">
        <x:v>Climate</x:v>
      </x:c>
      <x:c r="C96" s="4" t="n">
        <x:v>10</x:v>
      </x:c>
      <x:c r="D96" s="4" t="n">
        <x:v>2026</x:v>
      </x:c>
      <x:c r="E96" s="4" t="str">
        <x:v>no_variance_shrink</x:v>
      </x:c>
      <x:c r="F96" s="9" t="n">
        <x:v>0.75</x:v>
      </x:c>
      <x:c r="G96" s="9" t="n">
        <x:v>1.122673223891788</x:v>
      </x:c>
      <x:c r="H96" s="9" t="n">
        <x:v>0.851501527198933</x:v>
      </x:c>
      <x:c r="I96" s="9" t="n">
        <x:v>1.122673223906378</x:v>
      </x:c>
      <x:c r="J96" s="9" t="n">
        <x:v>0.851501527251611</x:v>
      </x:c>
      <x:c r="K96" s="9" t="n">
        <x:v>1.122673223894881</x:v>
      </x:c>
      <x:c r="L96" s="9" t="n">
        <x:v>0.851501527241586</x:v>
      </x:c>
      <x:c r="M96" s="9" t="n">
        <x:v>1.299649e-9</x:v>
      </x:c>
      <x:c r="N96" s="9" t="n">
        <x:v>6.186474e-9</x:v>
      </x:c>
      <x:c r="O96" s="9" t="n">
        <x:v>0.530086278915405</x:v>
      </x:c>
      <x:c r="P96" s="9" t="n">
        <x:v>9.09944e-10</x:v>
      </x:c>
      <x:c r="Q96" s="9" t="n">
        <x:v>90</x:v>
      </x:c>
      <x:c r="R96" s="9" t="n">
        <x:v>0</x:v>
      </x:c>
      <x:c r="S96" s="17" t="b">
        <x:v>0</x:v>
      </x:c>
      <x:c r="T96" s="18"/>
      <x:c r="U96" s="18"/>
    </x:row>
    <x:row r="97" ht="22" customHeight="1">
      <x:c r="A97" s="4" t="str">
        <x:v>CFA</x:v>
      </x:c>
      <x:c r="B97" s="4" t="str">
        <x:v>Climate</x:v>
      </x:c>
      <x:c r="C97" s="4" t="n">
        <x:v>10</x:v>
      </x:c>
      <x:c r="D97" s="4" t="n">
        <x:v>2026</x:v>
      </x:c>
      <x:c r="E97" s="4" t="str">
        <x:v>no_variance_shrink</x:v>
      </x:c>
      <x:c r="F97" s="9" t="n">
        <x:v>0.25</x:v>
      </x:c>
      <x:c r="G97" s="9" t="n">
        <x:v>1.092105793003572</x:v>
      </x:c>
      <x:c r="H97" s="9" t="n">
        <x:v>0.849865562887862</x:v>
      </x:c>
      <x:c r="I97" s="9" t="n">
        <x:v>1.092105792991781</x:v>
      </x:c>
      <x:c r="J97" s="9" t="n">
        <x:v>0.849865562886828</x:v>
      </x:c>
      <x:c r="K97" s="9" t="n">
        <x:v>1.09210579286895</x:v>
      </x:c>
      <x:c r="L97" s="9" t="n">
        <x:v>0.849865562764203</x:v>
      </x:c>
      <x:c r="M97" s="9" t="n">
        <x:v>-1.079636e-9</x:v>
      </x:c>
      <x:c r="N97" s="9" t="n">
        <x:v>-1.21747e-10</x:v>
      </x:c>
      <x:c r="O97" s="9" t="n">
        <x:v>0.530086278915405</x:v>
      </x:c>
      <x:c r="P97" s="9" t="n">
        <x:v>5.71237e-10</x:v>
      </x:c>
      <x:c r="Q97" s="9" t="n">
        <x:v>90</x:v>
      </x:c>
      <x:c r="R97" s="9" t="n">
        <x:v>0</x:v>
      </x:c>
      <x:c r="S97" s="17" t="b">
        <x:v>0</x:v>
      </x:c>
      <x:c r="T97" s="18"/>
      <x:c r="U97" s="18"/>
    </x:row>
    <x:row r="98" ht="22" customHeight="1">
      <x:c r="A98" s="4" t="str">
        <x:v>Aurora</x:v>
      </x:c>
      <x:c r="B98" s="4" t="str">
        <x:v>Climate</x:v>
      </x:c>
      <x:c r="C98" s="4" t="n">
        <x:v>10</x:v>
      </x:c>
      <x:c r="D98" s="4" t="n">
        <x:v>2026</x:v>
      </x:c>
      <x:c r="E98" s="4" t="str">
        <x:v>no_variance_shrink</x:v>
      </x:c>
      <x:c r="F98" s="9" t="n">
        <x:v>1</x:v>
      </x:c>
      <x:c r="G98" s="9" t="n">
        <x:v>1.160987237939077</x:v>
      </x:c>
      <x:c r="H98" s="9" t="n">
        <x:v>0.876268171430056</x:v>
      </x:c>
      <x:c r="I98" s="9" t="n">
        <x:v>1.160987237980061</x:v>
      </x:c>
      <x:c r="J98" s="9" t="n">
        <x:v>0.876268171460405</x:v>
      </x:c>
      <x:c r="K98" s="9" t="n">
        <x:v>1.160987237980061</x:v>
      </x:c>
      <x:c r="L98" s="9" t="n">
        <x:v>0.876268171460405</x:v>
      </x:c>
      <x:c r="M98" s="9" t="n">
        <x:v>3.53011e-9</x:v>
      </x:c>
      <x:c r="N98" s="9" t="n">
        <x:v>3.46343e-9</x:v>
      </x:c>
      <x:c r="O98" s="9" t="n">
        <x:v>0.530086278915405</x:v>
      </x:c>
      <x:c r="P98" s="9" t="n">
        <x:v>6.37599e-10</x:v>
      </x:c>
      <x:c r="Q98" s="9" t="n">
        <x:v>90</x:v>
      </x:c>
      <x:c r="R98" s="9" t="n">
        <x:v>0</x:v>
      </x:c>
      <x:c r="S98" s="17" t="b">
        <x:v>0</x:v>
      </x:c>
      <x:c r="T98" s="18"/>
      <x:c r="U98" s="18"/>
    </x:row>
    <x:row r="99" ht="22" customHeight="1">
      <x:c r="A99" s="4" t="str">
        <x:v>TaTS</x:v>
      </x:c>
      <x:c r="B99" s="4" t="str">
        <x:v>Climate</x:v>
      </x:c>
      <x:c r="C99" s="4" t="n">
        <x:v>10</x:v>
      </x:c>
      <x:c r="D99" s="4" t="n">
        <x:v>2027</x:v>
      </x:c>
      <x:c r="E99" s="4" t="str">
        <x:v>no_variance_shrink</x:v>
      </x:c>
      <x:c r="F99" s="9" t="n">
        <x:v>1</x:v>
      </x:c>
      <x:c r="G99" s="9" t="n">
        <x:v>1.161944658964559</x:v>
      </x:c>
      <x:c r="H99" s="9" t="n">
        <x:v>0.860819576697217</x:v>
      </x:c>
      <x:c r="I99" s="9" t="n">
        <x:v>1.161944659133274</x:v>
      </x:c>
      <x:c r="J99" s="9" t="n">
        <x:v>0.860819576716426</x:v>
      </x:c>
      <x:c r="K99" s="9" t="n">
        <x:v>1.161944659133274</x:v>
      </x:c>
      <x:c r="L99" s="9" t="n">
        <x:v>0.860819576716426</x:v>
      </x:c>
      <x:c r="M99" s="9" t="n">
        <x:v>1.452003e-8</x:v>
      </x:c>
      <x:c r="N99" s="9" t="n">
        <x:v>2.231415e-9</x:v>
      </x:c>
      <x:c r="O99" s="9" t="n">
        <x:v>0.482715338468552</x:v>
      </x:c>
      <x:c r="P99" s="9" t="n">
        <x:v>7.21632e-10</x:v>
      </x:c>
      <x:c r="Q99" s="9" t="n">
        <x:v>90</x:v>
      </x:c>
      <x:c r="R99" s="9" t="n">
        <x:v>0</x:v>
      </x:c>
      <x:c r="S99" s="17" t="b">
        <x:v>0</x:v>
      </x:c>
      <x:c r="T99" s="18"/>
      <x:c r="U99" s="18"/>
    </x:row>
    <x:row r="100" ht="22" customHeight="1">
      <x:c r="A100" s="4" t="str">
        <x:v>MM-TSFlib</x:v>
      </x:c>
      <x:c r="B100" s="4" t="str">
        <x:v>Climate</x:v>
      </x:c>
      <x:c r="C100" s="4" t="n">
        <x:v>10</x:v>
      </x:c>
      <x:c r="D100" s="4" t="n">
        <x:v>2027</x:v>
      </x:c>
      <x:c r="E100" s="4" t="str">
        <x:v>no_variance_shrink</x:v>
      </x:c>
      <x:c r="F100" s="9" t="n">
        <x:v>0.25</x:v>
      </x:c>
      <x:c r="G100" s="9" t="n">
        <x:v>1.240591447723062</x:v>
      </x:c>
      <x:c r="H100" s="9" t="n">
        <x:v>0.897915285691722</x:v>
      </x:c>
      <x:c r="I100" s="9" t="n">
        <x:v>1.240591447754212</x:v>
      </x:c>
      <x:c r="J100" s="9" t="n">
        <x:v>0.897915285690946</x:v>
      </x:c>
      <x:c r="K100" s="9" t="n">
        <x:v>1.240591447769157</x:v>
      </x:c>
      <x:c r="L100" s="9" t="n">
        <x:v>0.897915285617993</x:v>
      </x:c>
      <x:c r="M100" s="9" t="n">
        <x:v>2.510903e-9</x:v>
      </x:c>
      <x:c r="N100" s="9" t="n">
        <x:v>-8.6442e-11</x:v>
      </x:c>
      <x:c r="O100" s="9" t="n">
        <x:v>0.482715338468552</x:v>
      </x:c>
      <x:c r="P100" s="9" t="n">
        <x:v>6.69491e-10</x:v>
      </x:c>
      <x:c r="Q100" s="9" t="n">
        <x:v>90</x:v>
      </x:c>
      <x:c r="R100" s="9" t="n">
        <x:v>0</x:v>
      </x:c>
      <x:c r="S100" s="17" t="b">
        <x:v>0</x:v>
      </x:c>
      <x:c r="T100" s="18"/>
      <x:c r="U100" s="18"/>
    </x:row>
    <x:row r="101" ht="22" customHeight="1">
      <x:c r="A101" s="4" t="str">
        <x:v>SpecTF</x:v>
      </x:c>
      <x:c r="B101" s="4" t="str">
        <x:v>Climate</x:v>
      </x:c>
      <x:c r="C101" s="4" t="n">
        <x:v>10</x:v>
      </x:c>
      <x:c r="D101" s="4" t="n">
        <x:v>2027</x:v>
      </x:c>
      <x:c r="E101" s="4" t="str">
        <x:v>no_variance_shrink</x:v>
      </x:c>
      <x:c r="F101" s="9" t="n">
        <x:v>0.75</x:v>
      </x:c>
      <x:c r="G101" s="9" t="n">
        <x:v>1.122673223891788</x:v>
      </x:c>
      <x:c r="H101" s="9" t="n">
        <x:v>0.851501527198933</x:v>
      </x:c>
      <x:c r="I101" s="9" t="n">
        <x:v>1.122673223906378</x:v>
      </x:c>
      <x:c r="J101" s="9" t="n">
        <x:v>0.851501527251611</x:v>
      </x:c>
      <x:c r="K101" s="9" t="n">
        <x:v>1.122673223894881</x:v>
      </x:c>
      <x:c r="L101" s="9" t="n">
        <x:v>0.851501527241586</x:v>
      </x:c>
      <x:c r="M101" s="9" t="n">
        <x:v>1.299649e-9</x:v>
      </x:c>
      <x:c r="N101" s="9" t="n">
        <x:v>6.186474e-9</x:v>
      </x:c>
      <x:c r="O101" s="9" t="n">
        <x:v>0.482715338468552</x:v>
      </x:c>
      <x:c r="P101" s="9" t="n">
        <x:v>9.09944e-10</x:v>
      </x:c>
      <x:c r="Q101" s="9" t="n">
        <x:v>90</x:v>
      </x:c>
      <x:c r="R101" s="9" t="n">
        <x:v>0</x:v>
      </x:c>
      <x:c r="S101" s="17" t="b">
        <x:v>0</x:v>
      </x:c>
      <x:c r="T101" s="18"/>
      <x:c r="U101" s="18"/>
    </x:row>
    <x:row r="102" ht="22" customHeight="1">
      <x:c r="A102" s="4" t="str">
        <x:v>CFA</x:v>
      </x:c>
      <x:c r="B102" s="4" t="str">
        <x:v>Climate</x:v>
      </x:c>
      <x:c r="C102" s="4" t="n">
        <x:v>10</x:v>
      </x:c>
      <x:c r="D102" s="4" t="n">
        <x:v>2027</x:v>
      </x:c>
      <x:c r="E102" s="4" t="str">
        <x:v>no_variance_shrink</x:v>
      </x:c>
      <x:c r="F102" s="9" t="n">
        <x:v>0.25</x:v>
      </x:c>
      <x:c r="G102" s="9" t="n">
        <x:v>1.092105793003572</x:v>
      </x:c>
      <x:c r="H102" s="9" t="n">
        <x:v>0.849865562887862</x:v>
      </x:c>
      <x:c r="I102" s="9" t="n">
        <x:v>1.092105792991781</x:v>
      </x:c>
      <x:c r="J102" s="9" t="n">
        <x:v>0.849865562886828</x:v>
      </x:c>
      <x:c r="K102" s="9" t="n">
        <x:v>1.09210579286895</x:v>
      </x:c>
      <x:c r="L102" s="9" t="n">
        <x:v>0.849865562764203</x:v>
      </x:c>
      <x:c r="M102" s="9" t="n">
        <x:v>-1.079636e-9</x:v>
      </x:c>
      <x:c r="N102" s="9" t="n">
        <x:v>-1.21747e-10</x:v>
      </x:c>
      <x:c r="O102" s="9" t="n">
        <x:v>0.482715338468552</x:v>
      </x:c>
      <x:c r="P102" s="9" t="n">
        <x:v>5.71237e-10</x:v>
      </x:c>
      <x:c r="Q102" s="9" t="n">
        <x:v>90</x:v>
      </x:c>
      <x:c r="R102" s="9" t="n">
        <x:v>0</x:v>
      </x:c>
      <x:c r="S102" s="17" t="b">
        <x:v>0</x:v>
      </x:c>
      <x:c r="T102" s="18"/>
      <x:c r="U102" s="18"/>
    </x:row>
    <x:row r="103" ht="22" customHeight="1">
      <x:c r="A103" s="4" t="str">
        <x:v>Aurora</x:v>
      </x:c>
      <x:c r="B103" s="4" t="str">
        <x:v>Climate</x:v>
      </x:c>
      <x:c r="C103" s="4" t="n">
        <x:v>10</x:v>
      </x:c>
      <x:c r="D103" s="4" t="n">
        <x:v>2027</x:v>
      </x:c>
      <x:c r="E103" s="4" t="str">
        <x:v>no_variance_shrink</x:v>
      </x:c>
      <x:c r="F103" s="9" t="n">
        <x:v>1</x:v>
      </x:c>
      <x:c r="G103" s="9" t="n">
        <x:v>1.160987237939077</x:v>
      </x:c>
      <x:c r="H103" s="9" t="n">
        <x:v>0.876268171430056</x:v>
      </x:c>
      <x:c r="I103" s="9" t="n">
        <x:v>1.160987237980061</x:v>
      </x:c>
      <x:c r="J103" s="9" t="n">
        <x:v>0.876268171460405</x:v>
      </x:c>
      <x:c r="K103" s="9" t="n">
        <x:v>1.160987237980061</x:v>
      </x:c>
      <x:c r="L103" s="9" t="n">
        <x:v>0.876268171460405</x:v>
      </x:c>
      <x:c r="M103" s="9" t="n">
        <x:v>3.53011e-9</x:v>
      </x:c>
      <x:c r="N103" s="9" t="n">
        <x:v>3.46343e-9</x:v>
      </x:c>
      <x:c r="O103" s="9" t="n">
        <x:v>0.482715338468552</x:v>
      </x:c>
      <x:c r="P103" s="9" t="n">
        <x:v>6.37599e-10</x:v>
      </x:c>
      <x:c r="Q103" s="9" t="n">
        <x:v>90</x:v>
      </x:c>
      <x:c r="R103" s="9" t="n">
        <x:v>0</x:v>
      </x:c>
      <x:c r="S103" s="17" t="b">
        <x:v>0</x:v>
      </x:c>
      <x:c r="T103" s="18"/>
      <x:c r="U103" s="18"/>
    </x:row>
    <x:row r="104" ht="22" customHeight="1">
      <x:c r="A104" s="4" t="str">
        <x:v>TaTS</x:v>
      </x:c>
      <x:c r="B104" s="4" t="str">
        <x:v>Climate</x:v>
      </x:c>
      <x:c r="C104" s="4" t="n">
        <x:v>10</x:v>
      </x:c>
      <x:c r="D104" s="4" t="n">
        <x:v>2028</x:v>
      </x:c>
      <x:c r="E104" s="4" t="str">
        <x:v>no_variance_shrink</x:v>
      </x:c>
      <x:c r="F104" s="9" t="n">
        <x:v>1</x:v>
      </x:c>
      <x:c r="G104" s="9" t="n">
        <x:v>1.161944658964559</x:v>
      </x:c>
      <x:c r="H104" s="9" t="n">
        <x:v>0.860819576697217</x:v>
      </x:c>
      <x:c r="I104" s="9" t="n">
        <x:v>1.161944659133274</x:v>
      </x:c>
      <x:c r="J104" s="9" t="n">
        <x:v>0.860819576716426</x:v>
      </x:c>
      <x:c r="K104" s="9" t="n">
        <x:v>1.161944659133274</x:v>
      </x:c>
      <x:c r="L104" s="9" t="n">
        <x:v>0.860819576716426</x:v>
      </x:c>
      <x:c r="M104" s="9" t="n">
        <x:v>1.452003e-8</x:v>
      </x:c>
      <x:c r="N104" s="9" t="n">
        <x:v>2.231415e-9</x:v>
      </x:c>
      <x:c r="O104" s="9" t="n">
        <x:v>0.518366575241089</x:v>
      </x:c>
      <x:c r="P104" s="9" t="n">
        <x:v>7.21632e-10</x:v>
      </x:c>
      <x:c r="Q104" s="9" t="n">
        <x:v>90</x:v>
      </x:c>
      <x:c r="R104" s="9" t="n">
        <x:v>0</x:v>
      </x:c>
      <x:c r="S104" s="17" t="b">
        <x:v>0</x:v>
      </x:c>
      <x:c r="T104" s="18"/>
      <x:c r="U104" s="18"/>
    </x:row>
    <x:row r="105" ht="22" customHeight="1">
      <x:c r="A105" s="4" t="str">
        <x:v>MM-TSFlib</x:v>
      </x:c>
      <x:c r="B105" s="4" t="str">
        <x:v>Climate</x:v>
      </x:c>
      <x:c r="C105" s="4" t="n">
        <x:v>10</x:v>
      </x:c>
      <x:c r="D105" s="4" t="n">
        <x:v>2028</x:v>
      </x:c>
      <x:c r="E105" s="4" t="str">
        <x:v>no_variance_shrink</x:v>
      </x:c>
      <x:c r="F105" s="9" t="n">
        <x:v>0.25</x:v>
      </x:c>
      <x:c r="G105" s="9" t="n">
        <x:v>1.240591447723062</x:v>
      </x:c>
      <x:c r="H105" s="9" t="n">
        <x:v>0.897915285691722</x:v>
      </x:c>
      <x:c r="I105" s="9" t="n">
        <x:v>1.240591447754212</x:v>
      </x:c>
      <x:c r="J105" s="9" t="n">
        <x:v>0.897915285690946</x:v>
      </x:c>
      <x:c r="K105" s="9" t="n">
        <x:v>1.240591447769157</x:v>
      </x:c>
      <x:c r="L105" s="9" t="n">
        <x:v>0.897915285617993</x:v>
      </x:c>
      <x:c r="M105" s="9" t="n">
        <x:v>2.510903e-9</x:v>
      </x:c>
      <x:c r="N105" s="9" t="n">
        <x:v>-8.6442e-11</x:v>
      </x:c>
      <x:c r="O105" s="9" t="n">
        <x:v>0.518366575241089</x:v>
      </x:c>
      <x:c r="P105" s="9" t="n">
        <x:v>6.69491e-10</x:v>
      </x:c>
      <x:c r="Q105" s="9" t="n">
        <x:v>90</x:v>
      </x:c>
      <x:c r="R105" s="9" t="n">
        <x:v>0</x:v>
      </x:c>
      <x:c r="S105" s="17" t="b">
        <x:v>0</x:v>
      </x:c>
      <x:c r="T105" s="18"/>
      <x:c r="U105" s="18"/>
    </x:row>
    <x:row r="106" ht="22" customHeight="1">
      <x:c r="A106" s="4" t="str">
        <x:v>SpecTF</x:v>
      </x:c>
      <x:c r="B106" s="4" t="str">
        <x:v>Climate</x:v>
      </x:c>
      <x:c r="C106" s="4" t="n">
        <x:v>10</x:v>
      </x:c>
      <x:c r="D106" s="4" t="n">
        <x:v>2028</x:v>
      </x:c>
      <x:c r="E106" s="4" t="str">
        <x:v>no_variance_shrink</x:v>
      </x:c>
      <x:c r="F106" s="9" t="n">
        <x:v>0.75</x:v>
      </x:c>
      <x:c r="G106" s="9" t="n">
        <x:v>1.122673223891788</x:v>
      </x:c>
      <x:c r="H106" s="9" t="n">
        <x:v>0.851501527198933</x:v>
      </x:c>
      <x:c r="I106" s="9" t="n">
        <x:v>1.122673223906378</x:v>
      </x:c>
      <x:c r="J106" s="9" t="n">
        <x:v>0.851501527251611</x:v>
      </x:c>
      <x:c r="K106" s="9" t="n">
        <x:v>1.122673223894881</x:v>
      </x:c>
      <x:c r="L106" s="9" t="n">
        <x:v>0.851501527241586</x:v>
      </x:c>
      <x:c r="M106" s="9" t="n">
        <x:v>1.299649e-9</x:v>
      </x:c>
      <x:c r="N106" s="9" t="n">
        <x:v>6.186474e-9</x:v>
      </x:c>
      <x:c r="O106" s="9" t="n">
        <x:v>0.518366575241089</x:v>
      </x:c>
      <x:c r="P106" s="9" t="n">
        <x:v>9.09944e-10</x:v>
      </x:c>
      <x:c r="Q106" s="9" t="n">
        <x:v>90</x:v>
      </x:c>
      <x:c r="R106" s="9" t="n">
        <x:v>0</x:v>
      </x:c>
      <x:c r="S106" s="17" t="b">
        <x:v>0</x:v>
      </x:c>
      <x:c r="T106" s="18"/>
      <x:c r="U106" s="18"/>
    </x:row>
    <x:row r="107" ht="22" customHeight="1">
      <x:c r="A107" s="4" t="str">
        <x:v>CFA</x:v>
      </x:c>
      <x:c r="B107" s="4" t="str">
        <x:v>Climate</x:v>
      </x:c>
      <x:c r="C107" s="4" t="n">
        <x:v>10</x:v>
      </x:c>
      <x:c r="D107" s="4" t="n">
        <x:v>2028</x:v>
      </x:c>
      <x:c r="E107" s="4" t="str">
        <x:v>no_variance_shrink</x:v>
      </x:c>
      <x:c r="F107" s="9" t="n">
        <x:v>0.25</x:v>
      </x:c>
      <x:c r="G107" s="9" t="n">
        <x:v>1.092105793003572</x:v>
      </x:c>
      <x:c r="H107" s="9" t="n">
        <x:v>0.849865562887862</x:v>
      </x:c>
      <x:c r="I107" s="9" t="n">
        <x:v>1.092105792991781</x:v>
      </x:c>
      <x:c r="J107" s="9" t="n">
        <x:v>0.849865562886828</x:v>
      </x:c>
      <x:c r="K107" s="9" t="n">
        <x:v>1.09210579286895</x:v>
      </x:c>
      <x:c r="L107" s="9" t="n">
        <x:v>0.849865562764203</x:v>
      </x:c>
      <x:c r="M107" s="9" t="n">
        <x:v>-1.079636e-9</x:v>
      </x:c>
      <x:c r="N107" s="9" t="n">
        <x:v>-1.21747e-10</x:v>
      </x:c>
      <x:c r="O107" s="9" t="n">
        <x:v>0.518366575241089</x:v>
      </x:c>
      <x:c r="P107" s="9" t="n">
        <x:v>5.71237e-10</x:v>
      </x:c>
      <x:c r="Q107" s="9" t="n">
        <x:v>90</x:v>
      </x:c>
      <x:c r="R107" s="9" t="n">
        <x:v>0</x:v>
      </x:c>
      <x:c r="S107" s="17" t="b">
        <x:v>0</x:v>
      </x:c>
      <x:c r="T107" s="18"/>
      <x:c r="U107" s="18"/>
    </x:row>
    <x:row r="108" ht="22" customHeight="1">
      <x:c r="A108" s="4" t="str">
        <x:v>Aurora</x:v>
      </x:c>
      <x:c r="B108" s="4" t="str">
        <x:v>Climate</x:v>
      </x:c>
      <x:c r="C108" s="4" t="n">
        <x:v>10</x:v>
      </x:c>
      <x:c r="D108" s="4" t="n">
        <x:v>2028</x:v>
      </x:c>
      <x:c r="E108" s="4" t="str">
        <x:v>no_variance_shrink</x:v>
      </x:c>
      <x:c r="F108" s="9" t="n">
        <x:v>1</x:v>
      </x:c>
      <x:c r="G108" s="9" t="n">
        <x:v>1.160987237939077</x:v>
      </x:c>
      <x:c r="H108" s="9" t="n">
        <x:v>0.876268171430056</x:v>
      </x:c>
      <x:c r="I108" s="9" t="n">
        <x:v>1.160987237980061</x:v>
      </x:c>
      <x:c r="J108" s="9" t="n">
        <x:v>0.876268171460405</x:v>
      </x:c>
      <x:c r="K108" s="9" t="n">
        <x:v>1.160987237980061</x:v>
      </x:c>
      <x:c r="L108" s="9" t="n">
        <x:v>0.876268171460405</x:v>
      </x:c>
      <x:c r="M108" s="9" t="n">
        <x:v>3.53011e-9</x:v>
      </x:c>
      <x:c r="N108" s="9" t="n">
        <x:v>3.46343e-9</x:v>
      </x:c>
      <x:c r="O108" s="9" t="n">
        <x:v>0.518366575241089</x:v>
      </x:c>
      <x:c r="P108" s="9" t="n">
        <x:v>6.37599e-10</x:v>
      </x:c>
      <x:c r="Q108" s="9" t="n">
        <x:v>90</x:v>
      </x:c>
      <x:c r="R108" s="9" t="n">
        <x:v>0</x:v>
      </x:c>
      <x:c r="S108" s="17" t="b">
        <x:v>0</x:v>
      </x:c>
      <x:c r="T108" s="18"/>
      <x:c r="U108" s="18"/>
    </x:row>
    <x:row r="109" ht="22" customHeight="1">
      <x:c r="A109" s="4" t="str">
        <x:v>TaTS</x:v>
      </x:c>
      <x:c r="B109" s="4" t="str">
        <x:v>Climate</x:v>
      </x:c>
      <x:c r="C109" s="4" t="n">
        <x:v>12</x:v>
      </x:c>
      <x:c r="D109" s="4" t="n">
        <x:v>2026</x:v>
      </x:c>
      <x:c r="E109" s="4" t="str">
        <x:v>no_variance_shrink</x:v>
      </x:c>
      <x:c r="F109" s="9" t="n">
        <x:v>0</x:v>
      </x:c>
      <x:c r="G109" s="9" t="n">
        <x:v>1.140930466018564</x:v>
      </x:c>
      <x:c r="H109" s="9" t="n">
        <x:v>0.855393638605054</x:v>
      </x:c>
      <x:c r="I109" s="9" t="n">
        <x:v>1.140930466018564</x:v>
      </x:c>
      <x:c r="J109" s="9" t="n">
        <x:v>0.855393638605054</x:v>
      </x:c>
      <x:c r="K109" s="9" t="n">
        <x:v>1.140930465972848</x:v>
      </x:c>
      <x:c r="L109" s="9" t="n">
        <x:v>0.855393638554188</x:v>
      </x:c>
      <x:c r="M109" s="9" t="n">
        <x:v>0</x:v>
      </x:c>
      <x:c r="N109" s="9" t="n">
        <x:v>0</x:v>
      </x:c>
      <x:c r="O109" s="9" t="n">
        <x:v>0.530153036117554</x:v>
      </x:c>
      <x:c r="P109" s="9" t="n">
        <x:v>5.47042e-10</x:v>
      </x:c>
      <x:c r="Q109" s="9" t="n">
        <x:v>88</x:v>
      </x:c>
      <x:c r="R109" s="9" t="n">
        <x:v>0</x:v>
      </x:c>
      <x:c r="S109" s="17" t="b">
        <x:v>0</x:v>
      </x:c>
      <x:c r="T109" s="18"/>
      <x:c r="U109" s="18"/>
    </x:row>
    <x:row r="110" ht="22" customHeight="1">
      <x:c r="A110" s="4" t="str">
        <x:v>MM-TSFlib</x:v>
      </x:c>
      <x:c r="B110" s="4" t="str">
        <x:v>Climate</x:v>
      </x:c>
      <x:c r="C110" s="4" t="n">
        <x:v>12</x:v>
      </x:c>
      <x:c r="D110" s="4" t="n">
        <x:v>2026</x:v>
      </x:c>
      <x:c r="E110" s="4" t="str">
        <x:v>no_variance_shrink</x:v>
      </x:c>
      <x:c r="F110" s="9" t="n">
        <x:v>0</x:v>
      </x:c>
      <x:c r="G110" s="9" t="n">
        <x:v>1.216266717246754</x:v>
      </x:c>
      <x:c r="H110" s="9" t="n">
        <x:v>0.885144782672962</x:v>
      </x:c>
      <x:c r="I110" s="9" t="n">
        <x:v>1.216266717246754</x:v>
      </x:c>
      <x:c r="J110" s="9" t="n">
        <x:v>0.885144782672962</x:v>
      </x:c>
      <x:c r="K110" s="9" t="n">
        <x:v>1.21626671693274</x:v>
      </x:c>
      <x:c r="L110" s="9" t="n">
        <x:v>0.885144782551834</x:v>
      </x:c>
      <x:c r="M110" s="9" t="n">
        <x:v>0</x:v>
      </x:c>
      <x:c r="N110" s="9" t="n">
        <x:v>0</x:v>
      </x:c>
      <x:c r="O110" s="9" t="n">
        <x:v>0.530153036117554</x:v>
      </x:c>
      <x:c r="P110" s="9" t="n">
        <x:v>4.67448e-10</x:v>
      </x:c>
      <x:c r="Q110" s="9" t="n">
        <x:v>88</x:v>
      </x:c>
      <x:c r="R110" s="9" t="n">
        <x:v>0</x:v>
      </x:c>
      <x:c r="S110" s="17" t="b">
        <x:v>0</x:v>
      </x:c>
      <x:c r="T110" s="18"/>
      <x:c r="U110" s="18"/>
    </x:row>
    <x:row r="111" ht="22" customHeight="1">
      <x:c r="A111" s="4" t="str">
        <x:v>SpecTF</x:v>
      </x:c>
      <x:c r="B111" s="4" t="str">
        <x:v>Climate</x:v>
      </x:c>
      <x:c r="C111" s="4" t="n">
        <x:v>12</x:v>
      </x:c>
      <x:c r="D111" s="4" t="n">
        <x:v>2026</x:v>
      </x:c>
      <x:c r="E111" s="4" t="str">
        <x:v>no_variance_shrink</x:v>
      </x:c>
      <x:c r="F111" s="9" t="n">
        <x:v>0.25</x:v>
      </x:c>
      <x:c r="G111" s="9" t="n">
        <x:v>1.126308159398555</x:v>
      </x:c>
      <x:c r="H111" s="9" t="n">
        <x:v>0.868520213850195</x:v>
      </x:c>
      <x:c r="I111" s="9" t="n">
        <x:v>1.126308159397878</x:v>
      </x:c>
      <x:c r="J111" s="9" t="n">
        <x:v>0.868520213854054</x:v>
      </x:c>
      <x:c r="K111" s="9" t="n">
        <x:v>1.126308159614025</x:v>
      </x:c>
      <x:c r="L111" s="9" t="n">
        <x:v>0.868520213982596</x:v>
      </x:c>
      <x:c r="M111" s="9" t="n">
        <x:v>-6.013e-11</x:v>
      </x:c>
      <x:c r="N111" s="9" t="n">
        <x:v>4.44267e-10</x:v>
      </x:c>
      <x:c r="O111" s="9" t="n">
        <x:v>0.530153036117554</x:v>
      </x:c>
      <x:c r="P111" s="9" t="n">
        <x:v>5.98281e-10</x:v>
      </x:c>
      <x:c r="Q111" s="9" t="n">
        <x:v>88</x:v>
      </x:c>
      <x:c r="R111" s="9" t="n">
        <x:v>0</x:v>
      </x:c>
      <x:c r="S111" s="17" t="b">
        <x:v>0</x:v>
      </x:c>
      <x:c r="T111" s="18"/>
      <x:c r="U111" s="18"/>
    </x:row>
    <x:row r="112" ht="22" customHeight="1">
      <x:c r="A112" s="4" t="str">
        <x:v>CFA</x:v>
      </x:c>
      <x:c r="B112" s="4" t="str">
        <x:v>Climate</x:v>
      </x:c>
      <x:c r="C112" s="4" t="n">
        <x:v>12</x:v>
      </x:c>
      <x:c r="D112" s="4" t="n">
        <x:v>2026</x:v>
      </x:c>
      <x:c r="E112" s="4" t="str">
        <x:v>no_variance_shrink</x:v>
      </x:c>
      <x:c r="F112" s="9" t="n">
        <x:v>0.25</x:v>
      </x:c>
      <x:c r="G112" s="9" t="n">
        <x:v>1.116828027737457</x:v>
      </x:c>
      <x:c r="H112" s="9" t="n">
        <x:v>0.853213429208457</x:v>
      </x:c>
      <x:c r="I112" s="9" t="n">
        <x:v>1.116828027738776</x:v>
      </x:c>
      <x:c r="J112" s="9" t="n">
        <x:v>0.853213429212866</x:v>
      </x:c>
      <x:c r="K112" s="9" t="n">
        <x:v>1.116828027635248</x:v>
      </x:c>
      <x:c r="L112" s="9" t="n">
        <x:v>0.853213429217056</x:v>
      </x:c>
      <x:c r="M112" s="9" t="n">
        <x:v>1.18128e-10</x:v>
      </x:c>
      <x:c r="N112" s="9" t="n">
        <x:v>5.16831e-10</x:v>
      </x:c>
      <x:c r="O112" s="9" t="n">
        <x:v>0.530153036117554</x:v>
      </x:c>
      <x:c r="P112" s="9" t="n">
        <x:v>5.52451e-10</x:v>
      </x:c>
      <x:c r="Q112" s="9" t="n">
        <x:v>88</x:v>
      </x:c>
      <x:c r="R112" s="9" t="n">
        <x:v>0</x:v>
      </x:c>
      <x:c r="S112" s="17" t="b">
        <x:v>0</x:v>
      </x:c>
      <x:c r="T112" s="18"/>
      <x:c r="U112" s="18"/>
    </x:row>
    <x:row r="113" ht="22" customHeight="1">
      <x:c r="A113" s="4" t="str">
        <x:v>Aurora</x:v>
      </x:c>
      <x:c r="B113" s="4" t="str">
        <x:v>Climate</x:v>
      </x:c>
      <x:c r="C113" s="4" t="n">
        <x:v>12</x:v>
      </x:c>
      <x:c r="D113" s="4" t="n">
        <x:v>2026</x:v>
      </x:c>
      <x:c r="E113" s="4" t="str">
        <x:v>no_variance_shrink</x:v>
      </x:c>
      <x:c r="F113" s="9" t="n">
        <x:v>0</x:v>
      </x:c>
      <x:c r="G113" s="9" t="n">
        <x:v>1.170637185520032</x:v>
      </x:c>
      <x:c r="H113" s="9" t="n">
        <x:v>0.883802741623991</x:v>
      </x:c>
      <x:c r="I113" s="9" t="n">
        <x:v>1.170637185520032</x:v>
      </x:c>
      <x:c r="J113" s="9" t="n">
        <x:v>0.883802741623991</x:v>
      </x:c>
      <x:c r="K113" s="9" t="n">
        <x:v>1.170637185544917</x:v>
      </x:c>
      <x:c r="L113" s="9" t="n">
        <x:v>0.883802741631054</x:v>
      </x:c>
      <x:c r="M113" s="9" t="n">
        <x:v>0</x:v>
      </x:c>
      <x:c r="N113" s="9" t="n">
        <x:v>0</x:v>
      </x:c>
      <x:c r="O113" s="9" t="n">
        <x:v>0.530153036117554</x:v>
      </x:c>
      <x:c r="P113" s="9" t="n">
        <x:v>4.69208e-10</x:v>
      </x:c>
      <x:c r="Q113" s="9" t="n">
        <x:v>88</x:v>
      </x:c>
      <x:c r="R113" s="9" t="n">
        <x:v>0</x:v>
      </x:c>
      <x:c r="S113" s="17" t="b">
        <x:v>0</x:v>
      </x:c>
      <x:c r="T113" s="18"/>
      <x:c r="U113" s="18"/>
    </x:row>
    <x:row r="114" ht="22" customHeight="1">
      <x:c r="A114" s="4" t="str">
        <x:v>TaTS</x:v>
      </x:c>
      <x:c r="B114" s="4" t="str">
        <x:v>Climate</x:v>
      </x:c>
      <x:c r="C114" s="4" t="n">
        <x:v>12</x:v>
      </x:c>
      <x:c r="D114" s="4" t="n">
        <x:v>2027</x:v>
      </x:c>
      <x:c r="E114" s="4" t="str">
        <x:v>no_variance_shrink</x:v>
      </x:c>
      <x:c r="F114" s="9" t="n">
        <x:v>0</x:v>
      </x:c>
      <x:c r="G114" s="9" t="n">
        <x:v>1.140930466018564</x:v>
      </x:c>
      <x:c r="H114" s="9" t="n">
        <x:v>0.855393638605054</x:v>
      </x:c>
      <x:c r="I114" s="9" t="n">
        <x:v>1.140930466018564</x:v>
      </x:c>
      <x:c r="J114" s="9" t="n">
        <x:v>0.855393638605054</x:v>
      </x:c>
      <x:c r="K114" s="9" t="n">
        <x:v>1.140930465972848</x:v>
      </x:c>
      <x:c r="L114" s="9" t="n">
        <x:v>0.855393638554188</x:v>
      </x:c>
      <x:c r="M114" s="9" t="n">
        <x:v>0</x:v>
      </x:c>
      <x:c r="N114" s="9" t="n">
        <x:v>0</x:v>
      </x:c>
      <x:c r="O114" s="9" t="n">
        <x:v>0.48271906375885</x:v>
      </x:c>
      <x:c r="P114" s="9" t="n">
        <x:v>5.47042e-10</x:v>
      </x:c>
      <x:c r="Q114" s="9" t="n">
        <x:v>88</x:v>
      </x:c>
      <x:c r="R114" s="9" t="n">
        <x:v>0</x:v>
      </x:c>
      <x:c r="S114" s="17" t="b">
        <x:v>0</x:v>
      </x:c>
      <x:c r="T114" s="18"/>
      <x:c r="U114" s="18"/>
    </x:row>
    <x:row r="115" ht="22" customHeight="1">
      <x:c r="A115" s="4" t="str">
        <x:v>MM-TSFlib</x:v>
      </x:c>
      <x:c r="B115" s="4" t="str">
        <x:v>Climate</x:v>
      </x:c>
      <x:c r="C115" s="4" t="n">
        <x:v>12</x:v>
      </x:c>
      <x:c r="D115" s="4" t="n">
        <x:v>2027</x:v>
      </x:c>
      <x:c r="E115" s="4" t="str">
        <x:v>no_variance_shrink</x:v>
      </x:c>
      <x:c r="F115" s="9" t="n">
        <x:v>0</x:v>
      </x:c>
      <x:c r="G115" s="9" t="n">
        <x:v>1.216266717246754</x:v>
      </x:c>
      <x:c r="H115" s="9" t="n">
        <x:v>0.885144782672962</x:v>
      </x:c>
      <x:c r="I115" s="9" t="n">
        <x:v>1.216266717246754</x:v>
      </x:c>
      <x:c r="J115" s="9" t="n">
        <x:v>0.885144782672962</x:v>
      </x:c>
      <x:c r="K115" s="9" t="n">
        <x:v>1.21626671693274</x:v>
      </x:c>
      <x:c r="L115" s="9" t="n">
        <x:v>0.885144782551834</x:v>
      </x:c>
      <x:c r="M115" s="9" t="n">
        <x:v>0</x:v>
      </x:c>
      <x:c r="N115" s="9" t="n">
        <x:v>0</x:v>
      </x:c>
      <x:c r="O115" s="9" t="n">
        <x:v>0.48271906375885</x:v>
      </x:c>
      <x:c r="P115" s="9" t="n">
        <x:v>4.67448e-10</x:v>
      </x:c>
      <x:c r="Q115" s="9" t="n">
        <x:v>88</x:v>
      </x:c>
      <x:c r="R115" s="9" t="n">
        <x:v>0</x:v>
      </x:c>
      <x:c r="S115" s="17" t="b">
        <x:v>0</x:v>
      </x:c>
      <x:c r="T115" s="18"/>
      <x:c r="U115" s="18"/>
    </x:row>
    <x:row r="116" ht="22" customHeight="1">
      <x:c r="A116" s="4" t="str">
        <x:v>SpecTF</x:v>
      </x:c>
      <x:c r="B116" s="4" t="str">
        <x:v>Climate</x:v>
      </x:c>
      <x:c r="C116" s="4" t="n">
        <x:v>12</x:v>
      </x:c>
      <x:c r="D116" s="4" t="n">
        <x:v>2027</x:v>
      </x:c>
      <x:c r="E116" s="4" t="str">
        <x:v>no_variance_shrink</x:v>
      </x:c>
      <x:c r="F116" s="9" t="n">
        <x:v>0.25</x:v>
      </x:c>
      <x:c r="G116" s="9" t="n">
        <x:v>1.126308159398555</x:v>
      </x:c>
      <x:c r="H116" s="9" t="n">
        <x:v>0.868520213850195</x:v>
      </x:c>
      <x:c r="I116" s="9" t="n">
        <x:v>1.126308159397878</x:v>
      </x:c>
      <x:c r="J116" s="9" t="n">
        <x:v>0.868520213854054</x:v>
      </x:c>
      <x:c r="K116" s="9" t="n">
        <x:v>1.126308159614025</x:v>
      </x:c>
      <x:c r="L116" s="9" t="n">
        <x:v>0.868520213982596</x:v>
      </x:c>
      <x:c r="M116" s="9" t="n">
        <x:v>-6.013e-11</x:v>
      </x:c>
      <x:c r="N116" s="9" t="n">
        <x:v>4.44267e-10</x:v>
      </x:c>
      <x:c r="O116" s="9" t="n">
        <x:v>0.48271906375885</x:v>
      </x:c>
      <x:c r="P116" s="9" t="n">
        <x:v>5.98281e-10</x:v>
      </x:c>
      <x:c r="Q116" s="9" t="n">
        <x:v>88</x:v>
      </x:c>
      <x:c r="R116" s="9" t="n">
        <x:v>0</x:v>
      </x:c>
      <x:c r="S116" s="17" t="b">
        <x:v>0</x:v>
      </x:c>
      <x:c r="T116" s="18"/>
      <x:c r="U116" s="18"/>
    </x:row>
    <x:row r="117" ht="22" customHeight="1">
      <x:c r="A117" s="4" t="str">
        <x:v>CFA</x:v>
      </x:c>
      <x:c r="B117" s="4" t="str">
        <x:v>Climate</x:v>
      </x:c>
      <x:c r="C117" s="4" t="n">
        <x:v>12</x:v>
      </x:c>
      <x:c r="D117" s="4" t="n">
        <x:v>2027</x:v>
      </x:c>
      <x:c r="E117" s="4" t="str">
        <x:v>no_variance_shrink</x:v>
      </x:c>
      <x:c r="F117" s="9" t="n">
        <x:v>0.25</x:v>
      </x:c>
      <x:c r="G117" s="9" t="n">
        <x:v>1.116828027737457</x:v>
      </x:c>
      <x:c r="H117" s="9" t="n">
        <x:v>0.853213429208457</x:v>
      </x:c>
      <x:c r="I117" s="9" t="n">
        <x:v>1.116828027738776</x:v>
      </x:c>
      <x:c r="J117" s="9" t="n">
        <x:v>0.853213429212866</x:v>
      </x:c>
      <x:c r="K117" s="9" t="n">
        <x:v>1.116828027635248</x:v>
      </x:c>
      <x:c r="L117" s="9" t="n">
        <x:v>0.853213429217056</x:v>
      </x:c>
      <x:c r="M117" s="9" t="n">
        <x:v>1.18128e-10</x:v>
      </x:c>
      <x:c r="N117" s="9" t="n">
        <x:v>5.16831e-10</x:v>
      </x:c>
      <x:c r="O117" s="9" t="n">
        <x:v>0.48271906375885</x:v>
      </x:c>
      <x:c r="P117" s="9" t="n">
        <x:v>5.52451e-10</x:v>
      </x:c>
      <x:c r="Q117" s="9" t="n">
        <x:v>88</x:v>
      </x:c>
      <x:c r="R117" s="9" t="n">
        <x:v>0</x:v>
      </x:c>
      <x:c r="S117" s="17" t="b">
        <x:v>0</x:v>
      </x:c>
      <x:c r="T117" s="18"/>
      <x:c r="U117" s="18"/>
    </x:row>
    <x:row r="118" ht="22" customHeight="1">
      <x:c r="A118" s="4" t="str">
        <x:v>Aurora</x:v>
      </x:c>
      <x:c r="B118" s="4" t="str">
        <x:v>Climate</x:v>
      </x:c>
      <x:c r="C118" s="4" t="n">
        <x:v>12</x:v>
      </x:c>
      <x:c r="D118" s="4" t="n">
        <x:v>2027</x:v>
      </x:c>
      <x:c r="E118" s="4" t="str">
        <x:v>no_variance_shrink</x:v>
      </x:c>
      <x:c r="F118" s="9" t="n">
        <x:v>0</x:v>
      </x:c>
      <x:c r="G118" s="9" t="n">
        <x:v>1.170637185520032</x:v>
      </x:c>
      <x:c r="H118" s="9" t="n">
        <x:v>0.883802741623991</x:v>
      </x:c>
      <x:c r="I118" s="9" t="n">
        <x:v>1.170637185520032</x:v>
      </x:c>
      <x:c r="J118" s="9" t="n">
        <x:v>0.883802741623991</x:v>
      </x:c>
      <x:c r="K118" s="9" t="n">
        <x:v>1.170637185544917</x:v>
      </x:c>
      <x:c r="L118" s="9" t="n">
        <x:v>0.883802741631054</x:v>
      </x:c>
      <x:c r="M118" s="9" t="n">
        <x:v>0</x:v>
      </x:c>
      <x:c r="N118" s="9" t="n">
        <x:v>0</x:v>
      </x:c>
      <x:c r="O118" s="9" t="n">
        <x:v>0.48271906375885</x:v>
      </x:c>
      <x:c r="P118" s="9" t="n">
        <x:v>4.69208e-10</x:v>
      </x:c>
      <x:c r="Q118" s="9" t="n">
        <x:v>88</x:v>
      </x:c>
      <x:c r="R118" s="9" t="n">
        <x:v>0</x:v>
      </x:c>
      <x:c r="S118" s="17" t="b">
        <x:v>0</x:v>
      </x:c>
      <x:c r="T118" s="18"/>
      <x:c r="U118" s="18"/>
    </x:row>
    <x:row r="119" ht="22" customHeight="1">
      <x:c r="A119" s="4" t="str">
        <x:v>TaTS</x:v>
      </x:c>
      <x:c r="B119" s="4" t="str">
        <x:v>Climate</x:v>
      </x:c>
      <x:c r="C119" s="4" t="n">
        <x:v>12</x:v>
      </x:c>
      <x:c r="D119" s="4" t="n">
        <x:v>2028</x:v>
      </x:c>
      <x:c r="E119" s="4" t="str">
        <x:v>no_variance_shrink</x:v>
      </x:c>
      <x:c r="F119" s="9" t="n">
        <x:v>0</x:v>
      </x:c>
      <x:c r="G119" s="9" t="n">
        <x:v>1.140930466018564</x:v>
      </x:c>
      <x:c r="H119" s="9" t="n">
        <x:v>0.855393638605054</x:v>
      </x:c>
      <x:c r="I119" s="9" t="n">
        <x:v>1.140930466018564</x:v>
      </x:c>
      <x:c r="J119" s="9" t="n">
        <x:v>0.855393638605054</x:v>
      </x:c>
      <x:c r="K119" s="9" t="n">
        <x:v>1.140930465972848</x:v>
      </x:c>
      <x:c r="L119" s="9" t="n">
        <x:v>0.855393638554188</x:v>
      </x:c>
      <x:c r="M119" s="9" t="n">
        <x:v>0</x:v>
      </x:c>
      <x:c r="N119" s="9" t="n">
        <x:v>0</x:v>
      </x:c>
      <x:c r="O119" s="9" t="n">
        <x:v>0.518330335617065</x:v>
      </x:c>
      <x:c r="P119" s="9" t="n">
        <x:v>5.47042e-10</x:v>
      </x:c>
      <x:c r="Q119" s="9" t="n">
        <x:v>88</x:v>
      </x:c>
      <x:c r="R119" s="9" t="n">
        <x:v>0</x:v>
      </x:c>
      <x:c r="S119" s="17" t="b">
        <x:v>0</x:v>
      </x:c>
      <x:c r="T119" s="18"/>
      <x:c r="U119" s="18"/>
    </x:row>
    <x:row r="120" ht="22" customHeight="1">
      <x:c r="A120" s="4" t="str">
        <x:v>MM-TSFlib</x:v>
      </x:c>
      <x:c r="B120" s="4" t="str">
        <x:v>Climate</x:v>
      </x:c>
      <x:c r="C120" s="4" t="n">
        <x:v>12</x:v>
      </x:c>
      <x:c r="D120" s="4" t="n">
        <x:v>2028</x:v>
      </x:c>
      <x:c r="E120" s="4" t="str">
        <x:v>no_variance_shrink</x:v>
      </x:c>
      <x:c r="F120" s="9" t="n">
        <x:v>0</x:v>
      </x:c>
      <x:c r="G120" s="9" t="n">
        <x:v>1.216266717246754</x:v>
      </x:c>
      <x:c r="H120" s="9" t="n">
        <x:v>0.885144782672962</x:v>
      </x:c>
      <x:c r="I120" s="9" t="n">
        <x:v>1.216266717246754</x:v>
      </x:c>
      <x:c r="J120" s="9" t="n">
        <x:v>0.885144782672962</x:v>
      </x:c>
      <x:c r="K120" s="9" t="n">
        <x:v>1.21626671693274</x:v>
      </x:c>
      <x:c r="L120" s="9" t="n">
        <x:v>0.885144782551834</x:v>
      </x:c>
      <x:c r="M120" s="9" t="n">
        <x:v>0</x:v>
      </x:c>
      <x:c r="N120" s="9" t="n">
        <x:v>0</x:v>
      </x:c>
      <x:c r="O120" s="9" t="n">
        <x:v>0.518330335617065</x:v>
      </x:c>
      <x:c r="P120" s="9" t="n">
        <x:v>4.67448e-10</x:v>
      </x:c>
      <x:c r="Q120" s="9" t="n">
        <x:v>88</x:v>
      </x:c>
      <x:c r="R120" s="9" t="n">
        <x:v>0</x:v>
      </x:c>
      <x:c r="S120" s="17" t="b">
        <x:v>0</x:v>
      </x:c>
      <x:c r="T120" s="18"/>
      <x:c r="U120" s="18"/>
    </x:row>
    <x:row r="121" ht="22" customHeight="1">
      <x:c r="A121" s="4" t="str">
        <x:v>SpecTF</x:v>
      </x:c>
      <x:c r="B121" s="4" t="str">
        <x:v>Climate</x:v>
      </x:c>
      <x:c r="C121" s="4" t="n">
        <x:v>12</x:v>
      </x:c>
      <x:c r="D121" s="4" t="n">
        <x:v>2028</x:v>
      </x:c>
      <x:c r="E121" s="4" t="str">
        <x:v>no_variance_shrink</x:v>
      </x:c>
      <x:c r="F121" s="9" t="n">
        <x:v>0.25</x:v>
      </x:c>
      <x:c r="G121" s="9" t="n">
        <x:v>1.126308159398555</x:v>
      </x:c>
      <x:c r="H121" s="9" t="n">
        <x:v>0.868520213850195</x:v>
      </x:c>
      <x:c r="I121" s="9" t="n">
        <x:v>1.126308159397878</x:v>
      </x:c>
      <x:c r="J121" s="9" t="n">
        <x:v>0.868520213854054</x:v>
      </x:c>
      <x:c r="K121" s="9" t="n">
        <x:v>1.126308159614025</x:v>
      </x:c>
      <x:c r="L121" s="9" t="n">
        <x:v>0.868520213982596</x:v>
      </x:c>
      <x:c r="M121" s="9" t="n">
        <x:v>-6.013e-11</x:v>
      </x:c>
      <x:c r="N121" s="9" t="n">
        <x:v>4.44267e-10</x:v>
      </x:c>
      <x:c r="O121" s="9" t="n">
        <x:v>0.518330335617065</x:v>
      </x:c>
      <x:c r="P121" s="9" t="n">
        <x:v>5.98281e-10</x:v>
      </x:c>
      <x:c r="Q121" s="9" t="n">
        <x:v>88</x:v>
      </x:c>
      <x:c r="R121" s="9" t="n">
        <x:v>0</x:v>
      </x:c>
      <x:c r="S121" s="17" t="b">
        <x:v>0</x:v>
      </x:c>
      <x:c r="T121" s="18"/>
      <x:c r="U121" s="18"/>
    </x:row>
    <x:row r="122" ht="22" customHeight="1">
      <x:c r="A122" s="4" t="str">
        <x:v>CFA</x:v>
      </x:c>
      <x:c r="B122" s="4" t="str">
        <x:v>Climate</x:v>
      </x:c>
      <x:c r="C122" s="4" t="n">
        <x:v>12</x:v>
      </x:c>
      <x:c r="D122" s="4" t="n">
        <x:v>2028</x:v>
      </x:c>
      <x:c r="E122" s="4" t="str">
        <x:v>no_variance_shrink</x:v>
      </x:c>
      <x:c r="F122" s="9" t="n">
        <x:v>0.25</x:v>
      </x:c>
      <x:c r="G122" s="9" t="n">
        <x:v>1.116828027737457</x:v>
      </x:c>
      <x:c r="H122" s="9" t="n">
        <x:v>0.853213429208457</x:v>
      </x:c>
      <x:c r="I122" s="9" t="n">
        <x:v>1.116828027738776</x:v>
      </x:c>
      <x:c r="J122" s="9" t="n">
        <x:v>0.853213429212866</x:v>
      </x:c>
      <x:c r="K122" s="9" t="n">
        <x:v>1.116828027635248</x:v>
      </x:c>
      <x:c r="L122" s="9" t="n">
        <x:v>0.853213429217056</x:v>
      </x:c>
      <x:c r="M122" s="9" t="n">
        <x:v>1.18128e-10</x:v>
      </x:c>
      <x:c r="N122" s="9" t="n">
        <x:v>5.16831e-10</x:v>
      </x:c>
      <x:c r="O122" s="9" t="n">
        <x:v>0.518330335617065</x:v>
      </x:c>
      <x:c r="P122" s="9" t="n">
        <x:v>5.52451e-10</x:v>
      </x:c>
      <x:c r="Q122" s="9" t="n">
        <x:v>88</x:v>
      </x:c>
      <x:c r="R122" s="9" t="n">
        <x:v>0</x:v>
      </x:c>
      <x:c r="S122" s="17" t="b">
        <x:v>0</x:v>
      </x:c>
      <x:c r="T122" s="18"/>
      <x:c r="U122" s="18"/>
    </x:row>
    <x:row r="123" ht="22" customHeight="1">
      <x:c r="A123" s="4" t="str">
        <x:v>Aurora</x:v>
      </x:c>
      <x:c r="B123" s="4" t="str">
        <x:v>Climate</x:v>
      </x:c>
      <x:c r="C123" s="4" t="n">
        <x:v>12</x:v>
      </x:c>
      <x:c r="D123" s="4" t="n">
        <x:v>2028</x:v>
      </x:c>
      <x:c r="E123" s="4" t="str">
        <x:v>no_variance_shrink</x:v>
      </x:c>
      <x:c r="F123" s="9" t="n">
        <x:v>0</x:v>
      </x:c>
      <x:c r="G123" s="9" t="n">
        <x:v>1.170637185520032</x:v>
      </x:c>
      <x:c r="H123" s="9" t="n">
        <x:v>0.883802741623991</x:v>
      </x:c>
      <x:c r="I123" s="9" t="n">
        <x:v>1.170637185520032</x:v>
      </x:c>
      <x:c r="J123" s="9" t="n">
        <x:v>0.883802741623991</x:v>
      </x:c>
      <x:c r="K123" s="9" t="n">
        <x:v>1.170637185544917</x:v>
      </x:c>
      <x:c r="L123" s="9" t="n">
        <x:v>0.883802741631054</x:v>
      </x:c>
      <x:c r="M123" s="9" t="n">
        <x:v>0</x:v>
      </x:c>
      <x:c r="N123" s="9" t="n">
        <x:v>0</x:v>
      </x:c>
      <x:c r="O123" s="9" t="n">
        <x:v>0.518330335617065</x:v>
      </x:c>
      <x:c r="P123" s="9" t="n">
        <x:v>4.69208e-10</x:v>
      </x:c>
      <x:c r="Q123" s="9" t="n">
        <x:v>88</x:v>
      </x:c>
      <x:c r="R123" s="9" t="n">
        <x:v>0</x:v>
      </x:c>
      <x:c r="S123" s="17" t="b">
        <x:v>0</x:v>
      </x:c>
      <x:c r="T123" s="18"/>
      <x:c r="U123" s="18"/>
    </x:row>
    <x:row r="124" ht="22" customHeight="1">
      <x:c r="A124" s="4" t="str">
        <x:v>TaTS</x:v>
      </x:c>
      <x:c r="B124" s="4" t="str">
        <x:v>Economy</x:v>
      </x:c>
      <x:c r="C124" s="4" t="n">
        <x:v>6</x:v>
      </x:c>
      <x:c r="D124" s="4" t="n">
        <x:v>2026</x:v>
      </x:c>
      <x:c r="E124" s="4" t="str">
        <x:v>no_variance_shrink</x:v>
      </x:c>
      <x:c r="F124" s="9" t="n">
        <x:v>0</x:v>
      </x:c>
      <x:c r="G124" s="9" t="n">
        <x:v>0.162710749813631</x:v>
      </x:c>
      <x:c r="H124" s="9" t="n">
        <x:v>0.321473991569084</x:v>
      </x:c>
      <x:c r="I124" s="9" t="n">
        <x:v>0.162710749813631</x:v>
      </x:c>
      <x:c r="J124" s="9" t="n">
        <x:v>0.321473991569084</x:v>
      </x:c>
      <x:c r="K124" s="9" t="n">
        <x:v>0.162761819005278</x:v>
      </x:c>
      <x:c r="L124" s="9" t="n">
        <x:v>0.321478615330241</x:v>
      </x:c>
      <x:c r="M124" s="9" t="n">
        <x:v>0</x:v>
      </x:c>
      <x:c r="N124" s="9" t="n">
        <x:v>0</x:v>
      </x:c>
      <x:c r="O124" s="9" t="n">
        <x:v>0.488203883171082</x:v>
      </x:c>
      <x:c r="P124" s="9" t="n">
        <x:v>0.004378460813314</x:v>
      </x:c>
      <x:c r="Q124" s="9" t="n">
        <x:v>79</x:v>
      </x:c>
      <x:c r="R124" s="9" t="n">
        <x:v>1</x:v>
      </x:c>
      <x:c r="S124" s="17" t="b">
        <x:v>0</x:v>
      </x:c>
      <x:c r="T124" s="18"/>
      <x:c r="U124" s="18"/>
    </x:row>
    <x:row r="125" ht="22" customHeight="1">
      <x:c r="A125" s="4" t="str">
        <x:v>MM-TSFlib</x:v>
      </x:c>
      <x:c r="B125" s="4" t="str">
        <x:v>Economy</x:v>
      </x:c>
      <x:c r="C125" s="4" t="n">
        <x:v>6</x:v>
      </x:c>
      <x:c r="D125" s="4" t="n">
        <x:v>2026</x:v>
      </x:c>
      <x:c r="E125" s="4" t="str">
        <x:v>no_variance_shrink</x:v>
      </x:c>
      <x:c r="F125" s="9" t="n">
        <x:v>1</x:v>
      </x:c>
      <x:c r="G125" s="9" t="n">
        <x:v>0.856517591452121</x:v>
      </x:c>
      <x:c r="H125" s="9" t="n">
        <x:v>0.775636082711602</x:v>
      </x:c>
      <x:c r="I125" s="9" t="n">
        <x:v>0.856609394762663</x:v>
      </x:c>
      <x:c r="J125" s="9" t="n">
        <x:v>0.775756884224807</x:v>
      </x:c>
      <x:c r="K125" s="9" t="n">
        <x:v>0.856609394762663</x:v>
      </x:c>
      <x:c r="L125" s="9" t="n">
        <x:v>0.775756884224807</x:v>
      </x:c>
      <x:c r="M125" s="9" t="n">
        <x:v>0.010718204909943</x:v>
      </x:c>
      <x:c r="N125" s="9" t="n">
        <x:v>0.015574509218652</x:v>
      </x:c>
      <x:c r="O125" s="9" t="n">
        <x:v>0.488203883171082</x:v>
      </x:c>
      <x:c r="P125" s="9" t="n">
        <x:v>0.004404127597809</x:v>
      </x:c>
      <x:c r="Q125" s="9" t="n">
        <x:v>79</x:v>
      </x:c>
      <x:c r="R125" s="9" t="n">
        <x:v>1</x:v>
      </x:c>
      <x:c r="S125" s="17" t="b">
        <x:v>1</x:v>
      </x:c>
      <x:c r="T125" s="18"/>
      <x:c r="U125" s="18"/>
    </x:row>
    <x:row r="126" ht="22" customHeight="1">
      <x:c r="A126" s="4" t="str">
        <x:v>SpecTF</x:v>
      </x:c>
      <x:c r="B126" s="4" t="str">
        <x:v>Economy</x:v>
      </x:c>
      <x:c r="C126" s="4" t="n">
        <x:v>6</x:v>
      </x:c>
      <x:c r="D126" s="4" t="n">
        <x:v>2026</x:v>
      </x:c>
      <x:c r="E126" s="4" t="str">
        <x:v>no_variance_shrink</x:v>
      </x:c>
      <x:c r="F126" s="9" t="n">
        <x:v>1</x:v>
      </x:c>
      <x:c r="G126" s="9" t="n">
        <x:v>0.153985580901613</x:v>
      </x:c>
      <x:c r="H126" s="9" t="n">
        <x:v>0.308695395410312</x:v>
      </x:c>
      <x:c r="I126" s="9" t="n">
        <x:v>0.153962422899176</x:v>
      </x:c>
      <x:c r="J126" s="9" t="n">
        <x:v>0.308711259425441</x:v>
      </x:c>
      <x:c r="K126" s="9" t="n">
        <x:v>0.153962422899176</x:v>
      </x:c>
      <x:c r="L126" s="9" t="n">
        <x:v>0.308711259425441</x:v>
      </x:c>
      <x:c r="M126" s="9" t="n">
        <x:v>-0.015039072036038</x:v>
      </x:c>
      <x:c r="N126" s="9" t="n">
        <x:v>0.005139051428826</x:v>
      </x:c>
      <x:c r="O126" s="9" t="n">
        <x:v>0.488203883171082</x:v>
      </x:c>
      <x:c r="P126" s="9" t="n">
        <x:v>0.004398585297167</x:v>
      </x:c>
      <x:c r="Q126" s="9" t="n">
        <x:v>79</x:v>
      </x:c>
      <x:c r="R126" s="9" t="n">
        <x:v>1</x:v>
      </x:c>
      <x:c r="S126" s="17" t="b">
        <x:v>1</x:v>
      </x:c>
      <x:c r="T126" s="18"/>
      <x:c r="U126" s="18"/>
    </x:row>
    <x:row r="127" ht="22" customHeight="1">
      <x:c r="A127" s="4" t="str">
        <x:v>CFA</x:v>
      </x:c>
      <x:c r="B127" s="4" t="str">
        <x:v>Economy</x:v>
      </x:c>
      <x:c r="C127" s="4" t="n">
        <x:v>6</x:v>
      </x:c>
      <x:c r="D127" s="4" t="n">
        <x:v>2026</x:v>
      </x:c>
      <x:c r="E127" s="4" t="str">
        <x:v>no_variance_shrink</x:v>
      </x:c>
      <x:c r="F127" s="9" t="n">
        <x:v>1</x:v>
      </x:c>
      <x:c r="G127" s="9" t="n">
        <x:v>0.171587455461261</x:v>
      </x:c>
      <x:c r="H127" s="9" t="n">
        <x:v>0.317980554787922</x:v>
      </x:c>
      <x:c r="I127" s="9" t="n">
        <x:v>0.171554775836756</x:v>
      </x:c>
      <x:c r="J127" s="9" t="n">
        <x:v>0.317961012889564</x:v>
      </x:c>
      <x:c r="K127" s="9" t="n">
        <x:v>0.171554775836756</x:v>
      </x:c>
      <x:c r="L127" s="9" t="n">
        <x:v>0.317961012889564</x:v>
      </x:c>
      <x:c r="M127" s="9" t="n">
        <x:v>-0.019045462512179</x:v>
      </x:c>
      <x:c r="N127" s="9" t="n">
        <x:v>-0.006145626851373</x:v>
      </x:c>
      <x:c r="O127" s="9" t="n">
        <x:v>0.488203883171082</x:v>
      </x:c>
      <x:c r="P127" s="9" t="n">
        <x:v>0.004418313503265</x:v>
      </x:c>
      <x:c r="Q127" s="9" t="n">
        <x:v>79</x:v>
      </x:c>
      <x:c r="R127" s="9" t="n">
        <x:v>1</x:v>
      </x:c>
      <x:c r="S127" s="17" t="b">
        <x:v>1</x:v>
      </x:c>
      <x:c r="T127" s="18"/>
      <x:c r="U127" s="18"/>
    </x:row>
    <x:row r="128" ht="22" customHeight="1">
      <x:c r="A128" s="4" t="str">
        <x:v>Aurora</x:v>
      </x:c>
      <x:c r="B128" s="4" t="str">
        <x:v>Economy</x:v>
      </x:c>
      <x:c r="C128" s="4" t="n">
        <x:v>6</x:v>
      </x:c>
      <x:c r="D128" s="4" t="n">
        <x:v>2026</x:v>
      </x:c>
      <x:c r="E128" s="4" t="str">
        <x:v>no_variance_shrink</x:v>
      </x:c>
      <x:c r="F128" s="9" t="n">
        <x:v>0</x:v>
      </x:c>
      <x:c r="G128" s="9" t="n">
        <x:v>0.276509449314873</x:v>
      </x:c>
      <x:c r="H128" s="9" t="n">
        <x:v>0.390272002934404</x:v>
      </x:c>
      <x:c r="I128" s="9" t="n">
        <x:v>0.276509449314873</x:v>
      </x:c>
      <x:c r="J128" s="9" t="n">
        <x:v>0.390272002934404</x:v>
      </x:c>
      <x:c r="K128" s="9" t="n">
        <x:v>0.276486667859076</x:v>
      </x:c>
      <x:c r="L128" s="9" t="n">
        <x:v>0.390345698670496</x:v>
      </x:c>
      <x:c r="M128" s="9" t="n">
        <x:v>0</x:v>
      </x:c>
      <x:c r="N128" s="9" t="n">
        <x:v>0</x:v>
      </x:c>
      <x:c r="O128" s="9" t="n">
        <x:v>0.488203883171082</x:v>
      </x:c>
      <x:c r="P128" s="9" t="n">
        <x:v>0.004425197374076</x:v>
      </x:c>
      <x:c r="Q128" s="9" t="n">
        <x:v>79</x:v>
      </x:c>
      <x:c r="R128" s="9" t="n">
        <x:v>1</x:v>
      </x:c>
      <x:c r="S128" s="17" t="b">
        <x:v>0</x:v>
      </x:c>
      <x:c r="T128" s="18"/>
      <x:c r="U128" s="18"/>
    </x:row>
    <x:row r="129" ht="22" customHeight="1">
      <x:c r="A129" s="4" t="str">
        <x:v>TaTS</x:v>
      </x:c>
      <x:c r="B129" s="4" t="str">
        <x:v>Economy</x:v>
      </x:c>
      <x:c r="C129" s="4" t="n">
        <x:v>6</x:v>
      </x:c>
      <x:c r="D129" s="4" t="n">
        <x:v>2027</x:v>
      </x:c>
      <x:c r="E129" s="4" t="str">
        <x:v>no_variance_shrink</x:v>
      </x:c>
      <x:c r="F129" s="9" t="n">
        <x:v>0</x:v>
      </x:c>
      <x:c r="G129" s="9" t="n">
        <x:v>0.162710749813631</x:v>
      </x:c>
      <x:c r="H129" s="9" t="n">
        <x:v>0.321473991569084</x:v>
      </x:c>
      <x:c r="I129" s="9" t="n">
        <x:v>0.162710749813631</x:v>
      </x:c>
      <x:c r="J129" s="9" t="n">
        <x:v>0.321473991569084</x:v>
      </x:c>
      <x:c r="K129" s="9" t="n">
        <x:v>0.164282151181738</x:v>
      </x:c>
      <x:c r="L129" s="9" t="n">
        <x:v>0.323216122665486</x:v>
      </x:c>
      <x:c r="M129" s="9" t="n">
        <x:v>0</x:v>
      </x:c>
      <x:c r="N129" s="9" t="n">
        <x:v>0</x:v>
      </x:c>
      <x:c r="O129" s="9" t="n">
        <x:v>0.481755614280701</x:v>
      </x:c>
      <x:c r="P129" s="9" t="n">
        <x:v>0.028468836098909</x:v>
      </x:c>
      <x:c r="Q129" s="9" t="n">
        <x:v>79</x:v>
      </x:c>
      <x:c r="R129" s="9" t="n">
        <x:v>6</x:v>
      </x:c>
      <x:c r="S129" s="17" t="b">
        <x:v>0</x:v>
      </x:c>
      <x:c r="T129" s="18"/>
      <x:c r="U129" s="18"/>
    </x:row>
    <x:row r="130" ht="22" customHeight="1">
      <x:c r="A130" s="4" t="str">
        <x:v>MM-TSFlib</x:v>
      </x:c>
      <x:c r="B130" s="4" t="str">
        <x:v>Economy</x:v>
      </x:c>
      <x:c r="C130" s="4" t="n">
        <x:v>6</x:v>
      </x:c>
      <x:c r="D130" s="4" t="n">
        <x:v>2027</x:v>
      </x:c>
      <x:c r="E130" s="4" t="str">
        <x:v>no_variance_shrink</x:v>
      </x:c>
      <x:c r="F130" s="9" t="n">
        <x:v>0</x:v>
      </x:c>
      <x:c r="G130" s="9" t="n">
        <x:v>0.856517591452121</x:v>
      </x:c>
      <x:c r="H130" s="9" t="n">
        <x:v>0.775636082711602</x:v>
      </x:c>
      <x:c r="I130" s="9" t="n">
        <x:v>0.856517591452121</x:v>
      </x:c>
      <x:c r="J130" s="9" t="n">
        <x:v>0.775636082711602</x:v>
      </x:c>
      <x:c r="K130" s="9" t="n">
        <x:v>0.861779172771843</x:v>
      </x:c>
      <x:c r="L130" s="9" t="n">
        <x:v>0.778835343660685</x:v>
      </x:c>
      <x:c r="M130" s="9" t="n">
        <x:v>0</x:v>
      </x:c>
      <x:c r="N130" s="9" t="n">
        <x:v>0</x:v>
      </x:c>
      <x:c r="O130" s="9" t="n">
        <x:v>0.481755614280701</x:v>
      </x:c>
      <x:c r="P130" s="9" t="n">
        <x:v>0.026680044829845</x:v>
      </x:c>
      <x:c r="Q130" s="9" t="n">
        <x:v>79</x:v>
      </x:c>
      <x:c r="R130" s="9" t="n">
        <x:v>6</x:v>
      </x:c>
      <x:c r="S130" s="17" t="b">
        <x:v>0</x:v>
      </x:c>
      <x:c r="T130" s="18"/>
      <x:c r="U130" s="18"/>
    </x:row>
    <x:row r="131" ht="22" customHeight="1">
      <x:c r="A131" s="4" t="str">
        <x:v>SpecTF</x:v>
      </x:c>
      <x:c r="B131" s="4" t="str">
        <x:v>Economy</x:v>
      </x:c>
      <x:c r="C131" s="4" t="n">
        <x:v>6</x:v>
      </x:c>
      <x:c r="D131" s="4" t="n">
        <x:v>2027</x:v>
      </x:c>
      <x:c r="E131" s="4" t="str">
        <x:v>no_variance_shrink</x:v>
      </x:c>
      <x:c r="F131" s="9" t="n">
        <x:v>1</x:v>
      </x:c>
      <x:c r="G131" s="9" t="n">
        <x:v>0.153985580901613</x:v>
      </x:c>
      <x:c r="H131" s="9" t="n">
        <x:v>0.308695395410312</x:v>
      </x:c>
      <x:c r="I131" s="9" t="n">
        <x:v>0.154470760716144</x:v>
      </x:c>
      <x:c r="J131" s="9" t="n">
        <x:v>0.309659922173255</x:v>
      </x:c>
      <x:c r="K131" s="9" t="n">
        <x:v>0.154470760716144</x:v>
      </x:c>
      <x:c r="L131" s="9" t="n">
        <x:v>0.309659922173255</x:v>
      </x:c>
      <x:c r="M131" s="9" t="n">
        <x:v>0.315081328842615</x:v>
      </x:c>
      <x:c r="N131" s="9" t="n">
        <x:v>0.312452591545842</x:v>
      </x:c>
      <x:c r="O131" s="9" t="n">
        <x:v>0.481755614280701</x:v>
      </x:c>
      <x:c r="P131" s="9" t="n">
        <x:v>0.028590889647603</x:v>
      </x:c>
      <x:c r="Q131" s="9" t="n">
        <x:v>79</x:v>
      </x:c>
      <x:c r="R131" s="9" t="n">
        <x:v>6</x:v>
      </x:c>
      <x:c r="S131" s="17" t="b">
        <x:v>1</x:v>
      </x:c>
      <x:c r="T131" s="18"/>
      <x:c r="U131" s="18"/>
    </x:row>
    <x:row r="132" ht="22" customHeight="1">
      <x:c r="A132" s="4" t="str">
        <x:v>CFA</x:v>
      </x:c>
      <x:c r="B132" s="4" t="str">
        <x:v>Economy</x:v>
      </x:c>
      <x:c r="C132" s="4" t="n">
        <x:v>6</x:v>
      </x:c>
      <x:c r="D132" s="4" t="n">
        <x:v>2027</x:v>
      </x:c>
      <x:c r="E132" s="4" t="str">
        <x:v>no_variance_shrink</x:v>
      </x:c>
      <x:c r="F132" s="9" t="n">
        <x:v>1</x:v>
      </x:c>
      <x:c r="G132" s="9" t="n">
        <x:v>0.171587455461261</x:v>
      </x:c>
      <x:c r="H132" s="9" t="n">
        <x:v>0.317980554787922</x:v>
      </x:c>
      <x:c r="I132" s="9" t="n">
        <x:v>0.172205150737107</x:v>
      </x:c>
      <x:c r="J132" s="9" t="n">
        <x:v>0.318721944772744</x:v>
      </x:c>
      <x:c r="K132" s="9" t="n">
        <x:v>0.172205150737107</x:v>
      </x:c>
      <x:c r="L132" s="9" t="n">
        <x:v>0.318721944772744</x:v>
      </x:c>
      <x:c r="M132" s="9" t="n">
        <x:v>0.359988598342031</x:v>
      </x:c>
      <x:c r="N132" s="9" t="n">
        <x:v>0.233155761778403</x:v>
      </x:c>
      <x:c r="O132" s="9" t="n">
        <x:v>0.481755614280701</x:v>
      </x:c>
      <x:c r="P132" s="9" t="n">
        <x:v>0.028414936736226</x:v>
      </x:c>
      <x:c r="Q132" s="9" t="n">
        <x:v>79</x:v>
      </x:c>
      <x:c r="R132" s="9" t="n">
        <x:v>6</x:v>
      </x:c>
      <x:c r="S132" s="17" t="b">
        <x:v>1</x:v>
      </x:c>
      <x:c r="T132" s="18"/>
      <x:c r="U132" s="18"/>
    </x:row>
    <x:row r="133" ht="22" customHeight="1">
      <x:c r="A133" s="4" t="str">
        <x:v>Aurora</x:v>
      </x:c>
      <x:c r="B133" s="4" t="str">
        <x:v>Economy</x:v>
      </x:c>
      <x:c r="C133" s="4" t="n">
        <x:v>6</x:v>
      </x:c>
      <x:c r="D133" s="4" t="n">
        <x:v>2027</x:v>
      </x:c>
      <x:c r="E133" s="4" t="str">
        <x:v>no_variance_shrink</x:v>
      </x:c>
      <x:c r="F133" s="9" t="n">
        <x:v>1</x:v>
      </x:c>
      <x:c r="G133" s="9" t="n">
        <x:v>0.276509449314873</x:v>
      </x:c>
      <x:c r="H133" s="9" t="n">
        <x:v>0.390272002934404</x:v>
      </x:c>
      <x:c r="I133" s="9" t="n">
        <x:v>0.278692673785398</x:v>
      </x:c>
      <x:c r="J133" s="9" t="n">
        <x:v>0.392840401155536</x:v>
      </x:c>
      <x:c r="K133" s="9" t="n">
        <x:v>0.278692673785398</x:v>
      </x:c>
      <x:c r="L133" s="9" t="n">
        <x:v>0.392840401155536</x:v>
      </x:c>
      <x:c r="M133" s="9" t="n">
        <x:v>0.789565953689486</x:v>
      </x:c>
      <x:c r="N133" s="9" t="n">
        <x:v>0.65810465568148</x:v>
      </x:c>
      <x:c r="O133" s="9" t="n">
        <x:v>0.481755614280701</x:v>
      </x:c>
      <x:c r="P133" s="9" t="n">
        <x:v>0.028208723291755</x:v>
      </x:c>
      <x:c r="Q133" s="9" t="n">
        <x:v>79</x:v>
      </x:c>
      <x:c r="R133" s="9" t="n">
        <x:v>6</x:v>
      </x:c>
      <x:c r="S133" s="17" t="b">
        <x:v>1</x:v>
      </x:c>
      <x:c r="T133" s="18"/>
      <x:c r="U133" s="18"/>
    </x:row>
    <x:row r="134" ht="22" customHeight="1">
      <x:c r="A134" s="4" t="str">
        <x:v>TaTS</x:v>
      </x:c>
      <x:c r="B134" s="4" t="str">
        <x:v>Economy</x:v>
      </x:c>
      <x:c r="C134" s="4" t="n">
        <x:v>6</x:v>
      </x:c>
      <x:c r="D134" s="4" t="n">
        <x:v>2028</x:v>
      </x:c>
      <x:c r="E134" s="4" t="str">
        <x:v>no_variance_shrink</x:v>
      </x:c>
      <x:c r="F134" s="9" t="n">
        <x:v>1</x:v>
      </x:c>
      <x:c r="G134" s="9" t="n">
        <x:v>0.162710749813631</x:v>
      </x:c>
      <x:c r="H134" s="9" t="n">
        <x:v>0.321473991569084</x:v>
      </x:c>
      <x:c r="I134" s="9" t="n">
        <x:v>0.164642187954375</x:v>
      </x:c>
      <x:c r="J134" s="9" t="n">
        <x:v>0.324380878154738</x:v>
      </x:c>
      <x:c r="K134" s="9" t="n">
        <x:v>0.164642187954375</x:v>
      </x:c>
      <x:c r="L134" s="9" t="n">
        <x:v>0.324380878154738</x:v>
      </x:c>
      <x:c r="M134" s="9" t="n">
        <x:v>1.187037821997694</x:v>
      </x:c>
      <x:c r="N134" s="9" t="n">
        <x:v>0.9042369404336</x:v>
      </x:c>
      <x:c r="O134" s="9" t="n">
        <x:v>0.491773247718811</x:v>
      </x:c>
      <x:c r="P134" s="9" t="n">
        <x:v>0.226896330714226</x:v>
      </x:c>
      <x:c r="Q134" s="9" t="n">
        <x:v>79</x:v>
      </x:c>
      <x:c r="R134" s="9" t="n">
        <x:v>78</x:v>
      </x:c>
      <x:c r="S134" s="17" t="b">
        <x:v>1</x:v>
      </x:c>
      <x:c r="T134" s="18"/>
      <x:c r="U134" s="18"/>
    </x:row>
    <x:row r="135" ht="22" customHeight="1">
      <x:c r="A135" s="4" t="str">
        <x:v>MM-TSFlib</x:v>
      </x:c>
      <x:c r="B135" s="4" t="str">
        <x:v>Economy</x:v>
      </x:c>
      <x:c r="C135" s="4" t="n">
        <x:v>6</x:v>
      </x:c>
      <x:c r="D135" s="4" t="n">
        <x:v>2028</x:v>
      </x:c>
      <x:c r="E135" s="4" t="str">
        <x:v>no_variance_shrink</x:v>
      </x:c>
      <x:c r="F135" s="9" t="n">
        <x:v>0.75</x:v>
      </x:c>
      <x:c r="G135" s="9" t="n">
        <x:v>0.856517591452121</x:v>
      </x:c>
      <x:c r="H135" s="9" t="n">
        <x:v>0.775636082711602</x:v>
      </x:c>
      <x:c r="I135" s="9" t="n">
        <x:v>0.815673021940965</x:v>
      </x:c>
      <x:c r="J135" s="9" t="n">
        <x:v>0.754579078547562</x:v>
      </x:c>
      <x:c r="K135" s="9" t="n">
        <x:v>0.804105253354431</x:v>
      </x:c>
      <x:c r="L135" s="9" t="n">
        <x:v>0.748171721329669</x:v>
      </x:c>
      <x:c r="M135" s="9" t="n">
        <x:v>-4.768678415805761</x:v>
      </x:c>
      <x:c r="N135" s="9" t="n">
        <x:v>-2.714804614352806</x:v>
      </x:c>
      <x:c r="O135" s="9" t="n">
        <x:v>0.491773247718811</x:v>
      </x:c>
      <x:c r="P135" s="9" t="n">
        <x:v>0.193958148360252</x:v>
      </x:c>
      <x:c r="Q135" s="9" t="n">
        <x:v>79</x:v>
      </x:c>
      <x:c r="R135" s="9" t="n">
        <x:v>78</x:v>
      </x:c>
      <x:c r="S135" s="17" t="b">
        <x:v>1</x:v>
      </x:c>
      <x:c r="T135" s="18"/>
      <x:c r="U135" s="18"/>
    </x:row>
    <x:row r="136" ht="22" customHeight="1">
      <x:c r="A136" s="4" t="str">
        <x:v>SpecTF</x:v>
      </x:c>
      <x:c r="B136" s="4" t="str">
        <x:v>Economy</x:v>
      </x:c>
      <x:c r="C136" s="4" t="n">
        <x:v>6</x:v>
      </x:c>
      <x:c r="D136" s="4" t="n">
        <x:v>2028</x:v>
      </x:c>
      <x:c r="E136" s="4" t="str">
        <x:v>no_variance_shrink</x:v>
      </x:c>
      <x:c r="F136" s="9" t="n">
        <x:v>1</x:v>
      </x:c>
      <x:c r="G136" s="9" t="n">
        <x:v>0.153985580901613</x:v>
      </x:c>
      <x:c r="H136" s="9" t="n">
        <x:v>0.308695395410312</x:v>
      </x:c>
      <x:c r="I136" s="9" t="n">
        <x:v>0.154336078231662</x:v>
      </x:c>
      <x:c r="J136" s="9" t="n">
        <x:v>0.305529680558901</x:v>
      </x:c>
      <x:c r="K136" s="9" t="n">
        <x:v>0.154336078231662</x:v>
      </x:c>
      <x:c r="L136" s="9" t="n">
        <x:v>0.305529680558901</x:v>
      </x:c>
      <x:c r="M136" s="9" t="n">
        <x:v>0.227616980756751</x:v>
      </x:c>
      <x:c r="N136" s="9" t="n">
        <x:v>-1.025514114716153</x:v>
      </x:c>
      <x:c r="O136" s="9" t="n">
        <x:v>0.491773247718811</x:v>
      </x:c>
      <x:c r="P136" s="9" t="n">
        <x:v>0.231268361210823</x:v>
      </x:c>
      <x:c r="Q136" s="9" t="n">
        <x:v>79</x:v>
      </x:c>
      <x:c r="R136" s="9" t="n">
        <x:v>78</x:v>
      </x:c>
      <x:c r="S136" s="17" t="b">
        <x:v>1</x:v>
      </x:c>
      <x:c r="T136" s="18"/>
      <x:c r="U136" s="18"/>
    </x:row>
    <x:row r="137" ht="22" customHeight="1">
      <x:c r="A137" s="4" t="str">
        <x:v>CFA</x:v>
      </x:c>
      <x:c r="B137" s="4" t="str">
        <x:v>Economy</x:v>
      </x:c>
      <x:c r="C137" s="4" t="n">
        <x:v>6</x:v>
      </x:c>
      <x:c r="D137" s="4" t="n">
        <x:v>2028</x:v>
      </x:c>
      <x:c r="E137" s="4" t="str">
        <x:v>no_variance_shrink</x:v>
      </x:c>
      <x:c r="F137" s="9" t="n">
        <x:v>1</x:v>
      </x:c>
      <x:c r="G137" s="9" t="n">
        <x:v>0.171587455461261</x:v>
      </x:c>
      <x:c r="H137" s="9" t="n">
        <x:v>0.317980554787922</x:v>
      </x:c>
      <x:c r="I137" s="9" t="n">
        <x:v>0.181038121285744</x:v>
      </x:c>
      <x:c r="J137" s="9" t="n">
        <x:v>0.325718922579842</x:v>
      </x:c>
      <x:c r="K137" s="9" t="n">
        <x:v>0.181038121285744</x:v>
      </x:c>
      <x:c r="L137" s="9" t="n">
        <x:v>0.325718922579842</x:v>
      </x:c>
      <x:c r="M137" s="9" t="n">
        <x:v>5.507783654159204</x:v>
      </x:c>
      <x:c r="N137" s="9" t="n">
        <x:v>2.433597801941501</x:v>
      </x:c>
      <x:c r="O137" s="9" t="n">
        <x:v>0.491773247718811</x:v>
      </x:c>
      <x:c r="P137" s="9" t="n">
        <x:v>0.221654742956162</x:v>
      </x:c>
      <x:c r="Q137" s="9" t="n">
        <x:v>79</x:v>
      </x:c>
      <x:c r="R137" s="9" t="n">
        <x:v>78</x:v>
      </x:c>
      <x:c r="S137" s="17" t="b">
        <x:v>1</x:v>
      </x:c>
      <x:c r="T137" s="18"/>
      <x:c r="U137" s="18"/>
    </x:row>
    <x:row r="138" ht="22" customHeight="1">
      <x:c r="A138" s="4" t="str">
        <x:v>Aurora</x:v>
      </x:c>
      <x:c r="B138" s="4" t="str">
        <x:v>Economy</x:v>
      </x:c>
      <x:c r="C138" s="4" t="n">
        <x:v>6</x:v>
      </x:c>
      <x:c r="D138" s="4" t="n">
        <x:v>2028</x:v>
      </x:c>
      <x:c r="E138" s="4" t="str">
        <x:v>no_variance_shrink</x:v>
      </x:c>
      <x:c r="F138" s="9" t="n">
        <x:v>0</x:v>
      </x:c>
      <x:c r="G138" s="9" t="n">
        <x:v>0.276509449314873</x:v>
      </x:c>
      <x:c r="H138" s="9" t="n">
        <x:v>0.390272002934404</x:v>
      </x:c>
      <x:c r="I138" s="9" t="n">
        <x:v>0.276509449314873</x:v>
      </x:c>
      <x:c r="J138" s="9" t="n">
        <x:v>0.390272002934404</x:v>
      </x:c>
      <x:c r="K138" s="9" t="n">
        <x:v>0.318820771554665</x:v>
      </x:c>
      <x:c r="L138" s="9" t="n">
        <x:v>0.421108480244246</x:v>
      </x:c>
      <x:c r="M138" s="9" t="n">
        <x:v>0</x:v>
      </x:c>
      <x:c r="N138" s="9" t="n">
        <x:v>0</x:v>
      </x:c>
      <x:c r="O138" s="9" t="n">
        <x:v>0.491773247718811</x:v>
      </x:c>
      <x:c r="P138" s="9" t="n">
        <x:v>0.194816425442696</x:v>
      </x:c>
      <x:c r="Q138" s="9" t="n">
        <x:v>79</x:v>
      </x:c>
      <x:c r="R138" s="9" t="n">
        <x:v>78</x:v>
      </x:c>
      <x:c r="S138" s="17" t="b">
        <x:v>0</x:v>
      </x:c>
      <x:c r="T138" s="18"/>
      <x:c r="U138" s="18"/>
    </x:row>
    <x:row r="139" ht="22" customHeight="1">
      <x:c r="A139" s="4" t="str">
        <x:v>TaTS</x:v>
      </x:c>
      <x:c r="B139" s="4" t="str">
        <x:v>Economy</x:v>
      </x:c>
      <x:c r="C139" s="4" t="n">
        <x:v>8</x:v>
      </x:c>
      <x:c r="D139" s="4" t="n">
        <x:v>2026</x:v>
      </x:c>
      <x:c r="E139" s="4" t="str">
        <x:v>no_variance_shrink</x:v>
      </x:c>
      <x:c r="F139" s="9" t="n">
        <x:v>1</x:v>
      </x:c>
      <x:c r="G139" s="9" t="n">
        <x:v>0.171935305376891</x:v>
      </x:c>
      <x:c r="H139" s="9" t="n">
        <x:v>0.3322616248065</x:v>
      </x:c>
      <x:c r="I139" s="9" t="n">
        <x:v>0.170302608963726</x:v>
      </x:c>
      <x:c r="J139" s="9" t="n">
        <x:v>0.328045426347813</x:v>
      </x:c>
      <x:c r="K139" s="9" t="n">
        <x:v>0.170302608963726</x:v>
      </x:c>
      <x:c r="L139" s="9" t="n">
        <x:v>0.328045426347813</x:v>
      </x:c>
      <x:c r="M139" s="9" t="n">
        <x:v>-0.949599274905244</x:v>
      </x:c>
      <x:c r="N139" s="9" t="n">
        <x:v>-1.268939336928388</x:v>
      </x:c>
      <x:c r="O139" s="9" t="n">
        <x:v>0.452205151319504</x:v>
      </x:c>
      <x:c r="P139" s="9" t="n">
        <x:v>0.249063864350319</x:v>
      </x:c>
      <x:c r="Q139" s="9" t="n">
        <x:v>77</x:v>
      </x:c>
      <x:c r="R139" s="9" t="n">
        <x:v>80</x:v>
      </x:c>
      <x:c r="S139" s="17" t="b">
        <x:v>1</x:v>
      </x:c>
      <x:c r="T139" s="18"/>
      <x:c r="U139" s="18"/>
    </x:row>
    <x:row r="140" ht="22" customHeight="1">
      <x:c r="A140" s="4" t="str">
        <x:v>MM-TSFlib</x:v>
      </x:c>
      <x:c r="B140" s="4" t="str">
        <x:v>Economy</x:v>
      </x:c>
      <x:c r="C140" s="4" t="n">
        <x:v>8</x:v>
      </x:c>
      <x:c r="D140" s="4" t="n">
        <x:v>2026</x:v>
      </x:c>
      <x:c r="E140" s="4" t="str">
        <x:v>no_variance_shrink</x:v>
      </x:c>
      <x:c r="F140" s="9" t="n">
        <x:v>0.75</x:v>
      </x:c>
      <x:c r="G140" s="9" t="n">
        <x:v>0.990009682828601</x:v>
      </x:c>
      <x:c r="H140" s="9" t="n">
        <x:v>0.845209826412913</x:v>
      </x:c>
      <x:c r="I140" s="9" t="n">
        <x:v>0.809315975576975</x:v>
      </x:c>
      <x:c r="J140" s="9" t="n">
        <x:v>0.752682781161426</x:v>
      </x:c>
      <x:c r="K140" s="9" t="n">
        <x:v>0.754589573328156</x:v>
      </x:c>
      <x:c r="L140" s="9" t="n">
        <x:v>0.722814264235558</x:v>
      </x:c>
      <x:c r="M140" s="9" t="n">
        <x:v>-18.251711108052792</x:v>
      </x:c>
      <x:c r="N140" s="9" t="n">
        <x:v>-10.947227819649674</x:v>
      </x:c>
      <x:c r="O140" s="9" t="n">
        <x:v>0.452205151319504</x:v>
      </x:c>
      <x:c r="P140" s="9" t="n">
        <x:v>0.347488522529602</x:v>
      </x:c>
      <x:c r="Q140" s="9" t="n">
        <x:v>77</x:v>
      </x:c>
      <x:c r="R140" s="9" t="n">
        <x:v>80</x:v>
      </x:c>
      <x:c r="S140" s="17" t="b">
        <x:v>1</x:v>
      </x:c>
      <x:c r="T140" s="18"/>
      <x:c r="U140" s="18"/>
    </x:row>
    <x:row r="141" ht="22" customHeight="1">
      <x:c r="A141" s="4" t="str">
        <x:v>SpecTF</x:v>
      </x:c>
      <x:c r="B141" s="4" t="str">
        <x:v>Economy</x:v>
      </x:c>
      <x:c r="C141" s="4" t="n">
        <x:v>8</x:v>
      </x:c>
      <x:c r="D141" s="4" t="n">
        <x:v>2026</x:v>
      </x:c>
      <x:c r="E141" s="4" t="str">
        <x:v>no_variance_shrink</x:v>
      </x:c>
      <x:c r="F141" s="9" t="n">
        <x:v>1</x:v>
      </x:c>
      <x:c r="G141" s="9" t="n">
        <x:v>0.207940320493256</x:v>
      </x:c>
      <x:c r="H141" s="9" t="n">
        <x:v>0.361840058650289</x:v>
      </x:c>
      <x:c r="I141" s="9" t="n">
        <x:v>0.198495760086026</x:v>
      </x:c>
      <x:c r="J141" s="9" t="n">
        <x:v>0.352757713624409</x:v>
      </x:c>
      <x:c r="K141" s="9" t="n">
        <x:v>0.198495760086026</x:v>
      </x:c>
      <x:c r="L141" s="9" t="n">
        <x:v>0.352757713624409</x:v>
      </x:c>
      <x:c r="M141" s="9" t="n">
        <x:v>-4.541957223508231</x:v>
      </x:c>
      <x:c r="N141" s="9" t="n">
        <x:v>-2.51004409510609</x:v>
      </x:c>
      <x:c r="O141" s="9" t="n">
        <x:v>0.452205151319504</x:v>
      </x:c>
      <x:c r="P141" s="9" t="n">
        <x:v>0.25694078207016</x:v>
      </x:c>
      <x:c r="Q141" s="9" t="n">
        <x:v>77</x:v>
      </x:c>
      <x:c r="R141" s="9" t="n">
        <x:v>80</x:v>
      </x:c>
      <x:c r="S141" s="17" t="b">
        <x:v>1</x:v>
      </x:c>
      <x:c r="T141" s="18"/>
      <x:c r="U141" s="18"/>
    </x:row>
    <x:row r="142" ht="22" customHeight="1">
      <x:c r="A142" s="4" t="str">
        <x:v>CFA</x:v>
      </x:c>
      <x:c r="B142" s="4" t="str">
        <x:v>Economy</x:v>
      </x:c>
      <x:c r="C142" s="4" t="n">
        <x:v>8</x:v>
      </x:c>
      <x:c r="D142" s="4" t="n">
        <x:v>2026</x:v>
      </x:c>
      <x:c r="E142" s="4" t="str">
        <x:v>no_variance_shrink</x:v>
      </x:c>
      <x:c r="F142" s="9" t="n">
        <x:v>1</x:v>
      </x:c>
      <x:c r="G142" s="9" t="n">
        <x:v>0.190303387457284</x:v>
      </x:c>
      <x:c r="H142" s="9" t="n">
        <x:v>0.342834749682383</x:v>
      </x:c>
      <x:c r="I142" s="9" t="n">
        <x:v>0.184897155004279</x:v>
      </x:c>
      <x:c r="J142" s="9" t="n">
        <x:v>0.334812360537517</x:v>
      </x:c>
      <x:c r="K142" s="9" t="n">
        <x:v>0.184897155004279</x:v>
      </x:c>
      <x:c r="L142" s="9" t="n">
        <x:v>0.334812360537517</x:v>
      </x:c>
      <x:c r="M142" s="9" t="n">
        <x:v>-2.840849301339032</x:v>
      </x:c>
      <x:c r="N142" s="9" t="n">
        <x:v>-2.340016335070694</x:v>
      </x:c>
      <x:c r="O142" s="9" t="n">
        <x:v>0.452205151319504</x:v>
      </x:c>
      <x:c r="P142" s="9" t="n">
        <x:v>0.248902603983879</x:v>
      </x:c>
      <x:c r="Q142" s="9" t="n">
        <x:v>77</x:v>
      </x:c>
      <x:c r="R142" s="9" t="n">
        <x:v>80</x:v>
      </x:c>
      <x:c r="S142" s="17" t="b">
        <x:v>1</x:v>
      </x:c>
      <x:c r="T142" s="18"/>
      <x:c r="U142" s="18"/>
    </x:row>
    <x:row r="143" ht="22" customHeight="1">
      <x:c r="A143" s="4" t="str">
        <x:v>Aurora</x:v>
      </x:c>
      <x:c r="B143" s="4" t="str">
        <x:v>Economy</x:v>
      </x:c>
      <x:c r="C143" s="4" t="n">
        <x:v>8</x:v>
      </x:c>
      <x:c r="D143" s="4" t="n">
        <x:v>2026</x:v>
      </x:c>
      <x:c r="E143" s="4" t="str">
        <x:v>no_variance_shrink</x:v>
      </x:c>
      <x:c r="F143" s="9" t="n">
        <x:v>0</x:v>
      </x:c>
      <x:c r="G143" s="9" t="n">
        <x:v>0.301348888001319</x:v>
      </x:c>
      <x:c r="H143" s="9" t="n">
        <x:v>0.40555489189052</x:v>
      </x:c>
      <x:c r="I143" s="9" t="n">
        <x:v>0.301348888001319</x:v>
      </x:c>
      <x:c r="J143" s="9" t="n">
        <x:v>0.40555489189052</x:v>
      </x:c>
      <x:c r="K143" s="9" t="n">
        <x:v>0.287802971140045</x:v>
      </x:c>
      <x:c r="L143" s="9" t="n">
        <x:v>0.398621064501923</x:v>
      </x:c>
      <x:c r="M143" s="9" t="n">
        <x:v>0</x:v>
      </x:c>
      <x:c r="N143" s="9" t="n">
        <x:v>0</x:v>
      </x:c>
      <x:c r="O143" s="9" t="n">
        <x:v>0.452205151319504</x:v>
      </x:c>
      <x:c r="P143" s="9" t="n">
        <x:v>0.217922061681747</x:v>
      </x:c>
      <x:c r="Q143" s="9" t="n">
        <x:v>77</x:v>
      </x:c>
      <x:c r="R143" s="9" t="n">
        <x:v>80</x:v>
      </x:c>
      <x:c r="S143" s="17" t="b">
        <x:v>0</x:v>
      </x:c>
      <x:c r="T143" s="18"/>
      <x:c r="U143" s="18"/>
    </x:row>
    <x:row r="144" ht="22" customHeight="1">
      <x:c r="A144" s="4" t="str">
        <x:v>TaTS</x:v>
      </x:c>
      <x:c r="B144" s="4" t="str">
        <x:v>Economy</x:v>
      </x:c>
      <x:c r="C144" s="4" t="n">
        <x:v>8</x:v>
      </x:c>
      <x:c r="D144" s="4" t="n">
        <x:v>2027</x:v>
      </x:c>
      <x:c r="E144" s="4" t="str">
        <x:v>no_variance_shrink</x:v>
      </x:c>
      <x:c r="F144" s="9" t="n">
        <x:v>1</x:v>
      </x:c>
      <x:c r="G144" s="9" t="n">
        <x:v>0.171935305376891</x:v>
      </x:c>
      <x:c r="H144" s="9" t="n">
        <x:v>0.3322616248065</x:v>
      </x:c>
      <x:c r="I144" s="9" t="n">
        <x:v>0.168436963436292</x:v>
      </x:c>
      <x:c r="J144" s="9" t="n">
        <x:v>0.326361435767892</x:v>
      </x:c>
      <x:c r="K144" s="9" t="n">
        <x:v>0.168436963436292</x:v>
      </x:c>
      <x:c r="L144" s="9" t="n">
        <x:v>0.326361435767892</x:v>
      </x:c>
      <x:c r="M144" s="9" t="n">
        <x:v>-2.034685042104168</x:v>
      </x:c>
      <x:c r="N144" s="9" t="n">
        <x:v>-1.775766022345826</x:v>
      </x:c>
      <x:c r="O144" s="9" t="n">
        <x:v>0.477101117372513</x:v>
      </x:c>
      <x:c r="P144" s="9" t="n">
        <x:v>0.211706265807152</x:v>
      </x:c>
      <x:c r="Q144" s="9" t="n">
        <x:v>77</x:v>
      </x:c>
      <x:c r="R144" s="9" t="n">
        <x:v>80</x:v>
      </x:c>
      <x:c r="S144" s="17" t="b">
        <x:v>1</x:v>
      </x:c>
      <x:c r="T144" s="18"/>
      <x:c r="U144" s="18"/>
    </x:row>
    <x:row r="145" ht="22" customHeight="1">
      <x:c r="A145" s="4" t="str">
        <x:v>MM-TSFlib</x:v>
      </x:c>
      <x:c r="B145" s="4" t="str">
        <x:v>Economy</x:v>
      </x:c>
      <x:c r="C145" s="4" t="n">
        <x:v>8</x:v>
      </x:c>
      <x:c r="D145" s="4" t="n">
        <x:v>2027</x:v>
      </x:c>
      <x:c r="E145" s="4" t="str">
        <x:v>no_variance_shrink</x:v>
      </x:c>
      <x:c r="F145" s="9" t="n">
        <x:v>0.75</x:v>
      </x:c>
      <x:c r="G145" s="9" t="n">
        <x:v>0.990009682828601</x:v>
      </x:c>
      <x:c r="H145" s="9" t="n">
        <x:v>0.845209826412913</x:v>
      </x:c>
      <x:c r="I145" s="9" t="n">
        <x:v>0.829176183943532</x:v>
      </x:c>
      <x:c r="J145" s="9" t="n">
        <x:v>0.762303316167423</x:v>
      </x:c>
      <x:c r="K145" s="9" t="n">
        <x:v>0.780052507841556</x:v>
      </x:c>
      <x:c r="L145" s="9" t="n">
        <x:v>0.735495263299385</x:v>
      </x:c>
      <x:c r="M145" s="9" t="n">
        <x:v>-16.245649075425717</x:v>
      </x:c>
      <x:c r="N145" s="9" t="n">
        <x:v>-9.8089856098038</x:v>
      </x:c>
      <x:c r="O145" s="9" t="n">
        <x:v>0.477101117372513</x:v>
      </x:c>
      <x:c r="P145" s="9" t="n">
        <x:v>0.309348821640015</x:v>
      </x:c>
      <x:c r="Q145" s="9" t="n">
        <x:v>77</x:v>
      </x:c>
      <x:c r="R145" s="9" t="n">
        <x:v>80</x:v>
      </x:c>
      <x:c r="S145" s="17" t="b">
        <x:v>1</x:v>
      </x:c>
      <x:c r="T145" s="18"/>
      <x:c r="U145" s="18"/>
    </x:row>
    <x:row r="146" ht="22" customHeight="1">
      <x:c r="A146" s="4" t="str">
        <x:v>SpecTF</x:v>
      </x:c>
      <x:c r="B146" s="4" t="str">
        <x:v>Economy</x:v>
      </x:c>
      <x:c r="C146" s="4" t="n">
        <x:v>8</x:v>
      </x:c>
      <x:c r="D146" s="4" t="n">
        <x:v>2027</x:v>
      </x:c>
      <x:c r="E146" s="4" t="str">
        <x:v>no_variance_shrink</x:v>
      </x:c>
      <x:c r="F146" s="9" t="n">
        <x:v>1</x:v>
      </x:c>
      <x:c r="G146" s="9" t="n">
        <x:v>0.207940320493256</x:v>
      </x:c>
      <x:c r="H146" s="9" t="n">
        <x:v>0.361840058650289</x:v>
      </x:c>
      <x:c r="I146" s="9" t="n">
        <x:v>0.200537564732475</x:v>
      </x:c>
      <x:c r="J146" s="9" t="n">
        <x:v>0.355506935967253</x:v>
      </x:c>
      <x:c r="K146" s="9" t="n">
        <x:v>0.200537564732475</x:v>
      </x:c>
      <x:c r="L146" s="9" t="n">
        <x:v>0.355506935967253</x:v>
      </x:c>
      <x:c r="M146" s="9" t="n">
        <x:v>-3.560038641481744</x:v>
      </x:c>
      <x:c r="N146" s="9" t="n">
        <x:v>-1.750254713825561</x:v>
      </x:c>
      <x:c r="O146" s="9" t="n">
        <x:v>0.477101117372513</x:v>
      </x:c>
      <x:c r="P146" s="9" t="n">
        <x:v>0.214585065841675</x:v>
      </x:c>
      <x:c r="Q146" s="9" t="n">
        <x:v>77</x:v>
      </x:c>
      <x:c r="R146" s="9" t="n">
        <x:v>80</x:v>
      </x:c>
      <x:c r="S146" s="17" t="b">
        <x:v>1</x:v>
      </x:c>
      <x:c r="T146" s="18"/>
      <x:c r="U146" s="18"/>
    </x:row>
    <x:row r="147" ht="22" customHeight="1">
      <x:c r="A147" s="4" t="str">
        <x:v>CFA</x:v>
      </x:c>
      <x:c r="B147" s="4" t="str">
        <x:v>Economy</x:v>
      </x:c>
      <x:c r="C147" s="4" t="n">
        <x:v>8</x:v>
      </x:c>
      <x:c r="D147" s="4" t="n">
        <x:v>2027</x:v>
      </x:c>
      <x:c r="E147" s="4" t="str">
        <x:v>no_variance_shrink</x:v>
      </x:c>
      <x:c r="F147" s="9" t="n">
        <x:v>1</x:v>
      </x:c>
      <x:c r="G147" s="9" t="n">
        <x:v>0.190303387457284</x:v>
      </x:c>
      <x:c r="H147" s="9" t="n">
        <x:v>0.342834749682383</x:v>
      </x:c>
      <x:c r="I147" s="9" t="n">
        <x:v>0.18328055354962</x:v>
      </x:c>
      <x:c r="J147" s="9" t="n">
        <x:v>0.333687487263958</x:v>
      </x:c>
      <x:c r="K147" s="9" t="n">
        <x:v>0.18328055354962</x:v>
      </x:c>
      <x:c r="L147" s="9" t="n">
        <x:v>0.333687487263958</x:v>
      </x:c>
      <x:c r="M147" s="9" t="n">
        <x:v>-3.690335732589256</x:v>
      </x:c>
      <x:c r="N147" s="9" t="n">
        <x:v>-2.668125803145482</x:v>
      </x:c>
      <x:c r="O147" s="9" t="n">
        <x:v>0.477101117372513</x:v>
      </x:c>
      <x:c r="P147" s="9" t="n">
        <x:v>0.209031537175178</x:v>
      </x:c>
      <x:c r="Q147" s="9" t="n">
        <x:v>77</x:v>
      </x:c>
      <x:c r="R147" s="9" t="n">
        <x:v>80</x:v>
      </x:c>
      <x:c r="S147" s="17" t="b">
        <x:v>1</x:v>
      </x:c>
      <x:c r="T147" s="18"/>
      <x:c r="U147" s="18"/>
    </x:row>
    <x:row r="148" ht="22" customHeight="1">
      <x:c r="A148" s="4" t="str">
        <x:v>Aurora</x:v>
      </x:c>
      <x:c r="B148" s="4" t="str">
        <x:v>Economy</x:v>
      </x:c>
      <x:c r="C148" s="4" t="n">
        <x:v>8</x:v>
      </x:c>
      <x:c r="D148" s="4" t="n">
        <x:v>2027</x:v>
      </x:c>
      <x:c r="E148" s="4" t="str">
        <x:v>no_variance_shrink</x:v>
      </x:c>
      <x:c r="F148" s="9" t="n">
        <x:v>0</x:v>
      </x:c>
      <x:c r="G148" s="9" t="n">
        <x:v>0.301348888001319</x:v>
      </x:c>
      <x:c r="H148" s="9" t="n">
        <x:v>0.40555489189052</x:v>
      </x:c>
      <x:c r="I148" s="9" t="n">
        <x:v>0.301348888001319</x:v>
      </x:c>
      <x:c r="J148" s="9" t="n">
        <x:v>0.40555489189052</x:v>
      </x:c>
      <x:c r="K148" s="9" t="n">
        <x:v>0.294533345671274</x:v>
      </x:c>
      <x:c r="L148" s="9" t="n">
        <x:v>0.403756507805416</x:v>
      </x:c>
      <x:c r="M148" s="9" t="n">
        <x:v>0</x:v>
      </x:c>
      <x:c r="N148" s="9" t="n">
        <x:v>0</x:v>
      </x:c>
      <x:c r="O148" s="9" t="n">
        <x:v>0.477101117372513</x:v>
      </x:c>
      <x:c r="P148" s="9" t="n">
        <x:v>0.17239499092102</x:v>
      </x:c>
      <x:c r="Q148" s="9" t="n">
        <x:v>77</x:v>
      </x:c>
      <x:c r="R148" s="9" t="n">
        <x:v>80</x:v>
      </x:c>
      <x:c r="S148" s="17" t="b">
        <x:v>0</x:v>
      </x:c>
      <x:c r="T148" s="18"/>
      <x:c r="U148" s="18"/>
    </x:row>
    <x:row r="149" ht="22" customHeight="1">
      <x:c r="A149" s="4" t="str">
        <x:v>TaTS</x:v>
      </x:c>
      <x:c r="B149" s="4" t="str">
        <x:v>Economy</x:v>
      </x:c>
      <x:c r="C149" s="4" t="n">
        <x:v>8</x:v>
      </x:c>
      <x:c r="D149" s="4" t="n">
        <x:v>2028</x:v>
      </x:c>
      <x:c r="E149" s="4" t="str">
        <x:v>no_variance_shrink</x:v>
      </x:c>
      <x:c r="F149" s="9" t="n">
        <x:v>1</x:v>
      </x:c>
      <x:c r="G149" s="9" t="n">
        <x:v>0.171935305376891</x:v>
      </x:c>
      <x:c r="H149" s="9" t="n">
        <x:v>0.3322616248065</x:v>
      </x:c>
      <x:c r="I149" s="9" t="n">
        <x:v>0.164850401515537</x:v>
      </x:c>
      <x:c r="J149" s="9" t="n">
        <x:v>0.323406030315083</x:v>
      </x:c>
      <x:c r="K149" s="9" t="n">
        <x:v>0.164850401515537</x:v>
      </x:c>
      <x:c r="L149" s="9" t="n">
        <x:v>0.323406030315083</x:v>
      </x:c>
      <x:c r="M149" s="9" t="n">
        <x:v>-4.120680069648264</x:v>
      </x:c>
      <x:c r="N149" s="9" t="n">
        <x:v>-2.665247452688524</x:v>
      </x:c>
      <x:c r="O149" s="9" t="n">
        <x:v>0.415792524814606</x:v>
      </x:c>
      <x:c r="P149" s="9" t="n">
        <x:v>0.208733737468719</x:v>
      </x:c>
      <x:c r="Q149" s="9" t="n">
        <x:v>77</x:v>
      </x:c>
      <x:c r="R149" s="9" t="n">
        <x:v>79</x:v>
      </x:c>
      <x:c r="S149" s="17" t="b">
        <x:v>1</x:v>
      </x:c>
      <x:c r="T149" s="18"/>
      <x:c r="U149" s="18"/>
    </x:row>
    <x:row r="150" ht="22" customHeight="1">
      <x:c r="A150" s="4" t="str">
        <x:v>MM-TSFlib</x:v>
      </x:c>
      <x:c r="B150" s="4" t="str">
        <x:v>Economy</x:v>
      </x:c>
      <x:c r="C150" s="4" t="n">
        <x:v>8</x:v>
      </x:c>
      <x:c r="D150" s="4" t="n">
        <x:v>2028</x:v>
      </x:c>
      <x:c r="E150" s="4" t="str">
        <x:v>no_variance_shrink</x:v>
      </x:c>
      <x:c r="F150" s="9" t="n">
        <x:v>0.75</x:v>
      </x:c>
      <x:c r="G150" s="9" t="n">
        <x:v>0.990009682828601</x:v>
      </x:c>
      <x:c r="H150" s="9" t="n">
        <x:v>0.845209826412913</x:v>
      </x:c>
      <x:c r="I150" s="9" t="n">
        <x:v>0.808719152664611</x:v>
      </x:c>
      <x:c r="J150" s="9" t="n">
        <x:v>0.752297393977642</x:v>
      </x:c>
      <x:c r="K150" s="9" t="n">
        <x:v>0.753810600814639</x:v>
      </x:c>
      <x:c r="L150" s="9" t="n">
        <x:v>0.722349309495517</x:v>
      </x:c>
      <x:c r="M150" s="9" t="n">
        <x:v>-18.31199566109467</x:v>
      </x:c>
      <x:c r="N150" s="9" t="n">
        <x:v>-10.992824448053709</x:v>
      </x:c>
      <x:c r="O150" s="9" t="n">
        <x:v>0.415792524814606</x:v>
      </x:c>
      <x:c r="P150" s="9" t="n">
        <x:v>0.347783535718918</x:v>
      </x:c>
      <x:c r="Q150" s="9" t="n">
        <x:v>77</x:v>
      </x:c>
      <x:c r="R150" s="9" t="n">
        <x:v>79</x:v>
      </x:c>
      <x:c r="S150" s="17" t="b">
        <x:v>1</x:v>
      </x:c>
      <x:c r="T150" s="18"/>
      <x:c r="U150" s="18"/>
    </x:row>
    <x:row r="151" ht="22" customHeight="1">
      <x:c r="A151" s="4" t="str">
        <x:v>SpecTF</x:v>
      </x:c>
      <x:c r="B151" s="4" t="str">
        <x:v>Economy</x:v>
      </x:c>
      <x:c r="C151" s="4" t="n">
        <x:v>8</x:v>
      </x:c>
      <x:c r="D151" s="4" t="n">
        <x:v>2028</x:v>
      </x:c>
      <x:c r="E151" s="4" t="str">
        <x:v>no_variance_shrink</x:v>
      </x:c>
      <x:c r="F151" s="9" t="n">
        <x:v>1</x:v>
      </x:c>
      <x:c r="G151" s="9" t="n">
        <x:v>0.207940320493256</x:v>
      </x:c>
      <x:c r="H151" s="9" t="n">
        <x:v>0.361840058650289</x:v>
      </x:c>
      <x:c r="I151" s="9" t="n">
        <x:v>0.199008068747692</x:v>
      </x:c>
      <x:c r="J151" s="9" t="n">
        <x:v>0.353369554045138</x:v>
      </x:c>
      <x:c r="K151" s="9" t="n">
        <x:v>0.199008068747692</x:v>
      </x:c>
      <x:c r="L151" s="9" t="n">
        <x:v>0.353369554045138</x:v>
      </x:c>
      <x:c r="M151" s="9" t="n">
        <x:v>-4.295584292827847</x:v>
      </x:c>
      <x:c r="N151" s="9" t="n">
        <x:v>-2.340952695162324</x:v>
      </x:c>
      <x:c r="O151" s="9" t="n">
        <x:v>0.415792524814606</x:v>
      </x:c>
      <x:c r="P151" s="9" t="n">
        <x:v>0.209783852100372</x:v>
      </x:c>
      <x:c r="Q151" s="9" t="n">
        <x:v>77</x:v>
      </x:c>
      <x:c r="R151" s="9" t="n">
        <x:v>79</x:v>
      </x:c>
      <x:c r="S151" s="17" t="b">
        <x:v>1</x:v>
      </x:c>
      <x:c r="T151" s="18"/>
      <x:c r="U151" s="18"/>
    </x:row>
    <x:row r="152" ht="22" customHeight="1">
      <x:c r="A152" s="4" t="str">
        <x:v>CFA</x:v>
      </x:c>
      <x:c r="B152" s="4" t="str">
        <x:v>Economy</x:v>
      </x:c>
      <x:c r="C152" s="4" t="n">
        <x:v>8</x:v>
      </x:c>
      <x:c r="D152" s="4" t="n">
        <x:v>2028</x:v>
      </x:c>
      <x:c r="E152" s="4" t="str">
        <x:v>no_variance_shrink</x:v>
      </x:c>
      <x:c r="F152" s="9" t="n">
        <x:v>1</x:v>
      </x:c>
      <x:c r="G152" s="9" t="n">
        <x:v>0.190303387457284</x:v>
      </x:c>
      <x:c r="H152" s="9" t="n">
        <x:v>0.342834749682383</x:v>
      </x:c>
      <x:c r="I152" s="9" t="n">
        <x:v>0.18264928406169</x:v>
      </x:c>
      <x:c r="J152" s="9" t="n">
        <x:v>0.332435116462119</x:v>
      </x:c>
      <x:c r="K152" s="9" t="n">
        <x:v>0.18264928406169</x:v>
      </x:c>
      <x:c r="L152" s="9" t="n">
        <x:v>0.332435116462119</x:v>
      </x:c>
      <x:c r="M152" s="9" t="n">
        <x:v>-4.022053153053385</x:v>
      </x:c>
      <x:c r="N152" s="9" t="n">
        <x:v>-3.033424479256708</x:v>
      </x:c>
      <x:c r="O152" s="9" t="n">
        <x:v>0.415792524814606</x:v>
      </x:c>
      <x:c r="P152" s="9" t="n">
        <x:v>0.200493007898331</x:v>
      </x:c>
      <x:c r="Q152" s="9" t="n">
        <x:v>77</x:v>
      </x:c>
      <x:c r="R152" s="9" t="n">
        <x:v>79</x:v>
      </x:c>
      <x:c r="S152" s="17" t="b">
        <x:v>1</x:v>
      </x:c>
      <x:c r="T152" s="18"/>
      <x:c r="U152" s="18"/>
    </x:row>
    <x:row r="153" ht="22" customHeight="1">
      <x:c r="A153" s="4" t="str">
        <x:v>Aurora</x:v>
      </x:c>
      <x:c r="B153" s="4" t="str">
        <x:v>Economy</x:v>
      </x:c>
      <x:c r="C153" s="4" t="n">
        <x:v>8</x:v>
      </x:c>
      <x:c r="D153" s="4" t="n">
        <x:v>2028</x:v>
      </x:c>
      <x:c r="E153" s="4" t="str">
        <x:v>no_variance_shrink</x:v>
      </x:c>
      <x:c r="F153" s="9" t="n">
        <x:v>0</x:v>
      </x:c>
      <x:c r="G153" s="9" t="n">
        <x:v>0.301348888001319</x:v>
      </x:c>
      <x:c r="H153" s="9" t="n">
        <x:v>0.40555489189052</x:v>
      </x:c>
      <x:c r="I153" s="9" t="n">
        <x:v>0.301348888001319</x:v>
      </x:c>
      <x:c r="J153" s="9" t="n">
        <x:v>0.40555489189052</x:v>
      </x:c>
      <x:c r="K153" s="9" t="n">
        <x:v>0.285750905831336</x:v>
      </x:c>
      <x:c r="L153" s="9" t="n">
        <x:v>0.396416253470755</x:v>
      </x:c>
      <x:c r="M153" s="9" t="n">
        <x:v>0</x:v>
      </x:c>
      <x:c r="N153" s="9" t="n">
        <x:v>0</x:v>
      </x:c>
      <x:c r="O153" s="9" t="n">
        <x:v>0.415792524814606</x:v>
      </x:c>
      <x:c r="P153" s="9" t="n">
        <x:v>0.185895517468452</x:v>
      </x:c>
      <x:c r="Q153" s="9" t="n">
        <x:v>77</x:v>
      </x:c>
      <x:c r="R153" s="9" t="n">
        <x:v>79</x:v>
      </x:c>
      <x:c r="S153" s="17" t="b">
        <x:v>0</x:v>
      </x:c>
      <x:c r="T153" s="18"/>
      <x:c r="U153" s="18"/>
    </x:row>
    <x:row r="154" ht="22" customHeight="1">
      <x:c r="A154" s="4" t="str">
        <x:v>TaTS</x:v>
      </x:c>
      <x:c r="B154" s="4" t="str">
        <x:v>Economy</x:v>
      </x:c>
      <x:c r="C154" s="4" t="n">
        <x:v>10</x:v>
      </x:c>
      <x:c r="D154" s="4" t="n">
        <x:v>2026</x:v>
      </x:c>
      <x:c r="E154" s="4" t="str">
        <x:v>no_variance_shrink</x:v>
      </x:c>
      <x:c r="F154" s="9" t="n">
        <x:v>1</x:v>
      </x:c>
      <x:c r="G154" s="9" t="n">
        <x:v>0.180585488816606</x:v>
      </x:c>
      <x:c r="H154" s="9" t="n">
        <x:v>0.336816858768463</x:v>
      </x:c>
      <x:c r="I154" s="9" t="n">
        <x:v>0.169927013587887</x:v>
      </x:c>
      <x:c r="J154" s="9" t="n">
        <x:v>0.324922725756963</x:v>
      </x:c>
      <x:c r="K154" s="9" t="n">
        <x:v>0.169927013587887</x:v>
      </x:c>
      <x:c r="L154" s="9" t="n">
        <x:v>0.324922725756963</x:v>
      </x:c>
      <x:c r="M154" s="9" t="n">
        <x:v>-5.902177023505429</x:v>
      </x:c>
      <x:c r="N154" s="9" t="n">
        <x:v>-3.531335413253878</x:v>
      </x:c>
      <x:c r="O154" s="9" t="n">
        <x:v>0.44997701048851</x:v>
      </x:c>
      <x:c r="P154" s="9" t="n">
        <x:v>0.173844203352928</x:v>
      </x:c>
      <x:c r="Q154" s="9" t="n">
        <x:v>75</x:v>
      </x:c>
      <x:c r="R154" s="9" t="n">
        <x:v>79</x:v>
      </x:c>
      <x:c r="S154" s="17" t="b">
        <x:v>1</x:v>
      </x:c>
      <x:c r="T154" s="18"/>
      <x:c r="U154" s="18"/>
    </x:row>
    <x:row r="155" ht="22" customHeight="1">
      <x:c r="A155" s="4" t="str">
        <x:v>MM-TSFlib</x:v>
      </x:c>
      <x:c r="B155" s="4" t="str">
        <x:v>Economy</x:v>
      </x:c>
      <x:c r="C155" s="4" t="n">
        <x:v>10</x:v>
      </x:c>
      <x:c r="D155" s="4" t="n">
        <x:v>2026</x:v>
      </x:c>
      <x:c r="E155" s="4" t="str">
        <x:v>no_variance_shrink</x:v>
      </x:c>
      <x:c r="F155" s="9" t="n">
        <x:v>1</x:v>
      </x:c>
      <x:c r="G155" s="9" t="n">
        <x:v>0.935232833407182</x:v>
      </x:c>
      <x:c r="H155" s="9" t="n">
        <x:v>0.8021725076437</x:v>
      </x:c>
      <x:c r="I155" s="9" t="n">
        <x:v>0.727521410512414</x:v>
      </x:c>
      <x:c r="J155" s="9" t="n">
        <x:v>0.696825085878372</x:v>
      </x:c>
      <x:c r="K155" s="9" t="n">
        <x:v>0.727521410512414</x:v>
      </x:c>
      <x:c r="L155" s="9" t="n">
        <x:v>0.696825085878372</x:v>
      </x:c>
      <x:c r="M155" s="9" t="n">
        <x:v>-22.20959481694485</x:v>
      </x:c>
      <x:c r="N155" s="9" t="n">
        <x:v>-13.132763933131386</x:v>
      </x:c>
      <x:c r="O155" s="9" t="n">
        <x:v>0.44997701048851</x:v>
      </x:c>
      <x:c r="P155" s="9" t="n">
        <x:v>0.301087558269501</x:v>
      </x:c>
      <x:c r="Q155" s="9" t="n">
        <x:v>75</x:v>
      </x:c>
      <x:c r="R155" s="9" t="n">
        <x:v>79</x:v>
      </x:c>
      <x:c r="S155" s="17" t="b">
        <x:v>1</x:v>
      </x:c>
      <x:c r="T155" s="18"/>
      <x:c r="U155" s="18"/>
    </x:row>
    <x:row r="156" ht="22" customHeight="1">
      <x:c r="A156" s="4" t="str">
        <x:v>SpecTF</x:v>
      </x:c>
      <x:c r="B156" s="4" t="str">
        <x:v>Economy</x:v>
      </x:c>
      <x:c r="C156" s="4" t="n">
        <x:v>10</x:v>
      </x:c>
      <x:c r="D156" s="4" t="n">
        <x:v>2026</x:v>
      </x:c>
      <x:c r="E156" s="4" t="str">
        <x:v>no_variance_shrink</x:v>
      </x:c>
      <x:c r="F156" s="9" t="n">
        <x:v>1</x:v>
      </x:c>
      <x:c r="G156" s="9" t="n">
        <x:v>0.198226024700599</x:v>
      </x:c>
      <x:c r="H156" s="9" t="n">
        <x:v>0.347217749834061</x:v>
      </x:c>
      <x:c r="I156" s="9" t="n">
        <x:v>0.19245501751714</x:v>
      </x:c>
      <x:c r="J156" s="9" t="n">
        <x:v>0.341183718601863</x:v>
      </x:c>
      <x:c r="K156" s="9" t="n">
        <x:v>0.19245501751714</x:v>
      </x:c>
      <x:c r="L156" s="9" t="n">
        <x:v>0.341183718601863</x:v>
      </x:c>
      <x:c r="M156" s="9" t="n">
        <x:v>-2.911326700001016</x:v>
      </x:c>
      <x:c r="N156" s="9" t="n">
        <x:v>-1.737823378868686</x:v>
      </x:c>
      <x:c r="O156" s="9" t="n">
        <x:v>0.44997701048851</x:v>
      </x:c>
      <x:c r="P156" s="9" t="n">
        <x:v>0.170134454965591</x:v>
      </x:c>
      <x:c r="Q156" s="9" t="n">
        <x:v>75</x:v>
      </x:c>
      <x:c r="R156" s="9" t="n">
        <x:v>79</x:v>
      </x:c>
      <x:c r="S156" s="17" t="b">
        <x:v>1</x:v>
      </x:c>
      <x:c r="T156" s="18"/>
      <x:c r="U156" s="18"/>
    </x:row>
    <x:row r="157" ht="22" customHeight="1">
      <x:c r="A157" s="4" t="str">
        <x:v>CFA</x:v>
      </x:c>
      <x:c r="B157" s="4" t="str">
        <x:v>Economy</x:v>
      </x:c>
      <x:c r="C157" s="4" t="n">
        <x:v>10</x:v>
      </x:c>
      <x:c r="D157" s="4" t="n">
        <x:v>2026</x:v>
      </x:c>
      <x:c r="E157" s="4" t="str">
        <x:v>no_variance_shrink</x:v>
      </x:c>
      <x:c r="F157" s="9" t="n">
        <x:v>1</x:v>
      </x:c>
      <x:c r="G157" s="9" t="n">
        <x:v>0.235866433175869</x:v>
      </x:c>
      <x:c r="H157" s="9" t="n">
        <x:v>0.386379762411118</x:v>
      </x:c>
      <x:c r="I157" s="9" t="n">
        <x:v>0.222746609569004</x:v>
      </x:c>
      <x:c r="J157" s="9" t="n">
        <x:v>0.371036929368973</x:v>
      </x:c>
      <x:c r="K157" s="9" t="n">
        <x:v>0.222746609569004</x:v>
      </x:c>
      <x:c r="L157" s="9" t="n">
        <x:v>0.371036929368973</x:v>
      </x:c>
      <x:c r="M157" s="9" t="n">
        <x:v>-5.562395390565433</x:v>
      </x:c>
      <x:c r="N157" s="9" t="n">
        <x:v>-3.97092046084433</x:v>
      </x:c>
      <x:c r="O157" s="9" t="n">
        <x:v>0.44997701048851</x:v>
      </x:c>
      <x:c r="P157" s="9" t="n">
        <x:v>0.176611363887787</x:v>
      </x:c>
      <x:c r="Q157" s="9" t="n">
        <x:v>75</x:v>
      </x:c>
      <x:c r="R157" s="9" t="n">
        <x:v>79</x:v>
      </x:c>
      <x:c r="S157" s="17" t="b">
        <x:v>1</x:v>
      </x:c>
      <x:c r="T157" s="18"/>
      <x:c r="U157" s="18"/>
    </x:row>
    <x:row r="158" ht="22" customHeight="1">
      <x:c r="A158" s="4" t="str">
        <x:v>Aurora</x:v>
      </x:c>
      <x:c r="B158" s="4" t="str">
        <x:v>Economy</x:v>
      </x:c>
      <x:c r="C158" s="4" t="n">
        <x:v>10</x:v>
      </x:c>
      <x:c r="D158" s="4" t="n">
        <x:v>2026</x:v>
      </x:c>
      <x:c r="E158" s="4" t="str">
        <x:v>no_variance_shrink</x:v>
      </x:c>
      <x:c r="F158" s="9" t="n">
        <x:v>0</x:v>
      </x:c>
      <x:c r="G158" s="9" t="n">
        <x:v>0.319506375414844</x:v>
      </x:c>
      <x:c r="H158" s="9" t="n">
        <x:v>0.415448498169581</x:v>
      </x:c>
      <x:c r="I158" s="9" t="n">
        <x:v>0.319506375414844</x:v>
      </x:c>
      <x:c r="J158" s="9" t="n">
        <x:v>0.415448498169581</x:v>
      </x:c>
      <x:c r="K158" s="9" t="n">
        <x:v>0.308798806344898</x:v>
      </x:c>
      <x:c r="L158" s="9" t="n">
        <x:v>0.409433221578598</x:v>
      </x:c>
      <x:c r="M158" s="9" t="n">
        <x:v>0</x:v>
      </x:c>
      <x:c r="N158" s="9" t="n">
        <x:v>0</x:v>
      </x:c>
      <x:c r="O158" s="9" t="n">
        <x:v>0.44997701048851</x:v>
      </x:c>
      <x:c r="P158" s="9" t="n">
        <x:v>0.176094144582748</x:v>
      </x:c>
      <x:c r="Q158" s="9" t="n">
        <x:v>75</x:v>
      </x:c>
      <x:c r="R158" s="9" t="n">
        <x:v>79</x:v>
      </x:c>
      <x:c r="S158" s="17" t="b">
        <x:v>0</x:v>
      </x:c>
      <x:c r="T158" s="18"/>
      <x:c r="U158" s="18"/>
    </x:row>
    <x:row r="159" ht="22" customHeight="1">
      <x:c r="A159" s="4" t="str">
        <x:v>TaTS</x:v>
      </x:c>
      <x:c r="B159" s="4" t="str">
        <x:v>Economy</x:v>
      </x:c>
      <x:c r="C159" s="4" t="n">
        <x:v>10</x:v>
      </x:c>
      <x:c r="D159" s="4" t="n">
        <x:v>2027</x:v>
      </x:c>
      <x:c r="E159" s="4" t="str">
        <x:v>no_variance_shrink</x:v>
      </x:c>
      <x:c r="F159" s="9" t="n">
        <x:v>0</x:v>
      </x:c>
      <x:c r="G159" s="9" t="n">
        <x:v>0.180585488816606</x:v>
      </x:c>
      <x:c r="H159" s="9" t="n">
        <x:v>0.336816858768463</x:v>
      </x:c>
      <x:c r="I159" s="9" t="n">
        <x:v>0.180585488816606</x:v>
      </x:c>
      <x:c r="J159" s="9" t="n">
        <x:v>0.336816858768463</x:v>
      </x:c>
      <x:c r="K159" s="9" t="n">
        <x:v>0.175611470779643</x:v>
      </x:c>
      <x:c r="L159" s="9" t="n">
        <x:v>0.334024027109146</x:v>
      </x:c>
      <x:c r="M159" s="9" t="n">
        <x:v>0</x:v>
      </x:c>
      <x:c r="N159" s="9" t="n">
        <x:v>0</x:v>
      </x:c>
      <x:c r="O159" s="9" t="n">
        <x:v>0.62913191318512</x:v>
      </x:c>
      <x:c r="P159" s="9" t="n">
        <x:v>0.128762021660805</x:v>
      </x:c>
      <x:c r="Q159" s="9" t="n">
        <x:v>75</x:v>
      </x:c>
      <x:c r="R159" s="9" t="n">
        <x:v>21</x:v>
      </x:c>
      <x:c r="S159" s="17" t="b">
        <x:v>0</x:v>
      </x:c>
      <x:c r="T159" s="18"/>
      <x:c r="U159" s="18"/>
    </x:row>
    <x:row r="160" ht="22" customHeight="1">
      <x:c r="A160" s="4" t="str">
        <x:v>MM-TSFlib</x:v>
      </x:c>
      <x:c r="B160" s="4" t="str">
        <x:v>Economy</x:v>
      </x:c>
      <x:c r="C160" s="4" t="n">
        <x:v>10</x:v>
      </x:c>
      <x:c r="D160" s="4" t="n">
        <x:v>2027</x:v>
      </x:c>
      <x:c r="E160" s="4" t="str">
        <x:v>no_variance_shrink</x:v>
      </x:c>
      <x:c r="F160" s="9" t="n">
        <x:v>1</x:v>
      </x:c>
      <x:c r="G160" s="9" t="n">
        <x:v>0.935232833407182</x:v>
      </x:c>
      <x:c r="H160" s="9" t="n">
        <x:v>0.8021725076437</x:v>
      </x:c>
      <x:c r="I160" s="9" t="n">
        <x:v>0.87412428893537</x:v>
      </x:c>
      <x:c r="J160" s="9" t="n">
        <x:v>0.775689212878545</x:v>
      </x:c>
      <x:c r="K160" s="9" t="n">
        <x:v>0.87412428893537</x:v>
      </x:c>
      <x:c r="L160" s="9" t="n">
        <x:v>0.775689212878545</x:v>
      </x:c>
      <x:c r="M160" s="9" t="n">
        <x:v>-6.534046099428026</x:v>
      </x:c>
      <x:c r="N160" s="9" t="n">
        <x:v>-3.301446323926827</x:v>
      </x:c>
      <x:c r="O160" s="9" t="n">
        <x:v>0.62913191318512</x:v>
      </x:c>
      <x:c r="P160" s="9" t="n">
        <x:v>0.111935615539551</x:v>
      </x:c>
      <x:c r="Q160" s="9" t="n">
        <x:v>75</x:v>
      </x:c>
      <x:c r="R160" s="9" t="n">
        <x:v>21</x:v>
      </x:c>
      <x:c r="S160" s="17" t="b">
        <x:v>1</x:v>
      </x:c>
      <x:c r="T160" s="18"/>
      <x:c r="U160" s="18"/>
    </x:row>
    <x:row r="161" ht="22" customHeight="1">
      <x:c r="A161" s="4" t="str">
        <x:v>SpecTF</x:v>
      </x:c>
      <x:c r="B161" s="4" t="str">
        <x:v>Economy</x:v>
      </x:c>
      <x:c r="C161" s="4" t="n">
        <x:v>10</x:v>
      </x:c>
      <x:c r="D161" s="4" t="n">
        <x:v>2027</x:v>
      </x:c>
      <x:c r="E161" s="4" t="str">
        <x:v>no_variance_shrink</x:v>
      </x:c>
      <x:c r="F161" s="9" t="n">
        <x:v>0</x:v>
      </x:c>
      <x:c r="G161" s="9" t="n">
        <x:v>0.198226024700599</x:v>
      </x:c>
      <x:c r="H161" s="9" t="n">
        <x:v>0.347217749834061</x:v>
      </x:c>
      <x:c r="I161" s="9" t="n">
        <x:v>0.198226024700599</x:v>
      </x:c>
      <x:c r="J161" s="9" t="n">
        <x:v>0.347217749834061</x:v>
      </x:c>
      <x:c r="K161" s="9" t="n">
        <x:v>0.197986265906731</x:v>
      </x:c>
      <x:c r="L161" s="9" t="n">
        <x:v>0.347552450259527</x:v>
      </x:c>
      <x:c r="M161" s="9" t="n">
        <x:v>0</x:v>
      </x:c>
      <x:c r="N161" s="9" t="n">
        <x:v>0</x:v>
      </x:c>
      <x:c r="O161" s="9" t="n">
        <x:v>0.62913191318512</x:v>
      </x:c>
      <x:c r="P161" s="9" t="n">
        <x:v>0.129288226366043</x:v>
      </x:c>
      <x:c r="Q161" s="9" t="n">
        <x:v>75</x:v>
      </x:c>
      <x:c r="R161" s="9" t="n">
        <x:v>21</x:v>
      </x:c>
      <x:c r="S161" s="17" t="b">
        <x:v>0</x:v>
      </x:c>
      <x:c r="T161" s="18"/>
      <x:c r="U161" s="18"/>
    </x:row>
    <x:row r="162" ht="22" customHeight="1">
      <x:c r="A162" s="4" t="str">
        <x:v>CFA</x:v>
      </x:c>
      <x:c r="B162" s="4" t="str">
        <x:v>Economy</x:v>
      </x:c>
      <x:c r="C162" s="4" t="n">
        <x:v>10</x:v>
      </x:c>
      <x:c r="D162" s="4" t="n">
        <x:v>2027</x:v>
      </x:c>
      <x:c r="E162" s="4" t="str">
        <x:v>no_variance_shrink</x:v>
      </x:c>
      <x:c r="F162" s="9" t="n">
        <x:v>0</x:v>
      </x:c>
      <x:c r="G162" s="9" t="n">
        <x:v>0.235866433175869</x:v>
      </x:c>
      <x:c r="H162" s="9" t="n">
        <x:v>0.386379762411118</x:v>
      </x:c>
      <x:c r="I162" s="9" t="n">
        <x:v>0.235866433175869</x:v>
      </x:c>
      <x:c r="J162" s="9" t="n">
        <x:v>0.386379762411118</x:v>
      </x:c>
      <x:c r="K162" s="9" t="n">
        <x:v>0.234638467071038</x:v>
      </x:c>
      <x:c r="L162" s="9" t="n">
        <x:v>0.383026524861654</x:v>
      </x:c>
      <x:c r="M162" s="9" t="n">
        <x:v>0</x:v>
      </x:c>
      <x:c r="N162" s="9" t="n">
        <x:v>0</x:v>
      </x:c>
      <x:c r="O162" s="9" t="n">
        <x:v>0.62913191318512</x:v>
      </x:c>
      <x:c r="P162" s="9" t="n">
        <x:v>0.128477528691292</x:v>
      </x:c>
      <x:c r="Q162" s="9" t="n">
        <x:v>75</x:v>
      </x:c>
      <x:c r="R162" s="9" t="n">
        <x:v>21</x:v>
      </x:c>
      <x:c r="S162" s="17" t="b">
        <x:v>0</x:v>
      </x:c>
      <x:c r="T162" s="18"/>
      <x:c r="U162" s="18"/>
    </x:row>
    <x:row r="163" ht="22" customHeight="1">
      <x:c r="A163" s="4" t="str">
        <x:v>Aurora</x:v>
      </x:c>
      <x:c r="B163" s="4" t="str">
        <x:v>Economy</x:v>
      </x:c>
      <x:c r="C163" s="4" t="n">
        <x:v>10</x:v>
      </x:c>
      <x:c r="D163" s="4" t="n">
        <x:v>2027</x:v>
      </x:c>
      <x:c r="E163" s="4" t="str">
        <x:v>no_variance_shrink</x:v>
      </x:c>
      <x:c r="F163" s="9" t="n">
        <x:v>0</x:v>
      </x:c>
      <x:c r="G163" s="9" t="n">
        <x:v>0.319506375414844</x:v>
      </x:c>
      <x:c r="H163" s="9" t="n">
        <x:v>0.415448498169581</x:v>
      </x:c>
      <x:c r="I163" s="9" t="n">
        <x:v>0.319506375414844</x:v>
      </x:c>
      <x:c r="J163" s="9" t="n">
        <x:v>0.415448498169581</x:v>
      </x:c>
      <x:c r="K163" s="9" t="n">
        <x:v>0.307400374352146</x:v>
      </x:c>
      <x:c r="L163" s="9" t="n">
        <x:v>0.410122695525487</x:v>
      </x:c>
      <x:c r="M163" s="9" t="n">
        <x:v>0</x:v>
      </x:c>
      <x:c r="N163" s="9" t="n">
        <x:v>0</x:v>
      </x:c>
      <x:c r="O163" s="9" t="n">
        <x:v>0.62913191318512</x:v>
      </x:c>
      <x:c r="P163" s="9" t="n">
        <x:v>0.12561585009098</x:v>
      </x:c>
      <x:c r="Q163" s="9" t="n">
        <x:v>75</x:v>
      </x:c>
      <x:c r="R163" s="9" t="n">
        <x:v>21</x:v>
      </x:c>
      <x:c r="S163" s="17" t="b">
        <x:v>0</x:v>
      </x:c>
      <x:c r="T163" s="18"/>
      <x:c r="U163" s="18"/>
    </x:row>
    <x:row r="164" ht="22" customHeight="1">
      <x:c r="A164" s="4" t="str">
        <x:v>TaTS</x:v>
      </x:c>
      <x:c r="B164" s="4" t="str">
        <x:v>Economy</x:v>
      </x:c>
      <x:c r="C164" s="4" t="n">
        <x:v>10</x:v>
      </x:c>
      <x:c r="D164" s="4" t="n">
        <x:v>2028</x:v>
      </x:c>
      <x:c r="E164" s="4" t="str">
        <x:v>no_variance_shrink</x:v>
      </x:c>
      <x:c r="F164" s="9" t="n">
        <x:v>0</x:v>
      </x:c>
      <x:c r="G164" s="9" t="n">
        <x:v>0.180585488816606</x:v>
      </x:c>
      <x:c r="H164" s="9" t="n">
        <x:v>0.336816858768463</x:v>
      </x:c>
      <x:c r="I164" s="9" t="n">
        <x:v>0.180585488816606</x:v>
      </x:c>
      <x:c r="J164" s="9" t="n">
        <x:v>0.336816858768463</x:v>
      </x:c>
      <x:c r="K164" s="9" t="n">
        <x:v>0.174616489985894</x:v>
      </x:c>
      <x:c r="L164" s="9" t="n">
        <x:v>0.332812390963236</x:v>
      </x:c>
      <x:c r="M164" s="9" t="n">
        <x:v>0</x:v>
      </x:c>
      <x:c r="N164" s="9" t="n">
        <x:v>0</x:v>
      </x:c>
      <x:c r="O164" s="9" t="n">
        <x:v>0.510888934135437</x:v>
      </x:c>
      <x:c r="P164" s="9" t="n">
        <x:v>0.121760420501232</x:v>
      </x:c>
      <x:c r="Q164" s="9" t="n">
        <x:v>75</x:v>
      </x:c>
      <x:c r="R164" s="9" t="n">
        <x:v>15</x:v>
      </x:c>
      <x:c r="S164" s="17" t="b">
        <x:v>0</x:v>
      </x:c>
      <x:c r="T164" s="18"/>
      <x:c r="U164" s="18"/>
    </x:row>
    <x:row r="165" ht="22" customHeight="1">
      <x:c r="A165" s="4" t="str">
        <x:v>MM-TSFlib</x:v>
      </x:c>
      <x:c r="B165" s="4" t="str">
        <x:v>Economy</x:v>
      </x:c>
      <x:c r="C165" s="4" t="n">
        <x:v>10</x:v>
      </x:c>
      <x:c r="D165" s="4" t="n">
        <x:v>2028</x:v>
      </x:c>
      <x:c r="E165" s="4" t="str">
        <x:v>no_variance_shrink</x:v>
      </x:c>
      <x:c r="F165" s="9" t="n">
        <x:v>1</x:v>
      </x:c>
      <x:c r="G165" s="9" t="n">
        <x:v>0.935232833407182</x:v>
      </x:c>
      <x:c r="H165" s="9" t="n">
        <x:v>0.8021725076437</x:v>
      </x:c>
      <x:c r="I165" s="9" t="n">
        <x:v>0.866910839023406</x:v>
      </x:c>
      <x:c r="J165" s="9" t="n">
        <x:v>0.77224140159289</x:v>
      </x:c>
      <x:c r="K165" s="9" t="n">
        <x:v>0.866910839023406</x:v>
      </x:c>
      <x:c r="L165" s="9" t="n">
        <x:v>0.77224140159289</x:v>
      </x:c>
      <x:c r="M165" s="9" t="n">
        <x:v>-7.305345999762314</x:v>
      </x:c>
      <x:c r="N165" s="9" t="n">
        <x:v>-3.731255529902011</x:v>
      </x:c>
      <x:c r="O165" s="9" t="n">
        <x:v>0.510888934135437</x:v>
      </x:c>
      <x:c r="P165" s="9" t="n">
        <x:v>0.11174601316452</x:v>
      </x:c>
      <x:c r="Q165" s="9" t="n">
        <x:v>75</x:v>
      </x:c>
      <x:c r="R165" s="9" t="n">
        <x:v>15</x:v>
      </x:c>
      <x:c r="S165" s="17" t="b">
        <x:v>1</x:v>
      </x:c>
      <x:c r="T165" s="18"/>
      <x:c r="U165" s="18"/>
    </x:row>
    <x:row r="166" ht="22" customHeight="1">
      <x:c r="A166" s="4" t="str">
        <x:v>SpecTF</x:v>
      </x:c>
      <x:c r="B166" s="4" t="str">
        <x:v>Economy</x:v>
      </x:c>
      <x:c r="C166" s="4" t="n">
        <x:v>10</x:v>
      </x:c>
      <x:c r="D166" s="4" t="n">
        <x:v>2028</x:v>
      </x:c>
      <x:c r="E166" s="4" t="str">
        <x:v>no_variance_shrink</x:v>
      </x:c>
      <x:c r="F166" s="9" t="n">
        <x:v>0</x:v>
      </x:c>
      <x:c r="G166" s="9" t="n">
        <x:v>0.198226024700599</x:v>
      </x:c>
      <x:c r="H166" s="9" t="n">
        <x:v>0.347217749834061</x:v>
      </x:c>
      <x:c r="I166" s="9" t="n">
        <x:v>0.198226024700599</x:v>
      </x:c>
      <x:c r="J166" s="9" t="n">
        <x:v>0.347217749834061</x:v>
      </x:c>
      <x:c r="K166" s="9" t="n">
        <x:v>0.197488425310008</x:v>
      </x:c>
      <x:c r="L166" s="9" t="n">
        <x:v>0.347289739608765</x:v>
      </x:c>
      <x:c r="M166" s="9" t="n">
        <x:v>0</x:v>
      </x:c>
      <x:c r="N166" s="9" t="n">
        <x:v>0</x:v>
      </x:c>
      <x:c r="O166" s="9" t="n">
        <x:v>0.510888934135437</x:v>
      </x:c>
      <x:c r="P166" s="9" t="n">
        <x:v>0.121737517416477</x:v>
      </x:c>
      <x:c r="Q166" s="9" t="n">
        <x:v>75</x:v>
      </x:c>
      <x:c r="R166" s="9" t="n">
        <x:v>15</x:v>
      </x:c>
      <x:c r="S166" s="17" t="b">
        <x:v>0</x:v>
      </x:c>
      <x:c r="T166" s="18"/>
      <x:c r="U166" s="18"/>
    </x:row>
    <x:row r="167" ht="22" customHeight="1">
      <x:c r="A167" s="4" t="str">
        <x:v>CFA</x:v>
      </x:c>
      <x:c r="B167" s="4" t="str">
        <x:v>Economy</x:v>
      </x:c>
      <x:c r="C167" s="4" t="n">
        <x:v>10</x:v>
      </x:c>
      <x:c r="D167" s="4" t="n">
        <x:v>2028</x:v>
      </x:c>
      <x:c r="E167" s="4" t="str">
        <x:v>no_variance_shrink</x:v>
      </x:c>
      <x:c r="F167" s="9" t="n">
        <x:v>0</x:v>
      </x:c>
      <x:c r="G167" s="9" t="n">
        <x:v>0.235866433175869</x:v>
      </x:c>
      <x:c r="H167" s="9" t="n">
        <x:v>0.386379762411118</x:v>
      </x:c>
      <x:c r="I167" s="9" t="n">
        <x:v>0.235866433175869</x:v>
      </x:c>
      <x:c r="J167" s="9" t="n">
        <x:v>0.386379762411118</x:v>
      </x:c>
      <x:c r="K167" s="9" t="n">
        <x:v>0.234412609004553</x:v>
      </x:c>
      <x:c r="L167" s="9" t="n">
        <x:v>0.382716505368551</x:v>
      </x:c>
      <x:c r="M167" s="9" t="n">
        <x:v>0</x:v>
      </x:c>
      <x:c r="N167" s="9" t="n">
        <x:v>0</x:v>
      </x:c>
      <x:c r="O167" s="9" t="n">
        <x:v>0.510888934135437</x:v>
      </x:c>
      <x:c r="P167" s="9" t="n">
        <x:v>0.121667847037315</x:v>
      </x:c>
      <x:c r="Q167" s="9" t="n">
        <x:v>75</x:v>
      </x:c>
      <x:c r="R167" s="9" t="n">
        <x:v>15</x:v>
      </x:c>
      <x:c r="S167" s="17" t="b">
        <x:v>0</x:v>
      </x:c>
      <x:c r="T167" s="18"/>
      <x:c r="U167" s="18"/>
    </x:row>
    <x:row r="168" ht="22" customHeight="1">
      <x:c r="A168" s="4" t="str">
        <x:v>Aurora</x:v>
      </x:c>
      <x:c r="B168" s="4" t="str">
        <x:v>Economy</x:v>
      </x:c>
      <x:c r="C168" s="4" t="n">
        <x:v>10</x:v>
      </x:c>
      <x:c r="D168" s="4" t="n">
        <x:v>2028</x:v>
      </x:c>
      <x:c r="E168" s="4" t="str">
        <x:v>no_variance_shrink</x:v>
      </x:c>
      <x:c r="F168" s="9" t="n">
        <x:v>0</x:v>
      </x:c>
      <x:c r="G168" s="9" t="n">
        <x:v>0.319506375414844</x:v>
      </x:c>
      <x:c r="H168" s="9" t="n">
        <x:v>0.415448498169581</x:v>
      </x:c>
      <x:c r="I168" s="9" t="n">
        <x:v>0.319506375414844</x:v>
      </x:c>
      <x:c r="J168" s="9" t="n">
        <x:v>0.415448498169581</x:v>
      </x:c>
      <x:c r="K168" s="9" t="n">
        <x:v>0.303386117617954</x:v>
      </x:c>
      <x:c r="L168" s="9" t="n">
        <x:v>0.406901892503103</x:v>
      </x:c>
      <x:c r="M168" s="9" t="n">
        <x:v>0</x:v>
      </x:c>
      <x:c r="N168" s="9" t="n">
        <x:v>0</x:v>
      </x:c>
      <x:c r="O168" s="9" t="n">
        <x:v>0.510888934135437</x:v>
      </x:c>
      <x:c r="P168" s="9" t="n">
        <x:v>0.120825879275799</x:v>
      </x:c>
      <x:c r="Q168" s="9" t="n">
        <x:v>75</x:v>
      </x:c>
      <x:c r="R168" s="9" t="n">
        <x:v>15</x:v>
      </x:c>
      <x:c r="S168" s="17" t="b">
        <x:v>0</x:v>
      </x:c>
      <x:c r="T168" s="18"/>
      <x:c r="U168" s="18"/>
    </x:row>
    <x:row r="169" ht="22" customHeight="1">
      <x:c r="A169" s="4" t="str">
        <x:v>TaTS</x:v>
      </x:c>
      <x:c r="B169" s="4" t="str">
        <x:v>Economy</x:v>
      </x:c>
      <x:c r="C169" s="4" t="n">
        <x:v>12</x:v>
      </x:c>
      <x:c r="D169" s="4" t="n">
        <x:v>2026</x:v>
      </x:c>
      <x:c r="E169" s="4" t="str">
        <x:v>no_variance_shrink</x:v>
      </x:c>
      <x:c r="F169" s="9" t="n">
        <x:v>0</x:v>
      </x:c>
      <x:c r="G169" s="9" t="n">
        <x:v>0.202618284588142</x:v>
      </x:c>
      <x:c r="H169" s="9" t="n">
        <x:v>0.359618533419692</x:v>
      </x:c>
      <x:c r="I169" s="9" t="n">
        <x:v>0.202618284588142</x:v>
      </x:c>
      <x:c r="J169" s="9" t="n">
        <x:v>0.359618533419692</x:v>
      </x:c>
      <x:c r="K169" s="9" t="n">
        <x:v>0.202618284588142</x:v>
      </x:c>
      <x:c r="L169" s="9" t="n">
        <x:v>0.359618533419692</x:v>
      </x:c>
      <x:c r="M169" s="9" t="n">
        <x:v>0</x:v>
      </x:c>
      <x:c r="N169" s="9" t="n">
        <x:v>0</x:v>
      </x:c>
      <x:c r="O169" s="9" t="n">
        <x:v>0.531557023525238</x:v>
      </x:c>
      <x:c r="P169" s="9" t="n">
        <x:v>0</x:v>
      </x:c>
      <x:c r="Q169" s="9" t="n">
        <x:v>73</x:v>
      </x:c>
      <x:c r="R169" s="9" t="n">
        <x:v>0</x:v>
      </x:c>
      <x:c r="S169" s="17" t="b">
        <x:v>0</x:v>
      </x:c>
      <x:c r="T169" s="18"/>
      <x:c r="U169" s="18"/>
    </x:row>
    <x:row r="170" ht="22" customHeight="1">
      <x:c r="A170" s="4" t="str">
        <x:v>MM-TSFlib</x:v>
      </x:c>
      <x:c r="B170" s="4" t="str">
        <x:v>Economy</x:v>
      </x:c>
      <x:c r="C170" s="4" t="n">
        <x:v>12</x:v>
      </x:c>
      <x:c r="D170" s="4" t="n">
        <x:v>2026</x:v>
      </x:c>
      <x:c r="E170" s="4" t="str">
        <x:v>no_variance_shrink</x:v>
      </x:c>
      <x:c r="F170" s="9" t="n">
        <x:v>0</x:v>
      </x:c>
      <x:c r="G170" s="9" t="n">
        <x:v>0.98994579563506</x:v>
      </x:c>
      <x:c r="H170" s="9" t="n">
        <x:v>0.827972932255159</x:v>
      </x:c>
      <x:c r="I170" s="9" t="n">
        <x:v>0.98994579563506</x:v>
      </x:c>
      <x:c r="J170" s="9" t="n">
        <x:v>0.827972932255159</x:v>
      </x:c>
      <x:c r="K170" s="9" t="n">
        <x:v>0.98994579563506</x:v>
      </x:c>
      <x:c r="L170" s="9" t="n">
        <x:v>0.827972932255159</x:v>
      </x:c>
      <x:c r="M170" s="9" t="n">
        <x:v>0</x:v>
      </x:c>
      <x:c r="N170" s="9" t="n">
        <x:v>0</x:v>
      </x:c>
      <x:c r="O170" s="9" t="n">
        <x:v>0.531557023525238</x:v>
      </x:c>
      <x:c r="P170" s="9" t="n">
        <x:v>0</x:v>
      </x:c>
      <x:c r="Q170" s="9" t="n">
        <x:v>73</x:v>
      </x:c>
      <x:c r="R170" s="9" t="n">
        <x:v>0</x:v>
      </x:c>
      <x:c r="S170" s="17" t="b">
        <x:v>0</x:v>
      </x:c>
      <x:c r="T170" s="18"/>
      <x:c r="U170" s="18"/>
    </x:row>
    <x:row r="171" ht="22" customHeight="1">
      <x:c r="A171" s="4" t="str">
        <x:v>SpecTF</x:v>
      </x:c>
      <x:c r="B171" s="4" t="str">
        <x:v>Economy</x:v>
      </x:c>
      <x:c r="C171" s="4" t="n">
        <x:v>12</x:v>
      </x:c>
      <x:c r="D171" s="4" t="n">
        <x:v>2026</x:v>
      </x:c>
      <x:c r="E171" s="4" t="str">
        <x:v>no_variance_shrink</x:v>
      </x:c>
      <x:c r="F171" s="9" t="n">
        <x:v>0</x:v>
      </x:c>
      <x:c r="G171" s="9" t="n">
        <x:v>0.228452418649981</x:v>
      </x:c>
      <x:c r="H171" s="9" t="n">
        <x:v>0.373276615727982</x:v>
      </x:c>
      <x:c r="I171" s="9" t="n">
        <x:v>0.228452418649981</x:v>
      </x:c>
      <x:c r="J171" s="9" t="n">
        <x:v>0.373276615727982</x:v>
      </x:c>
      <x:c r="K171" s="9" t="n">
        <x:v>0.228452418649981</x:v>
      </x:c>
      <x:c r="L171" s="9" t="n">
        <x:v>0.373276615727982</x:v>
      </x:c>
      <x:c r="M171" s="9" t="n">
        <x:v>0</x:v>
      </x:c>
      <x:c r="N171" s="9" t="n">
        <x:v>0</x:v>
      </x:c>
      <x:c r="O171" s="9" t="n">
        <x:v>0.531557023525238</x:v>
      </x:c>
      <x:c r="P171" s="9" t="n">
        <x:v>0</x:v>
      </x:c>
      <x:c r="Q171" s="9" t="n">
        <x:v>73</x:v>
      </x:c>
      <x:c r="R171" s="9" t="n">
        <x:v>0</x:v>
      </x:c>
      <x:c r="S171" s="17" t="b">
        <x:v>0</x:v>
      </x:c>
      <x:c r="T171" s="18"/>
      <x:c r="U171" s="18"/>
    </x:row>
    <x:row r="172" ht="22" customHeight="1">
      <x:c r="A172" s="4" t="str">
        <x:v>CFA</x:v>
      </x:c>
      <x:c r="B172" s="4" t="str">
        <x:v>Economy</x:v>
      </x:c>
      <x:c r="C172" s="4" t="n">
        <x:v>12</x:v>
      </x:c>
      <x:c r="D172" s="4" t="n">
        <x:v>2026</x:v>
      </x:c>
      <x:c r="E172" s="4" t="str">
        <x:v>no_variance_shrink</x:v>
      </x:c>
      <x:c r="F172" s="9" t="n">
        <x:v>0</x:v>
      </x:c>
      <x:c r="G172" s="9" t="n">
        <x:v>0.236684661766423</x:v>
      </x:c>
      <x:c r="H172" s="9" t="n">
        <x:v>0.385989985781718</x:v>
      </x:c>
      <x:c r="I172" s="9" t="n">
        <x:v>0.236684661766423</x:v>
      </x:c>
      <x:c r="J172" s="9" t="n">
        <x:v>0.385989985781718</x:v>
      </x:c>
      <x:c r="K172" s="9" t="n">
        <x:v>0.236684661766423</x:v>
      </x:c>
      <x:c r="L172" s="9" t="n">
        <x:v>0.385989985781718</x:v>
      </x:c>
      <x:c r="M172" s="9" t="n">
        <x:v>0</x:v>
      </x:c>
      <x:c r="N172" s="9" t="n">
        <x:v>0</x:v>
      </x:c>
      <x:c r="O172" s="9" t="n">
        <x:v>0.531557023525238</x:v>
      </x:c>
      <x:c r="P172" s="9" t="n">
        <x:v>0</x:v>
      </x:c>
      <x:c r="Q172" s="9" t="n">
        <x:v>73</x:v>
      </x:c>
      <x:c r="R172" s="9" t="n">
        <x:v>0</x:v>
      </x:c>
      <x:c r="S172" s="17" t="b">
        <x:v>0</x:v>
      </x:c>
      <x:c r="T172" s="18"/>
      <x:c r="U172" s="18"/>
    </x:row>
    <x:row r="173" ht="22" customHeight="1">
      <x:c r="A173" s="4" t="str">
        <x:v>Aurora</x:v>
      </x:c>
      <x:c r="B173" s="4" t="str">
        <x:v>Economy</x:v>
      </x:c>
      <x:c r="C173" s="4" t="n">
        <x:v>12</x:v>
      </x:c>
      <x:c r="D173" s="4" t="n">
        <x:v>2026</x:v>
      </x:c>
      <x:c r="E173" s="4" t="str">
        <x:v>no_variance_shrink</x:v>
      </x:c>
      <x:c r="F173" s="9" t="n">
        <x:v>0</x:v>
      </x:c>
      <x:c r="G173" s="9" t="n">
        <x:v>0.333877896376475</x:v>
      </x:c>
      <x:c r="H173" s="9" t="n">
        <x:v>0.425290697037357</x:v>
      </x:c>
      <x:c r="I173" s="9" t="n">
        <x:v>0.333877896376475</x:v>
      </x:c>
      <x:c r="J173" s="9" t="n">
        <x:v>0.425290697037357</x:v>
      </x:c>
      <x:c r="K173" s="9" t="n">
        <x:v>0.333877896376475</x:v>
      </x:c>
      <x:c r="L173" s="9" t="n">
        <x:v>0.425290697037357</x:v>
      </x:c>
      <x:c r="M173" s="9" t="n">
        <x:v>0</x:v>
      </x:c>
      <x:c r="N173" s="9" t="n">
        <x:v>0</x:v>
      </x:c>
      <x:c r="O173" s="9" t="n">
        <x:v>0.531557023525238</x:v>
      </x:c>
      <x:c r="P173" s="9" t="n">
        <x:v>0</x:v>
      </x:c>
      <x:c r="Q173" s="9" t="n">
        <x:v>73</x:v>
      </x:c>
      <x:c r="R173" s="9" t="n">
        <x:v>0</x:v>
      </x:c>
      <x:c r="S173" s="17" t="b">
        <x:v>0</x:v>
      </x:c>
      <x:c r="T173" s="18"/>
      <x:c r="U173" s="18"/>
    </x:row>
    <x:row r="174" ht="22" customHeight="1">
      <x:c r="A174" s="4" t="str">
        <x:v>TaTS</x:v>
      </x:c>
      <x:c r="B174" s="4" t="str">
        <x:v>Economy</x:v>
      </x:c>
      <x:c r="C174" s="4" t="n">
        <x:v>12</x:v>
      </x:c>
      <x:c r="D174" s="4" t="n">
        <x:v>2027</x:v>
      </x:c>
      <x:c r="E174" s="4" t="str">
        <x:v>no_variance_shrink</x:v>
      </x:c>
      <x:c r="F174" s="9" t="n">
        <x:v>0</x:v>
      </x:c>
      <x:c r="G174" s="9" t="n">
        <x:v>0.202618284588142</x:v>
      </x:c>
      <x:c r="H174" s="9" t="n">
        <x:v>0.359618533419692</x:v>
      </x:c>
      <x:c r="I174" s="9" t="n">
        <x:v>0.202618284588142</x:v>
      </x:c>
      <x:c r="J174" s="9" t="n">
        <x:v>0.359618533419692</x:v>
      </x:c>
      <x:c r="K174" s="9" t="n">
        <x:v>0.204906477389505</x:v>
      </x:c>
      <x:c r="L174" s="9" t="n">
        <x:v>0.363038632423366</x:v>
      </x:c>
      <x:c r="M174" s="9" t="n">
        <x:v>0</x:v>
      </x:c>
      <x:c r="N174" s="9" t="n">
        <x:v>0</x:v>
      </x:c>
      <x:c r="O174" s="9" t="n">
        <x:v>0.535404026508331</x:v>
      </x:c>
      <x:c r="P174" s="9" t="n">
        <x:v>0.083542861044407</x:v>
      </x:c>
      <x:c r="Q174" s="9" t="n">
        <x:v>73</x:v>
      </x:c>
      <x:c r="R174" s="9" t="n">
        <x:v>13</x:v>
      </x:c>
      <x:c r="S174" s="17" t="b">
        <x:v>0</x:v>
      </x:c>
      <x:c r="T174" s="18"/>
      <x:c r="U174" s="18"/>
    </x:row>
    <x:row r="175" ht="22" customHeight="1">
      <x:c r="A175" s="4" t="str">
        <x:v>MM-TSFlib</x:v>
      </x:c>
      <x:c r="B175" s="4" t="str">
        <x:v>Economy</x:v>
      </x:c>
      <x:c r="C175" s="4" t="n">
        <x:v>12</x:v>
      </x:c>
      <x:c r="D175" s="4" t="n">
        <x:v>2027</x:v>
      </x:c>
      <x:c r="E175" s="4" t="str">
        <x:v>no_variance_shrink</x:v>
      </x:c>
      <x:c r="F175" s="9" t="n">
        <x:v>1</x:v>
      </x:c>
      <x:c r="G175" s="9" t="n">
        <x:v>0.98994579563506</x:v>
      </x:c>
      <x:c r="H175" s="9" t="n">
        <x:v>0.827972932255159</x:v>
      </x:c>
      <x:c r="I175" s="9" t="n">
        <x:v>0.967618573582452</x:v>
      </x:c>
      <x:c r="J175" s="9" t="n">
        <x:v>0.819074249566962</x:v>
      </x:c>
      <x:c r="K175" s="9" t="n">
        <x:v>0.967618573582452</x:v>
      </x:c>
      <x:c r="L175" s="9" t="n">
        <x:v>0.819074249566962</x:v>
      </x:c>
      <x:c r="M175" s="9" t="n">
        <x:v>-2.255398442122258</x:v>
      </x:c>
      <x:c r="N175" s="9" t="n">
        <x:v>-1.074755265725846</x:v>
      </x:c>
      <x:c r="O175" s="9" t="n">
        <x:v>0.535404026508331</x:v>
      </x:c>
      <x:c r="P175" s="9" t="n">
        <x:v>0.073867663741112</x:v>
      </x:c>
      <x:c r="Q175" s="9" t="n">
        <x:v>73</x:v>
      </x:c>
      <x:c r="R175" s="9" t="n">
        <x:v>13</x:v>
      </x:c>
      <x:c r="S175" s="17" t="b">
        <x:v>1</x:v>
      </x:c>
      <x:c r="T175" s="18"/>
      <x:c r="U175" s="18"/>
    </x:row>
    <x:row r="176" ht="22" customHeight="1">
      <x:c r="A176" s="4" t="str">
        <x:v>SpecTF</x:v>
      </x:c>
      <x:c r="B176" s="4" t="str">
        <x:v>Economy</x:v>
      </x:c>
      <x:c r="C176" s="4" t="n">
        <x:v>12</x:v>
      </x:c>
      <x:c r="D176" s="4" t="n">
        <x:v>2027</x:v>
      </x:c>
      <x:c r="E176" s="4" t="str">
        <x:v>no_variance_shrink</x:v>
      </x:c>
      <x:c r="F176" s="9" t="n">
        <x:v>0</x:v>
      </x:c>
      <x:c r="G176" s="9" t="n">
        <x:v>0.228452418649981</x:v>
      </x:c>
      <x:c r="H176" s="9" t="n">
        <x:v>0.373276615727982</x:v>
      </x:c>
      <x:c r="I176" s="9" t="n">
        <x:v>0.228452418649981</x:v>
      </x:c>
      <x:c r="J176" s="9" t="n">
        <x:v>0.373276615727982</x:v>
      </x:c>
      <x:c r="K176" s="9" t="n">
        <x:v>0.230415003844236</x:v>
      </x:c>
      <x:c r="L176" s="9" t="n">
        <x:v>0.376087647254608</x:v>
      </x:c>
      <x:c r="M176" s="9" t="n">
        <x:v>0</x:v>
      </x:c>
      <x:c r="N176" s="9" t="n">
        <x:v>0</x:v>
      </x:c>
      <x:c r="O176" s="9" t="n">
        <x:v>0.535404026508331</x:v>
      </x:c>
      <x:c r="P176" s="9" t="n">
        <x:v>0.083461120724678</x:v>
      </x:c>
      <x:c r="Q176" s="9" t="n">
        <x:v>73</x:v>
      </x:c>
      <x:c r="R176" s="9" t="n">
        <x:v>13</x:v>
      </x:c>
      <x:c r="S176" s="17" t="b">
        <x:v>0</x:v>
      </x:c>
      <x:c r="T176" s="18"/>
      <x:c r="U176" s="18"/>
    </x:row>
    <x:row r="177" ht="22" customHeight="1">
      <x:c r="A177" s="4" t="str">
        <x:v>CFA</x:v>
      </x:c>
      <x:c r="B177" s="4" t="str">
        <x:v>Economy</x:v>
      </x:c>
      <x:c r="C177" s="4" t="n">
        <x:v>12</x:v>
      </x:c>
      <x:c r="D177" s="4" t="n">
        <x:v>2027</x:v>
      </x:c>
      <x:c r="E177" s="4" t="str">
        <x:v>no_variance_shrink</x:v>
      </x:c>
      <x:c r="F177" s="9" t="n">
        <x:v>0</x:v>
      </x:c>
      <x:c r="G177" s="9" t="n">
        <x:v>0.236684661766423</x:v>
      </x:c>
      <x:c r="H177" s="9" t="n">
        <x:v>0.385989985781718</x:v>
      </x:c>
      <x:c r="I177" s="9" t="n">
        <x:v>0.236684661766423</x:v>
      </x:c>
      <x:c r="J177" s="9" t="n">
        <x:v>0.385989985781718</x:v>
      </x:c>
      <x:c r="K177" s="9" t="n">
        <x:v>0.234963152336412</x:v>
      </x:c>
      <x:c r="L177" s="9" t="n">
        <x:v>0.384472885292415</x:v>
      </x:c>
      <x:c r="M177" s="9" t="n">
        <x:v>0</x:v>
      </x:c>
      <x:c r="N177" s="9" t="n">
        <x:v>0</x:v>
      </x:c>
      <x:c r="O177" s="9" t="n">
        <x:v>0.535404026508331</x:v>
      </x:c>
      <x:c r="P177" s="9" t="n">
        <x:v>0.082987189292908</x:v>
      </x:c>
      <x:c r="Q177" s="9" t="n">
        <x:v>73</x:v>
      </x:c>
      <x:c r="R177" s="9" t="n">
        <x:v>13</x:v>
      </x:c>
      <x:c r="S177" s="17" t="b">
        <x:v>0</x:v>
      </x:c>
      <x:c r="T177" s="18"/>
      <x:c r="U177" s="18"/>
    </x:row>
    <x:row r="178" ht="22" customHeight="1">
      <x:c r="A178" s="4" t="str">
        <x:v>Aurora</x:v>
      </x:c>
      <x:c r="B178" s="4" t="str">
        <x:v>Economy</x:v>
      </x:c>
      <x:c r="C178" s="4" t="n">
        <x:v>12</x:v>
      </x:c>
      <x:c r="D178" s="4" t="n">
        <x:v>2027</x:v>
      </x:c>
      <x:c r="E178" s="4" t="str">
        <x:v>no_variance_shrink</x:v>
      </x:c>
      <x:c r="F178" s="9" t="n">
        <x:v>0</x:v>
      </x:c>
      <x:c r="G178" s="9" t="n">
        <x:v>0.333877896376475</x:v>
      </x:c>
      <x:c r="H178" s="9" t="n">
        <x:v>0.425290697037357</x:v>
      </x:c>
      <x:c r="I178" s="9" t="n">
        <x:v>0.333877896376475</x:v>
      </x:c>
      <x:c r="J178" s="9" t="n">
        <x:v>0.425290697037357</x:v>
      </x:c>
      <x:c r="K178" s="9" t="n">
        <x:v>0.332343481001396</x:v>
      </x:c>
      <x:c r="L178" s="9" t="n">
        <x:v>0.427093383384078</x:v>
      </x:c>
      <x:c r="M178" s="9" t="n">
        <x:v>0</x:v>
      </x:c>
      <x:c r="N178" s="9" t="n">
        <x:v>0</x:v>
      </x:c>
      <x:c r="O178" s="9" t="n">
        <x:v>0.535404026508331</x:v>
      </x:c>
      <x:c r="P178" s="9" t="n">
        <x:v>0.081727124750614</x:v>
      </x:c>
      <x:c r="Q178" s="9" t="n">
        <x:v>73</x:v>
      </x:c>
      <x:c r="R178" s="9" t="n">
        <x:v>13</x:v>
      </x:c>
      <x:c r="S178" s="17" t="b">
        <x:v>0</x:v>
      </x:c>
      <x:c r="T178" s="18"/>
      <x:c r="U178" s="18"/>
    </x:row>
    <x:row r="179" ht="22" customHeight="1">
      <x:c r="A179" s="4" t="str">
        <x:v>TaTS</x:v>
      </x:c>
      <x:c r="B179" s="4" t="str">
        <x:v>Economy</x:v>
      </x:c>
      <x:c r="C179" s="4" t="n">
        <x:v>12</x:v>
      </x:c>
      <x:c r="D179" s="4" t="n">
        <x:v>2028</x:v>
      </x:c>
      <x:c r="E179" s="4" t="str">
        <x:v>no_variance_shrink</x:v>
      </x:c>
      <x:c r="F179" s="9" t="n">
        <x:v>0</x:v>
      </x:c>
      <x:c r="G179" s="9" t="n">
        <x:v>0.202618284588142</x:v>
      </x:c>
      <x:c r="H179" s="9" t="n">
        <x:v>0.359618533419692</x:v>
      </x:c>
      <x:c r="I179" s="9" t="n">
        <x:v>0.202618284588142</x:v>
      </x:c>
      <x:c r="J179" s="9" t="n">
        <x:v>0.359618533419692</x:v>
      </x:c>
      <x:c r="K179" s="9" t="n">
        <x:v>0.201357006089784</x:v>
      </x:c>
      <x:c r="L179" s="9" t="n">
        <x:v>0.35980622885434</x:v>
      </x:c>
      <x:c r="M179" s="9" t="n">
        <x:v>0</x:v>
      </x:c>
      <x:c r="N179" s="9" t="n">
        <x:v>0</x:v>
      </x:c>
      <x:c r="O179" s="9" t="n">
        <x:v>0.47537037730217</x:v>
      </x:c>
      <x:c r="P179" s="9" t="n">
        <x:v>0.07861665636301</x:v>
      </x:c>
      <x:c r="Q179" s="9" t="n">
        <x:v>73</x:v>
      </x:c>
      <x:c r="R179" s="9" t="n">
        <x:v>10</x:v>
      </x:c>
      <x:c r="S179" s="17" t="b">
        <x:v>0</x:v>
      </x:c>
      <x:c r="T179" s="18"/>
      <x:c r="U179" s="18"/>
    </x:row>
    <x:row r="180" ht="22" customHeight="1">
      <x:c r="A180" s="4" t="str">
        <x:v>MM-TSFlib</x:v>
      </x:c>
      <x:c r="B180" s="4" t="str">
        <x:v>Economy</x:v>
      </x:c>
      <x:c r="C180" s="4" t="n">
        <x:v>12</x:v>
      </x:c>
      <x:c r="D180" s="4" t="n">
        <x:v>2028</x:v>
      </x:c>
      <x:c r="E180" s="4" t="str">
        <x:v>no_variance_shrink</x:v>
      </x:c>
      <x:c r="F180" s="9" t="n">
        <x:v>1</x:v>
      </x:c>
      <x:c r="G180" s="9" t="n">
        <x:v>0.98994579563506</x:v>
      </x:c>
      <x:c r="H180" s="9" t="n">
        <x:v>0.827972932255159</x:v>
      </x:c>
      <x:c r="I180" s="9" t="n">
        <x:v>0.955421666269826</x:v>
      </x:c>
      <x:c r="J180" s="9" t="n">
        <x:v>0.813044247732043</x:v>
      </x:c>
      <x:c r="K180" s="9" t="n">
        <x:v>0.955421666269826</x:v>
      </x:c>
      <x:c r="L180" s="9" t="n">
        <x:v>0.813044247732043</x:v>
      </x:c>
      <x:c r="M180" s="9" t="n">
        <x:v>-3.487476740389261</x:v>
      </x:c>
      <x:c r="N180" s="9" t="n">
        <x:v>-1.803040164906722</x:v>
      </x:c>
      <x:c r="O180" s="9" t="n">
        <x:v>0.47537037730217</x:v>
      </x:c>
      <x:c r="P180" s="9" t="n">
        <x:v>0.074009492993355</x:v>
      </x:c>
      <x:c r="Q180" s="9" t="n">
        <x:v>73</x:v>
      </x:c>
      <x:c r="R180" s="9" t="n">
        <x:v>10</x:v>
      </x:c>
      <x:c r="S180" s="17" t="b">
        <x:v>1</x:v>
      </x:c>
      <x:c r="T180" s="18"/>
      <x:c r="U180" s="18"/>
    </x:row>
    <x:row r="181" ht="22" customHeight="1">
      <x:c r="A181" s="4" t="str">
        <x:v>SpecTF</x:v>
      </x:c>
      <x:c r="B181" s="4" t="str">
        <x:v>Economy</x:v>
      </x:c>
      <x:c r="C181" s="4" t="n">
        <x:v>12</x:v>
      </x:c>
      <x:c r="D181" s="4" t="n">
        <x:v>2028</x:v>
      </x:c>
      <x:c r="E181" s="4" t="str">
        <x:v>no_variance_shrink</x:v>
      </x:c>
      <x:c r="F181" s="9" t="n">
        <x:v>0</x:v>
      </x:c>
      <x:c r="G181" s="9" t="n">
        <x:v>0.228452418649981</x:v>
      </x:c>
      <x:c r="H181" s="9" t="n">
        <x:v>0.373276615727982</x:v>
      </x:c>
      <x:c r="I181" s="9" t="n">
        <x:v>0.228452418649981</x:v>
      </x:c>
      <x:c r="J181" s="9" t="n">
        <x:v>0.373276615727982</x:v>
      </x:c>
      <x:c r="K181" s="9" t="n">
        <x:v>0.229272900117552</x:v>
      </x:c>
      <x:c r="L181" s="9" t="n">
        <x:v>0.374081396757196</x:v>
      </x:c>
      <x:c r="M181" s="9" t="n">
        <x:v>0</x:v>
      </x:c>
      <x:c r="N181" s="9" t="n">
        <x:v>0</x:v>
      </x:c>
      <x:c r="O181" s="9" t="n">
        <x:v>0.47537037730217</x:v>
      </x:c>
      <x:c r="P181" s="9" t="n">
        <x:v>0.078620880842209</x:v>
      </x:c>
      <x:c r="Q181" s="9" t="n">
        <x:v>73</x:v>
      </x:c>
      <x:c r="R181" s="9" t="n">
        <x:v>10</x:v>
      </x:c>
      <x:c r="S181" s="17" t="b">
        <x:v>0</x:v>
      </x:c>
      <x:c r="T181" s="18"/>
      <x:c r="U181" s="18"/>
    </x:row>
    <x:row r="182" ht="22" customHeight="1">
      <x:c r="A182" s="4" t="str">
        <x:v>CFA</x:v>
      </x:c>
      <x:c r="B182" s="4" t="str">
        <x:v>Economy</x:v>
      </x:c>
      <x:c r="C182" s="4" t="n">
        <x:v>12</x:v>
      </x:c>
      <x:c r="D182" s="4" t="n">
        <x:v>2028</x:v>
      </x:c>
      <x:c r="E182" s="4" t="str">
        <x:v>no_variance_shrink</x:v>
      </x:c>
      <x:c r="F182" s="9" t="n">
        <x:v>0</x:v>
      </x:c>
      <x:c r="G182" s="9" t="n">
        <x:v>0.236684661766423</x:v>
      </x:c>
      <x:c r="H182" s="9" t="n">
        <x:v>0.385989985781718</x:v>
      </x:c>
      <x:c r="I182" s="9" t="n">
        <x:v>0.236684661766423</x:v>
      </x:c>
      <x:c r="J182" s="9" t="n">
        <x:v>0.385989985781718</x:v>
      </x:c>
      <x:c r="K182" s="9" t="n">
        <x:v>0.233856099469845</x:v>
      </x:c>
      <x:c r="L182" s="9" t="n">
        <x:v>0.38360405907239</x:v>
      </x:c>
      <x:c r="M182" s="9" t="n">
        <x:v>0</x:v>
      </x:c>
      <x:c r="N182" s="9" t="n">
        <x:v>0</x:v>
      </x:c>
      <x:c r="O182" s="9" t="n">
        <x:v>0.47537037730217</x:v>
      </x:c>
      <x:c r="P182" s="9" t="n">
        <x:v>0.078401707112789</x:v>
      </x:c>
      <x:c r="Q182" s="9" t="n">
        <x:v>73</x:v>
      </x:c>
      <x:c r="R182" s="9" t="n">
        <x:v>10</x:v>
      </x:c>
      <x:c r="S182" s="17" t="b">
        <x:v>0</x:v>
      </x:c>
      <x:c r="T182" s="18"/>
      <x:c r="U182" s="18"/>
    </x:row>
    <x:row r="183" ht="22" customHeight="1">
      <x:c r="A183" s="4" t="str">
        <x:v>Aurora</x:v>
      </x:c>
      <x:c r="B183" s="4" t="str">
        <x:v>Economy</x:v>
      </x:c>
      <x:c r="C183" s="4" t="n">
        <x:v>12</x:v>
      </x:c>
      <x:c r="D183" s="4" t="n">
        <x:v>2028</x:v>
      </x:c>
      <x:c r="E183" s="4" t="str">
        <x:v>no_variance_shrink</x:v>
      </x:c>
      <x:c r="F183" s="9" t="n">
        <x:v>0</x:v>
      </x:c>
      <x:c r="G183" s="9" t="n">
        <x:v>0.333877896376475</x:v>
      </x:c>
      <x:c r="H183" s="9" t="n">
        <x:v>0.425290697037357</x:v>
      </x:c>
      <x:c r="I183" s="9" t="n">
        <x:v>0.333877896376475</x:v>
      </x:c>
      <x:c r="J183" s="9" t="n">
        <x:v>0.425290697037357</x:v>
      </x:c>
      <x:c r="K183" s="9" t="n">
        <x:v>0.326397635969827</x:v>
      </x:c>
      <x:c r="L183" s="9" t="n">
        <x:v>0.422345537437152</x:v>
      </x:c>
      <x:c r="M183" s="9" t="n">
        <x:v>0</x:v>
      </x:c>
      <x:c r="N183" s="9" t="n">
        <x:v>0</x:v>
      </x:c>
      <x:c r="O183" s="9" t="n">
        <x:v>0.47537037730217</x:v>
      </x:c>
      <x:c r="P183" s="9" t="n">
        <x:v>0.077641308307648</x:v>
      </x:c>
      <x:c r="Q183" s="9" t="n">
        <x:v>73</x:v>
      </x:c>
      <x:c r="R183" s="9" t="n">
        <x:v>10</x:v>
      </x:c>
      <x:c r="S183" s="17" t="b">
        <x:v>0</x:v>
      </x:c>
      <x:c r="T183" s="18"/>
      <x:c r="U183" s="18"/>
    </x:row>
    <x:row r="184" ht="22" customHeight="1">
      <x:c r="A184" s="4" t="str">
        <x:v>TaTS</x:v>
      </x:c>
      <x:c r="B184" s="4" t="str">
        <x:v>Energy</x:v>
      </x:c>
      <x:c r="C184" s="4" t="n">
        <x:v>12</x:v>
      </x:c>
      <x:c r="D184" s="4" t="n">
        <x:v>2026</x:v>
      </x:c>
      <x:c r="E184" s="4" t="str">
        <x:v>no_variance_shrink</x:v>
      </x:c>
      <x:c r="F184" s="9" t="n">
        <x:v>0</x:v>
      </x:c>
      <x:c r="G184" s="9" t="n">
        <x:v>0.183861160155904</x:v>
      </x:c>
      <x:c r="H184" s="9" t="n">
        <x:v>0.336688694518995</x:v>
      </x:c>
      <x:c r="I184" s="9" t="n">
        <x:v>0.183861160155904</x:v>
      </x:c>
      <x:c r="J184" s="9" t="n">
        <x:v>0.336688694518995</x:v>
      </x:c>
      <x:c r="K184" s="9" t="n">
        <x:v>0.183861160154103</x:v>
      </x:c>
      <x:c r="L184" s="9" t="n">
        <x:v>0.336688694516877</x:v>
      </x:c>
      <x:c r="M184" s="9" t="n">
        <x:v>0</x:v>
      </x:c>
      <x:c r="N184" s="9" t="n">
        <x:v>0</x:v>
      </x:c>
      <x:c r="O184" s="9" t="n">
        <x:v>0.532868266105652</x:v>
      </x:c>
      <x:c r="P184" s="9" t="n">
        <x:v>1.9156e-11</x:v>
      </x:c>
      <x:c r="Q184" s="9" t="n">
        <x:v>284</x:v>
      </x:c>
      <x:c r="R184" s="9" t="n">
        <x:v>0</x:v>
      </x:c>
      <x:c r="S184" s="17" t="b">
        <x:v>0</x:v>
      </x:c>
      <x:c r="T184" s="18"/>
      <x:c r="U184" s="18"/>
    </x:row>
    <x:row r="185" ht="22" customHeight="1">
      <x:c r="A185" s="4" t="str">
        <x:v>MM-TSFlib</x:v>
      </x:c>
      <x:c r="B185" s="4" t="str">
        <x:v>Energy</x:v>
      </x:c>
      <x:c r="C185" s="4" t="n">
        <x:v>12</x:v>
      </x:c>
      <x:c r="D185" s="4" t="n">
        <x:v>2026</x:v>
      </x:c>
      <x:c r="E185" s="4" t="str">
        <x:v>no_variance_shrink</x:v>
      </x:c>
      <x:c r="F185" s="9" t="n">
        <x:v>0</x:v>
      </x:c>
      <x:c r="G185" s="9" t="n">
        <x:v>0.13332712110841</x:v>
      </x:c>
      <x:c r="H185" s="9" t="n">
        <x:v>0.2584491496858</x:v>
      </x:c>
      <x:c r="I185" s="9" t="n">
        <x:v>0.13332712110841</x:v>
      </x:c>
      <x:c r="J185" s="9" t="n">
        <x:v>0.2584491496858</x:v>
      </x:c>
      <x:c r="K185" s="9" t="n">
        <x:v>0.133327121106773</x:v>
      </x:c>
      <x:c r="L185" s="9" t="n">
        <x:v>0.258449149685526</x:v>
      </x:c>
      <x:c r="M185" s="9" t="n">
        <x:v>0</x:v>
      </x:c>
      <x:c r="N185" s="9" t="n">
        <x:v>0</x:v>
      </x:c>
      <x:c r="O185" s="9" t="n">
        <x:v>0.532868266105652</x:v>
      </x:c>
      <x:c r="P185" s="9" t="n">
        <x:v>1.03427e-10</x:v>
      </x:c>
      <x:c r="Q185" s="9" t="n">
        <x:v>284</x:v>
      </x:c>
      <x:c r="R185" s="9" t="n">
        <x:v>0</x:v>
      </x:c>
      <x:c r="S185" s="17" t="b">
        <x:v>0</x:v>
      </x:c>
      <x:c r="T185" s="18"/>
      <x:c r="U185" s="18"/>
    </x:row>
    <x:row r="186" ht="22" customHeight="1">
      <x:c r="A186" s="4" t="str">
        <x:v>SpecTF</x:v>
      </x:c>
      <x:c r="B186" s="4" t="str">
        <x:v>Energy</x:v>
      </x:c>
      <x:c r="C186" s="4" t="n">
        <x:v>12</x:v>
      </x:c>
      <x:c r="D186" s="4" t="n">
        <x:v>2026</x:v>
      </x:c>
      <x:c r="E186" s="4" t="str">
        <x:v>no_variance_shrink</x:v>
      </x:c>
      <x:c r="F186" s="9" t="n">
        <x:v>0</x:v>
      </x:c>
      <x:c r="G186" s="9" t="n">
        <x:v>0.095777299901297</x:v>
      </x:c>
      <x:c r="H186" s="9" t="n">
        <x:v>0.217430789568686</x:v>
      </x:c>
      <x:c r="I186" s="9" t="n">
        <x:v>0.095777299901297</x:v>
      </x:c>
      <x:c r="J186" s="9" t="n">
        <x:v>0.217430789568686</x:v>
      </x:c>
      <x:c r="K186" s="9" t="n">
        <x:v>0.095777299902082</x:v>
      </x:c>
      <x:c r="L186" s="9" t="n">
        <x:v>0.217430789570616</x:v>
      </x:c>
      <x:c r="M186" s="9" t="n">
        <x:v>0</x:v>
      </x:c>
      <x:c r="N186" s="9" t="n">
        <x:v>0</x:v>
      </x:c>
      <x:c r="O186" s="9" t="n">
        <x:v>0.532868266105652</x:v>
      </x:c>
      <x:c r="P186" s="9" t="n">
        <x:v>3.6282e-11</x:v>
      </x:c>
      <x:c r="Q186" s="9" t="n">
        <x:v>284</x:v>
      </x:c>
      <x:c r="R186" s="9" t="n">
        <x:v>0</x:v>
      </x:c>
      <x:c r="S186" s="17" t="b">
        <x:v>0</x:v>
      </x:c>
      <x:c r="T186" s="18"/>
      <x:c r="U186" s="18"/>
    </x:row>
    <x:row r="187" ht="22" customHeight="1">
      <x:c r="A187" s="4" t="str">
        <x:v>CFA</x:v>
      </x:c>
      <x:c r="B187" s="4" t="str">
        <x:v>Energy</x:v>
      </x:c>
      <x:c r="C187" s="4" t="n">
        <x:v>12</x:v>
      </x:c>
      <x:c r="D187" s="4" t="n">
        <x:v>2026</x:v>
      </x:c>
      <x:c r="E187" s="4" t="str">
        <x:v>no_variance_shrink</x:v>
      </x:c>
      <x:c r="F187" s="9" t="n">
        <x:v>0</x:v>
      </x:c>
      <x:c r="G187" s="9" t="n">
        <x:v>0.10983223824033</x:v>
      </x:c>
      <x:c r="H187" s="9" t="n">
        <x:v>0.239653441024739</x:v>
      </x:c>
      <x:c r="I187" s="9" t="n">
        <x:v>0.10983223824033</x:v>
      </x:c>
      <x:c r="J187" s="9" t="n">
        <x:v>0.239653441024739</x:v>
      </x:c>
      <x:c r="K187" s="9" t="n">
        <x:v>0.109832238240181</x:v>
      </x:c>
      <x:c r="L187" s="9" t="n">
        <x:v>0.239653441024905</x:v>
      </x:c>
      <x:c r="M187" s="9" t="n">
        <x:v>0</x:v>
      </x:c>
      <x:c r="N187" s="9" t="n">
        <x:v>0</x:v>
      </x:c>
      <x:c r="O187" s="9" t="n">
        <x:v>0.532868266105652</x:v>
      </x:c>
      <x:c r="P187" s="9" t="n">
        <x:v>3.6797e-11</x:v>
      </x:c>
      <x:c r="Q187" s="9" t="n">
        <x:v>284</x:v>
      </x:c>
      <x:c r="R187" s="9" t="n">
        <x:v>0</x:v>
      </x:c>
      <x:c r="S187" s="17" t="b">
        <x:v>0</x:v>
      </x:c>
      <x:c r="T187" s="18"/>
      <x:c r="U187" s="18"/>
    </x:row>
    <x:row r="188" ht="22" customHeight="1">
      <x:c r="A188" s="4" t="str">
        <x:v>Aurora</x:v>
      </x:c>
      <x:c r="B188" s="4" t="str">
        <x:v>Energy</x:v>
      </x:c>
      <x:c r="C188" s="4" t="n">
        <x:v>12</x:v>
      </x:c>
      <x:c r="D188" s="4" t="n">
        <x:v>2026</x:v>
      </x:c>
      <x:c r="E188" s="4" t="str">
        <x:v>no_variance_shrink</x:v>
      </x:c>
      <x:c r="F188" s="9" t="n">
        <x:v>0</x:v>
      </x:c>
      <x:c r="G188" s="9" t="n">
        <x:v>0.260639629382948</x:v>
      </x:c>
      <x:c r="H188" s="9" t="n">
        <x:v>0.396710379944799</x:v>
      </x:c>
      <x:c r="I188" s="9" t="n">
        <x:v>0.260639629382948</x:v>
      </x:c>
      <x:c r="J188" s="9" t="n">
        <x:v>0.396710379944799</x:v>
      </x:c>
      <x:c r="K188" s="9" t="n">
        <x:v>0.260639629388713</x:v>
      </x:c>
      <x:c r="L188" s="9" t="n">
        <x:v>0.396710379946388</x:v>
      </x:c>
      <x:c r="M188" s="9" t="n">
        <x:v>0</x:v>
      </x:c>
      <x:c r="N188" s="9" t="n">
        <x:v>0</x:v>
      </x:c>
      <x:c r="O188" s="9" t="n">
        <x:v>0.532868266105652</x:v>
      </x:c>
      <x:c r="P188" s="9" t="n">
        <x:v>9.0994e-11</x:v>
      </x:c>
      <x:c r="Q188" s="9" t="n">
        <x:v>284</x:v>
      </x:c>
      <x:c r="R188" s="9" t="n">
        <x:v>0</x:v>
      </x:c>
      <x:c r="S188" s="17" t="b">
        <x:v>0</x:v>
      </x:c>
      <x:c r="T188" s="18"/>
      <x:c r="U188" s="18"/>
    </x:row>
    <x:row r="189" ht="22" customHeight="1">
      <x:c r="A189" s="4" t="str">
        <x:v>TaTS</x:v>
      </x:c>
      <x:c r="B189" s="4" t="str">
        <x:v>Energy</x:v>
      </x:c>
      <x:c r="C189" s="4" t="n">
        <x:v>12</x:v>
      </x:c>
      <x:c r="D189" s="4" t="n">
        <x:v>2027</x:v>
      </x:c>
      <x:c r="E189" s="4" t="str">
        <x:v>no_variance_shrink</x:v>
      </x:c>
      <x:c r="F189" s="9" t="n">
        <x:v>0</x:v>
      </x:c>
      <x:c r="G189" s="9" t="n">
        <x:v>0.183861160155904</x:v>
      </x:c>
      <x:c r="H189" s="9" t="n">
        <x:v>0.336688694518995</x:v>
      </x:c>
      <x:c r="I189" s="9" t="n">
        <x:v>0.183861160155904</x:v>
      </x:c>
      <x:c r="J189" s="9" t="n">
        <x:v>0.336688694518995</x:v>
      </x:c>
      <x:c r="K189" s="9" t="n">
        <x:v>0.183861160154103</x:v>
      </x:c>
      <x:c r="L189" s="9" t="n">
        <x:v>0.336688694516877</x:v>
      </x:c>
      <x:c r="M189" s="9" t="n">
        <x:v>0</x:v>
      </x:c>
      <x:c r="N189" s="9" t="n">
        <x:v>0</x:v>
      </x:c>
      <x:c r="O189" s="9" t="n">
        <x:v>0.480488955974579</x:v>
      </x:c>
      <x:c r="P189" s="9" t="n">
        <x:v>1.9156e-11</x:v>
      </x:c>
      <x:c r="Q189" s="9" t="n">
        <x:v>284</x:v>
      </x:c>
      <x:c r="R189" s="9" t="n">
        <x:v>0</x:v>
      </x:c>
      <x:c r="S189" s="17" t="b">
        <x:v>0</x:v>
      </x:c>
      <x:c r="T189" s="18"/>
      <x:c r="U189" s="18"/>
    </x:row>
    <x:row r="190" ht="22" customHeight="1">
      <x:c r="A190" s="4" t="str">
        <x:v>MM-TSFlib</x:v>
      </x:c>
      <x:c r="B190" s="4" t="str">
        <x:v>Energy</x:v>
      </x:c>
      <x:c r="C190" s="4" t="n">
        <x:v>12</x:v>
      </x:c>
      <x:c r="D190" s="4" t="n">
        <x:v>2027</x:v>
      </x:c>
      <x:c r="E190" s="4" t="str">
        <x:v>no_variance_shrink</x:v>
      </x:c>
      <x:c r="F190" s="9" t="n">
        <x:v>0</x:v>
      </x:c>
      <x:c r="G190" s="9" t="n">
        <x:v>0.13332712110841</x:v>
      </x:c>
      <x:c r="H190" s="9" t="n">
        <x:v>0.2584491496858</x:v>
      </x:c>
      <x:c r="I190" s="9" t="n">
        <x:v>0.13332712110841</x:v>
      </x:c>
      <x:c r="J190" s="9" t="n">
        <x:v>0.2584491496858</x:v>
      </x:c>
      <x:c r="K190" s="9" t="n">
        <x:v>0.133327121106773</x:v>
      </x:c>
      <x:c r="L190" s="9" t="n">
        <x:v>0.258449149685526</x:v>
      </x:c>
      <x:c r="M190" s="9" t="n">
        <x:v>0</x:v>
      </x:c>
      <x:c r="N190" s="9" t="n">
        <x:v>0</x:v>
      </x:c>
      <x:c r="O190" s="9" t="n">
        <x:v>0.480488955974579</x:v>
      </x:c>
      <x:c r="P190" s="9" t="n">
        <x:v>1.03427e-10</x:v>
      </x:c>
      <x:c r="Q190" s="9" t="n">
        <x:v>284</x:v>
      </x:c>
      <x:c r="R190" s="9" t="n">
        <x:v>0</x:v>
      </x:c>
      <x:c r="S190" s="17" t="b">
        <x:v>0</x:v>
      </x:c>
      <x:c r="T190" s="18"/>
      <x:c r="U190" s="18"/>
    </x:row>
    <x:row r="191" ht="22" customHeight="1">
      <x:c r="A191" s="4" t="str">
        <x:v>SpecTF</x:v>
      </x:c>
      <x:c r="B191" s="4" t="str">
        <x:v>Energy</x:v>
      </x:c>
      <x:c r="C191" s="4" t="n">
        <x:v>12</x:v>
      </x:c>
      <x:c r="D191" s="4" t="n">
        <x:v>2027</x:v>
      </x:c>
      <x:c r="E191" s="4" t="str">
        <x:v>no_variance_shrink</x:v>
      </x:c>
      <x:c r="F191" s="9" t="n">
        <x:v>0</x:v>
      </x:c>
      <x:c r="G191" s="9" t="n">
        <x:v>0.095777299901297</x:v>
      </x:c>
      <x:c r="H191" s="9" t="n">
        <x:v>0.217430789568686</x:v>
      </x:c>
      <x:c r="I191" s="9" t="n">
        <x:v>0.095777299901297</x:v>
      </x:c>
      <x:c r="J191" s="9" t="n">
        <x:v>0.217430789568686</x:v>
      </x:c>
      <x:c r="K191" s="9" t="n">
        <x:v>0.095777299902082</x:v>
      </x:c>
      <x:c r="L191" s="9" t="n">
        <x:v>0.217430789570616</x:v>
      </x:c>
      <x:c r="M191" s="9" t="n">
        <x:v>0</x:v>
      </x:c>
      <x:c r="N191" s="9" t="n">
        <x:v>0</x:v>
      </x:c>
      <x:c r="O191" s="9" t="n">
        <x:v>0.480488955974579</x:v>
      </x:c>
      <x:c r="P191" s="9" t="n">
        <x:v>3.6282e-11</x:v>
      </x:c>
      <x:c r="Q191" s="9" t="n">
        <x:v>284</x:v>
      </x:c>
      <x:c r="R191" s="9" t="n">
        <x:v>0</x:v>
      </x:c>
      <x:c r="S191" s="17" t="b">
        <x:v>0</x:v>
      </x:c>
      <x:c r="T191" s="18"/>
      <x:c r="U191" s="18"/>
    </x:row>
    <x:row r="192" ht="22" customHeight="1">
      <x:c r="A192" s="4" t="str">
        <x:v>CFA</x:v>
      </x:c>
      <x:c r="B192" s="4" t="str">
        <x:v>Energy</x:v>
      </x:c>
      <x:c r="C192" s="4" t="n">
        <x:v>12</x:v>
      </x:c>
      <x:c r="D192" s="4" t="n">
        <x:v>2027</x:v>
      </x:c>
      <x:c r="E192" s="4" t="str">
        <x:v>no_variance_shrink</x:v>
      </x:c>
      <x:c r="F192" s="9" t="n">
        <x:v>0</x:v>
      </x:c>
      <x:c r="G192" s="9" t="n">
        <x:v>0.10983223824033</x:v>
      </x:c>
      <x:c r="H192" s="9" t="n">
        <x:v>0.239653441024739</x:v>
      </x:c>
      <x:c r="I192" s="9" t="n">
        <x:v>0.10983223824033</x:v>
      </x:c>
      <x:c r="J192" s="9" t="n">
        <x:v>0.239653441024739</x:v>
      </x:c>
      <x:c r="K192" s="9" t="n">
        <x:v>0.109832238240181</x:v>
      </x:c>
      <x:c r="L192" s="9" t="n">
        <x:v>0.239653441024905</x:v>
      </x:c>
      <x:c r="M192" s="9" t="n">
        <x:v>0</x:v>
      </x:c>
      <x:c r="N192" s="9" t="n">
        <x:v>0</x:v>
      </x:c>
      <x:c r="O192" s="9" t="n">
        <x:v>0.480488955974579</x:v>
      </x:c>
      <x:c r="P192" s="9" t="n">
        <x:v>3.6797e-11</x:v>
      </x:c>
      <x:c r="Q192" s="9" t="n">
        <x:v>284</x:v>
      </x:c>
      <x:c r="R192" s="9" t="n">
        <x:v>0</x:v>
      </x:c>
      <x:c r="S192" s="17" t="b">
        <x:v>0</x:v>
      </x:c>
      <x:c r="T192" s="18"/>
      <x:c r="U192" s="18"/>
    </x:row>
    <x:row r="193" ht="22" customHeight="1">
      <x:c r="A193" s="4" t="str">
        <x:v>Aurora</x:v>
      </x:c>
      <x:c r="B193" s="4" t="str">
        <x:v>Energy</x:v>
      </x:c>
      <x:c r="C193" s="4" t="n">
        <x:v>12</x:v>
      </x:c>
      <x:c r="D193" s="4" t="n">
        <x:v>2027</x:v>
      </x:c>
      <x:c r="E193" s="4" t="str">
        <x:v>no_variance_shrink</x:v>
      </x:c>
      <x:c r="F193" s="9" t="n">
        <x:v>0</x:v>
      </x:c>
      <x:c r="G193" s="9" t="n">
        <x:v>0.260639629382948</x:v>
      </x:c>
      <x:c r="H193" s="9" t="n">
        <x:v>0.396710379944799</x:v>
      </x:c>
      <x:c r="I193" s="9" t="n">
        <x:v>0.260639629382948</x:v>
      </x:c>
      <x:c r="J193" s="9" t="n">
        <x:v>0.396710379944799</x:v>
      </x:c>
      <x:c r="K193" s="9" t="n">
        <x:v>0.260639629388713</x:v>
      </x:c>
      <x:c r="L193" s="9" t="n">
        <x:v>0.396710379946388</x:v>
      </x:c>
      <x:c r="M193" s="9" t="n">
        <x:v>0</x:v>
      </x:c>
      <x:c r="N193" s="9" t="n">
        <x:v>0</x:v>
      </x:c>
      <x:c r="O193" s="9" t="n">
        <x:v>0.480488955974579</x:v>
      </x:c>
      <x:c r="P193" s="9" t="n">
        <x:v>9.0994e-11</x:v>
      </x:c>
      <x:c r="Q193" s="9" t="n">
        <x:v>284</x:v>
      </x:c>
      <x:c r="R193" s="9" t="n">
        <x:v>0</x:v>
      </x:c>
      <x:c r="S193" s="17" t="b">
        <x:v>0</x:v>
      </x:c>
      <x:c r="T193" s="18"/>
      <x:c r="U193" s="18"/>
    </x:row>
    <x:row r="194" ht="22" customHeight="1">
      <x:c r="A194" s="4" t="str">
        <x:v>TaTS</x:v>
      </x:c>
      <x:c r="B194" s="4" t="str">
        <x:v>Energy</x:v>
      </x:c>
      <x:c r="C194" s="4" t="n">
        <x:v>12</x:v>
      </x:c>
      <x:c r="D194" s="4" t="n">
        <x:v>2028</x:v>
      </x:c>
      <x:c r="E194" s="4" t="str">
        <x:v>no_variance_shrink</x:v>
      </x:c>
      <x:c r="F194" s="9" t="n">
        <x:v>0</x:v>
      </x:c>
      <x:c r="G194" s="9" t="n">
        <x:v>0.183861160155904</x:v>
      </x:c>
      <x:c r="H194" s="9" t="n">
        <x:v>0.336688694518995</x:v>
      </x:c>
      <x:c r="I194" s="9" t="n">
        <x:v>0.183861160155904</x:v>
      </x:c>
      <x:c r="J194" s="9" t="n">
        <x:v>0.336688694518995</x:v>
      </x:c>
      <x:c r="K194" s="9" t="n">
        <x:v>0.183861160154103</x:v>
      </x:c>
      <x:c r="L194" s="9" t="n">
        <x:v>0.336688694516877</x:v>
      </x:c>
      <x:c r="M194" s="9" t="n">
        <x:v>0</x:v>
      </x:c>
      <x:c r="N194" s="9" t="n">
        <x:v>0</x:v>
      </x:c>
      <x:c r="O194" s="9" t="n">
        <x:v>0.526911437511444</x:v>
      </x:c>
      <x:c r="P194" s="9" t="n">
        <x:v>1.9156e-11</x:v>
      </x:c>
      <x:c r="Q194" s="9" t="n">
        <x:v>284</x:v>
      </x:c>
      <x:c r="R194" s="9" t="n">
        <x:v>0</x:v>
      </x:c>
      <x:c r="S194" s="17" t="b">
        <x:v>0</x:v>
      </x:c>
      <x:c r="T194" s="18"/>
      <x:c r="U194" s="18"/>
    </x:row>
    <x:row r="195" ht="22" customHeight="1">
      <x:c r="A195" s="4" t="str">
        <x:v>MM-TSFlib</x:v>
      </x:c>
      <x:c r="B195" s="4" t="str">
        <x:v>Energy</x:v>
      </x:c>
      <x:c r="C195" s="4" t="n">
        <x:v>12</x:v>
      </x:c>
      <x:c r="D195" s="4" t="n">
        <x:v>2028</x:v>
      </x:c>
      <x:c r="E195" s="4" t="str">
        <x:v>no_variance_shrink</x:v>
      </x:c>
      <x:c r="F195" s="9" t="n">
        <x:v>0</x:v>
      </x:c>
      <x:c r="G195" s="9" t="n">
        <x:v>0.13332712110841</x:v>
      </x:c>
      <x:c r="H195" s="9" t="n">
        <x:v>0.2584491496858</x:v>
      </x:c>
      <x:c r="I195" s="9" t="n">
        <x:v>0.13332712110841</x:v>
      </x:c>
      <x:c r="J195" s="9" t="n">
        <x:v>0.2584491496858</x:v>
      </x:c>
      <x:c r="K195" s="9" t="n">
        <x:v>0.133327121106773</x:v>
      </x:c>
      <x:c r="L195" s="9" t="n">
        <x:v>0.258449149685526</x:v>
      </x:c>
      <x:c r="M195" s="9" t="n">
        <x:v>0</x:v>
      </x:c>
      <x:c r="N195" s="9" t="n">
        <x:v>0</x:v>
      </x:c>
      <x:c r="O195" s="9" t="n">
        <x:v>0.526911437511444</x:v>
      </x:c>
      <x:c r="P195" s="9" t="n">
        <x:v>1.03427e-10</x:v>
      </x:c>
      <x:c r="Q195" s="9" t="n">
        <x:v>284</x:v>
      </x:c>
      <x:c r="R195" s="9" t="n">
        <x:v>0</x:v>
      </x:c>
      <x:c r="S195" s="17" t="b">
        <x:v>0</x:v>
      </x:c>
      <x:c r="T195" s="18"/>
      <x:c r="U195" s="18"/>
    </x:row>
    <x:row r="196" ht="22" customHeight="1">
      <x:c r="A196" s="4" t="str">
        <x:v>SpecTF</x:v>
      </x:c>
      <x:c r="B196" s="4" t="str">
        <x:v>Energy</x:v>
      </x:c>
      <x:c r="C196" s="4" t="n">
        <x:v>12</x:v>
      </x:c>
      <x:c r="D196" s="4" t="n">
        <x:v>2028</x:v>
      </x:c>
      <x:c r="E196" s="4" t="str">
        <x:v>no_variance_shrink</x:v>
      </x:c>
      <x:c r="F196" s="9" t="n">
        <x:v>0</x:v>
      </x:c>
      <x:c r="G196" s="9" t="n">
        <x:v>0.095777299901297</x:v>
      </x:c>
      <x:c r="H196" s="9" t="n">
        <x:v>0.217430789568686</x:v>
      </x:c>
      <x:c r="I196" s="9" t="n">
        <x:v>0.095777299901297</x:v>
      </x:c>
      <x:c r="J196" s="9" t="n">
        <x:v>0.217430789568686</x:v>
      </x:c>
      <x:c r="K196" s="9" t="n">
        <x:v>0.095777299902082</x:v>
      </x:c>
      <x:c r="L196" s="9" t="n">
        <x:v>0.217430789570616</x:v>
      </x:c>
      <x:c r="M196" s="9" t="n">
        <x:v>0</x:v>
      </x:c>
      <x:c r="N196" s="9" t="n">
        <x:v>0</x:v>
      </x:c>
      <x:c r="O196" s="9" t="n">
        <x:v>0.526911437511444</x:v>
      </x:c>
      <x:c r="P196" s="9" t="n">
        <x:v>3.6282e-11</x:v>
      </x:c>
      <x:c r="Q196" s="9" t="n">
        <x:v>284</x:v>
      </x:c>
      <x:c r="R196" s="9" t="n">
        <x:v>0</x:v>
      </x:c>
      <x:c r="S196" s="17" t="b">
        <x:v>0</x:v>
      </x:c>
      <x:c r="T196" s="18"/>
      <x:c r="U196" s="18"/>
    </x:row>
    <x:row r="197" ht="22" customHeight="1">
      <x:c r="A197" s="4" t="str">
        <x:v>CFA</x:v>
      </x:c>
      <x:c r="B197" s="4" t="str">
        <x:v>Energy</x:v>
      </x:c>
      <x:c r="C197" s="4" t="n">
        <x:v>12</x:v>
      </x:c>
      <x:c r="D197" s="4" t="n">
        <x:v>2028</x:v>
      </x:c>
      <x:c r="E197" s="4" t="str">
        <x:v>no_variance_shrink</x:v>
      </x:c>
      <x:c r="F197" s="9" t="n">
        <x:v>0</x:v>
      </x:c>
      <x:c r="G197" s="9" t="n">
        <x:v>0.10983223824033</x:v>
      </x:c>
      <x:c r="H197" s="9" t="n">
        <x:v>0.239653441024739</x:v>
      </x:c>
      <x:c r="I197" s="9" t="n">
        <x:v>0.10983223824033</x:v>
      </x:c>
      <x:c r="J197" s="9" t="n">
        <x:v>0.239653441024739</x:v>
      </x:c>
      <x:c r="K197" s="9" t="n">
        <x:v>0.109832238240181</x:v>
      </x:c>
      <x:c r="L197" s="9" t="n">
        <x:v>0.239653441024905</x:v>
      </x:c>
      <x:c r="M197" s="9" t="n">
        <x:v>0</x:v>
      </x:c>
      <x:c r="N197" s="9" t="n">
        <x:v>0</x:v>
      </x:c>
      <x:c r="O197" s="9" t="n">
        <x:v>0.526911437511444</x:v>
      </x:c>
      <x:c r="P197" s="9" t="n">
        <x:v>3.6797e-11</x:v>
      </x:c>
      <x:c r="Q197" s="9" t="n">
        <x:v>284</x:v>
      </x:c>
      <x:c r="R197" s="9" t="n">
        <x:v>0</x:v>
      </x:c>
      <x:c r="S197" s="17" t="b">
        <x:v>0</x:v>
      </x:c>
      <x:c r="T197" s="18"/>
      <x:c r="U197" s="18"/>
    </x:row>
    <x:row r="198" ht="22" customHeight="1">
      <x:c r="A198" s="4" t="str">
        <x:v>Aurora</x:v>
      </x:c>
      <x:c r="B198" s="4" t="str">
        <x:v>Energy</x:v>
      </x:c>
      <x:c r="C198" s="4" t="n">
        <x:v>12</x:v>
      </x:c>
      <x:c r="D198" s="4" t="n">
        <x:v>2028</x:v>
      </x:c>
      <x:c r="E198" s="4" t="str">
        <x:v>no_variance_shrink</x:v>
      </x:c>
      <x:c r="F198" s="9" t="n">
        <x:v>0</x:v>
      </x:c>
      <x:c r="G198" s="9" t="n">
        <x:v>0.260639629382948</x:v>
      </x:c>
      <x:c r="H198" s="9" t="n">
        <x:v>0.396710379944799</x:v>
      </x:c>
      <x:c r="I198" s="9" t="n">
        <x:v>0.260639629382948</x:v>
      </x:c>
      <x:c r="J198" s="9" t="n">
        <x:v>0.396710379944799</x:v>
      </x:c>
      <x:c r="K198" s="9" t="n">
        <x:v>0.260639629388713</x:v>
      </x:c>
      <x:c r="L198" s="9" t="n">
        <x:v>0.396710379946388</x:v>
      </x:c>
      <x:c r="M198" s="9" t="n">
        <x:v>0</x:v>
      </x:c>
      <x:c r="N198" s="9" t="n">
        <x:v>0</x:v>
      </x:c>
      <x:c r="O198" s="9" t="n">
        <x:v>0.526911437511444</x:v>
      </x:c>
      <x:c r="P198" s="9" t="n">
        <x:v>9.0994e-11</x:v>
      </x:c>
      <x:c r="Q198" s="9" t="n">
        <x:v>284</x:v>
      </x:c>
      <x:c r="R198" s="9" t="n">
        <x:v>0</x:v>
      </x:c>
      <x:c r="S198" s="17" t="b">
        <x:v>0</x:v>
      </x:c>
      <x:c r="T198" s="18"/>
      <x:c r="U198" s="18"/>
    </x:row>
    <x:row r="199" ht="22" customHeight="1">
      <x:c r="A199" s="4" t="str">
        <x:v>TaTS</x:v>
      </x:c>
      <x:c r="B199" s="4" t="str">
        <x:v>Energy</x:v>
      </x:c>
      <x:c r="C199" s="4" t="n">
        <x:v>24</x:v>
      </x:c>
      <x:c r="D199" s="4" t="n">
        <x:v>2026</x:v>
      </x:c>
      <x:c r="E199" s="4" t="str">
        <x:v>no_variance_shrink</x:v>
      </x:c>
      <x:c r="F199" s="9" t="n">
        <x:v>0</x:v>
      </x:c>
      <x:c r="G199" s="9" t="n">
        <x:v>0.267951351719079</x:v>
      </x:c>
      <x:c r="H199" s="9" t="n">
        <x:v>0.392285640964937</x:v>
      </x:c>
      <x:c r="I199" s="9" t="n">
        <x:v>0.267951351719079</x:v>
      </x:c>
      <x:c r="J199" s="9" t="n">
        <x:v>0.392285640964937</x:v>
      </x:c>
      <x:c r="K199" s="9" t="n">
        <x:v>0.267951351718909</x:v>
      </x:c>
      <x:c r="L199" s="9" t="n">
        <x:v>0.392285640965624</x:v>
      </x:c>
      <x:c r="M199" s="9" t="n">
        <x:v>0</x:v>
      </x:c>
      <x:c r="N199" s="9" t="n">
        <x:v>0</x:v>
      </x:c>
      <x:c r="O199" s="9" t="n">
        <x:v>0.532337546348572</x:v>
      </x:c>
      <x:c r="P199" s="9" t="n">
        <x:v>3.6024e-11</x:v>
      </x:c>
      <x:c r="Q199" s="9" t="n">
        <x:v>272</x:v>
      </x:c>
      <x:c r="R199" s="9" t="n">
        <x:v>0</x:v>
      </x:c>
      <x:c r="S199" s="17" t="b">
        <x:v>0</x:v>
      </x:c>
      <x:c r="T199" s="18"/>
      <x:c r="U199" s="18"/>
    </x:row>
    <x:row r="200" ht="22" customHeight="1">
      <x:c r="A200" s="4" t="str">
        <x:v>MM-TSFlib</x:v>
      </x:c>
      <x:c r="B200" s="4" t="str">
        <x:v>Energy</x:v>
      </x:c>
      <x:c r="C200" s="4" t="n">
        <x:v>24</x:v>
      </x:c>
      <x:c r="D200" s="4" t="n">
        <x:v>2026</x:v>
      </x:c>
      <x:c r="E200" s="4" t="str">
        <x:v>no_variance_shrink</x:v>
      </x:c>
      <x:c r="F200" s="9" t="n">
        <x:v>0</x:v>
      </x:c>
      <x:c r="G200" s="9" t="n">
        <x:v>0.191960595489009</x:v>
      </x:c>
      <x:c r="H200" s="9" t="n">
        <x:v>0.326058221621126</x:v>
      </x:c>
      <x:c r="I200" s="9" t="n">
        <x:v>0.191960595489009</x:v>
      </x:c>
      <x:c r="J200" s="9" t="n">
        <x:v>0.326058221621126</x:v>
      </x:c>
      <x:c r="K200" s="9" t="n">
        <x:v>0.191960595486239</x:v>
      </x:c>
      <x:c r="L200" s="9" t="n">
        <x:v>0.326058221613708</x:v>
      </x:c>
      <x:c r="M200" s="9" t="n">
        <x:v>0</x:v>
      </x:c>
      <x:c r="N200" s="9" t="n">
        <x:v>0</x:v>
      </x:c>
      <x:c r="O200" s="9" t="n">
        <x:v>0.532337546348572</x:v>
      </x:c>
      <x:c r="P200" s="9" t="n">
        <x:v>6.6054e-11</x:v>
      </x:c>
      <x:c r="Q200" s="9" t="n">
        <x:v>272</x:v>
      </x:c>
      <x:c r="R200" s="9" t="n">
        <x:v>0</x:v>
      </x:c>
      <x:c r="S200" s="17" t="b">
        <x:v>0</x:v>
      </x:c>
      <x:c r="T200" s="18"/>
      <x:c r="U200" s="18"/>
    </x:row>
    <x:row r="201" ht="22" customHeight="1">
      <x:c r="A201" s="4" t="str">
        <x:v>SpecTF</x:v>
      </x:c>
      <x:c r="B201" s="4" t="str">
        <x:v>Energy</x:v>
      </x:c>
      <x:c r="C201" s="4" t="n">
        <x:v>24</x:v>
      </x:c>
      <x:c r="D201" s="4" t="n">
        <x:v>2026</x:v>
      </x:c>
      <x:c r="E201" s="4" t="str">
        <x:v>no_variance_shrink</x:v>
      </x:c>
      <x:c r="F201" s="9" t="n">
        <x:v>0</x:v>
      </x:c>
      <x:c r="G201" s="9" t="n">
        <x:v>0.211440134527964</x:v>
      </x:c>
      <x:c r="H201" s="9" t="n">
        <x:v>0.337439583680817</x:v>
      </x:c>
      <x:c r="I201" s="9" t="n">
        <x:v>0.211440134527964</x:v>
      </x:c>
      <x:c r="J201" s="9" t="n">
        <x:v>0.337439583680817</x:v>
      </x:c>
      <x:c r="K201" s="9" t="n">
        <x:v>0.211440134529085</x:v>
      </x:c>
      <x:c r="L201" s="9" t="n">
        <x:v>0.337439583686998</x:v>
      </x:c>
      <x:c r="M201" s="9" t="n">
        <x:v>0</x:v>
      </x:c>
      <x:c r="N201" s="9" t="n">
        <x:v>0</x:v>
      </x:c>
      <x:c r="O201" s="9" t="n">
        <x:v>0.532337546348572</x:v>
      </x:c>
      <x:c r="P201" s="9" t="n">
        <x:v>7.599e-11</x:v>
      </x:c>
      <x:c r="Q201" s="9" t="n">
        <x:v>272</x:v>
      </x:c>
      <x:c r="R201" s="9" t="n">
        <x:v>0</x:v>
      </x:c>
      <x:c r="S201" s="17" t="b">
        <x:v>0</x:v>
      </x:c>
      <x:c r="T201" s="18"/>
      <x:c r="U201" s="18"/>
    </x:row>
    <x:row r="202" ht="22" customHeight="1">
      <x:c r="A202" s="4" t="str">
        <x:v>CFA</x:v>
      </x:c>
      <x:c r="B202" s="4" t="str">
        <x:v>Energy</x:v>
      </x:c>
      <x:c r="C202" s="4" t="n">
        <x:v>24</x:v>
      </x:c>
      <x:c r="D202" s="4" t="n">
        <x:v>2026</x:v>
      </x:c>
      <x:c r="E202" s="4" t="str">
        <x:v>no_variance_shrink</x:v>
      </x:c>
      <x:c r="F202" s="9" t="n">
        <x:v>0</x:v>
      </x:c>
      <x:c r="G202" s="9" t="n">
        <x:v>0.222523818846496</x:v>
      </x:c>
      <x:c r="H202" s="9" t="n">
        <x:v>0.34910632328348</x:v>
      </x:c>
      <x:c r="I202" s="9" t="n">
        <x:v>0.222523818846496</x:v>
      </x:c>
      <x:c r="J202" s="9" t="n">
        <x:v>0.34910632328348</x:v>
      </x:c>
      <x:c r="K202" s="9" t="n">
        <x:v>0.22252381884622</x:v>
      </x:c>
      <x:c r="L202" s="9" t="n">
        <x:v>0.349106323280096</x:v>
      </x:c>
      <x:c r="M202" s="9" t="n">
        <x:v>0</x:v>
      </x:c>
      <x:c r="N202" s="9" t="n">
        <x:v>0</x:v>
      </x:c>
      <x:c r="O202" s="9" t="n">
        <x:v>0.532337546348572</x:v>
      </x:c>
      <x:c r="P202" s="9" t="n">
        <x:v>7.3902e-11</x:v>
      </x:c>
      <x:c r="Q202" s="9" t="n">
        <x:v>272</x:v>
      </x:c>
      <x:c r="R202" s="9" t="n">
        <x:v>0</x:v>
      </x:c>
      <x:c r="S202" s="17" t="b">
        <x:v>0</x:v>
      </x:c>
      <x:c r="T202" s="18"/>
      <x:c r="U202" s="18"/>
    </x:row>
    <x:row r="203" ht="22" customHeight="1">
      <x:c r="A203" s="4" t="str">
        <x:v>Aurora</x:v>
      </x:c>
      <x:c r="B203" s="4" t="str">
        <x:v>Energy</x:v>
      </x:c>
      <x:c r="C203" s="4" t="n">
        <x:v>24</x:v>
      </x:c>
      <x:c r="D203" s="4" t="n">
        <x:v>2026</x:v>
      </x:c>
      <x:c r="E203" s="4" t="str">
        <x:v>no_variance_shrink</x:v>
      </x:c>
      <x:c r="F203" s="9" t="n">
        <x:v>0</x:v>
      </x:c>
      <x:c r="G203" s="9" t="n">
        <x:v>0.316947202403051</x:v>
      </x:c>
      <x:c r="H203" s="9" t="n">
        <x:v>0.440597837258639</x:v>
      </x:c>
      <x:c r="I203" s="9" t="n">
        <x:v>0.316947202403051</x:v>
      </x:c>
      <x:c r="J203" s="9" t="n">
        <x:v>0.440597837258639</x:v>
      </x:c>
      <x:c r="K203" s="9" t="n">
        <x:v>0.316947202396628</x:v>
      </x:c>
      <x:c r="L203" s="9" t="n">
        <x:v>0.44059783724929</x:v>
      </x:c>
      <x:c r="M203" s="9" t="n">
        <x:v>0</x:v>
      </x:c>
      <x:c r="N203" s="9" t="n">
        <x:v>0</x:v>
      </x:c>
      <x:c r="O203" s="9" t="n">
        <x:v>0.532337546348572</x:v>
      </x:c>
      <x:c r="P203" s="9" t="n">
        <x:v>1.66084e-10</x:v>
      </x:c>
      <x:c r="Q203" s="9" t="n">
        <x:v>272</x:v>
      </x:c>
      <x:c r="R203" s="9" t="n">
        <x:v>0</x:v>
      </x:c>
      <x:c r="S203" s="17" t="b">
        <x:v>0</x:v>
      </x:c>
      <x:c r="T203" s="18"/>
      <x:c r="U203" s="18"/>
    </x:row>
    <x:row r="204" ht="22" customHeight="1">
      <x:c r="A204" s="4" t="str">
        <x:v>TaTS</x:v>
      </x:c>
      <x:c r="B204" s="4" t="str">
        <x:v>Energy</x:v>
      </x:c>
      <x:c r="C204" s="4" t="n">
        <x:v>24</x:v>
      </x:c>
      <x:c r="D204" s="4" t="n">
        <x:v>2027</x:v>
      </x:c>
      <x:c r="E204" s="4" t="str">
        <x:v>no_variance_shrink</x:v>
      </x:c>
      <x:c r="F204" s="9" t="n">
        <x:v>0</x:v>
      </x:c>
      <x:c r="G204" s="9" t="n">
        <x:v>0.267951351719079</x:v>
      </x:c>
      <x:c r="H204" s="9" t="n">
        <x:v>0.392285640964937</x:v>
      </x:c>
      <x:c r="I204" s="9" t="n">
        <x:v>0.267951351719079</x:v>
      </x:c>
      <x:c r="J204" s="9" t="n">
        <x:v>0.392285640964937</x:v>
      </x:c>
      <x:c r="K204" s="9" t="n">
        <x:v>0.267951351718909</x:v>
      </x:c>
      <x:c r="L204" s="9" t="n">
        <x:v>0.392285640965624</x:v>
      </x:c>
      <x:c r="M204" s="9" t="n">
        <x:v>0</x:v>
      </x:c>
      <x:c r="N204" s="9" t="n">
        <x:v>0</x:v>
      </x:c>
      <x:c r="O204" s="9" t="n">
        <x:v>0.480532467365265</x:v>
      </x:c>
      <x:c r="P204" s="9" t="n">
        <x:v>3.6024e-11</x:v>
      </x:c>
      <x:c r="Q204" s="9" t="n">
        <x:v>272</x:v>
      </x:c>
      <x:c r="R204" s="9" t="n">
        <x:v>0</x:v>
      </x:c>
      <x:c r="S204" s="17" t="b">
        <x:v>0</x:v>
      </x:c>
      <x:c r="T204" s="18"/>
      <x:c r="U204" s="18"/>
    </x:row>
    <x:row r="205" ht="22" customHeight="1">
      <x:c r="A205" s="4" t="str">
        <x:v>MM-TSFlib</x:v>
      </x:c>
      <x:c r="B205" s="4" t="str">
        <x:v>Energy</x:v>
      </x:c>
      <x:c r="C205" s="4" t="n">
        <x:v>24</x:v>
      </x:c>
      <x:c r="D205" s="4" t="n">
        <x:v>2027</x:v>
      </x:c>
      <x:c r="E205" s="4" t="str">
        <x:v>no_variance_shrink</x:v>
      </x:c>
      <x:c r="F205" s="9" t="n">
        <x:v>0</x:v>
      </x:c>
      <x:c r="G205" s="9" t="n">
        <x:v>0.191960595489009</x:v>
      </x:c>
      <x:c r="H205" s="9" t="n">
        <x:v>0.326058221621126</x:v>
      </x:c>
      <x:c r="I205" s="9" t="n">
        <x:v>0.191960595489009</x:v>
      </x:c>
      <x:c r="J205" s="9" t="n">
        <x:v>0.326058221621126</x:v>
      </x:c>
      <x:c r="K205" s="9" t="n">
        <x:v>0.191960595486239</x:v>
      </x:c>
      <x:c r="L205" s="9" t="n">
        <x:v>0.326058221613708</x:v>
      </x:c>
      <x:c r="M205" s="9" t="n">
        <x:v>0</x:v>
      </x:c>
      <x:c r="N205" s="9" t="n">
        <x:v>0</x:v>
      </x:c>
      <x:c r="O205" s="9" t="n">
        <x:v>0.480532467365265</x:v>
      </x:c>
      <x:c r="P205" s="9" t="n">
        <x:v>6.6054e-11</x:v>
      </x:c>
      <x:c r="Q205" s="9" t="n">
        <x:v>272</x:v>
      </x:c>
      <x:c r="R205" s="9" t="n">
        <x:v>0</x:v>
      </x:c>
      <x:c r="S205" s="17" t="b">
        <x:v>0</x:v>
      </x:c>
      <x:c r="T205" s="18"/>
      <x:c r="U205" s="18"/>
    </x:row>
    <x:row r="206" ht="22" customHeight="1">
      <x:c r="A206" s="4" t="str">
        <x:v>SpecTF</x:v>
      </x:c>
      <x:c r="B206" s="4" t="str">
        <x:v>Energy</x:v>
      </x:c>
      <x:c r="C206" s="4" t="n">
        <x:v>24</x:v>
      </x:c>
      <x:c r="D206" s="4" t="n">
        <x:v>2027</x:v>
      </x:c>
      <x:c r="E206" s="4" t="str">
        <x:v>no_variance_shrink</x:v>
      </x:c>
      <x:c r="F206" s="9" t="n">
        <x:v>0</x:v>
      </x:c>
      <x:c r="G206" s="9" t="n">
        <x:v>0.211440134527964</x:v>
      </x:c>
      <x:c r="H206" s="9" t="n">
        <x:v>0.337439583680817</x:v>
      </x:c>
      <x:c r="I206" s="9" t="n">
        <x:v>0.211440134527964</x:v>
      </x:c>
      <x:c r="J206" s="9" t="n">
        <x:v>0.337439583680817</x:v>
      </x:c>
      <x:c r="K206" s="9" t="n">
        <x:v>0.211440134529085</x:v>
      </x:c>
      <x:c r="L206" s="9" t="n">
        <x:v>0.337439583686998</x:v>
      </x:c>
      <x:c r="M206" s="9" t="n">
        <x:v>0</x:v>
      </x:c>
      <x:c r="N206" s="9" t="n">
        <x:v>0</x:v>
      </x:c>
      <x:c r="O206" s="9" t="n">
        <x:v>0.480532467365265</x:v>
      </x:c>
      <x:c r="P206" s="9" t="n">
        <x:v>7.599e-11</x:v>
      </x:c>
      <x:c r="Q206" s="9" t="n">
        <x:v>272</x:v>
      </x:c>
      <x:c r="R206" s="9" t="n">
        <x:v>0</x:v>
      </x:c>
      <x:c r="S206" s="17" t="b">
        <x:v>0</x:v>
      </x:c>
      <x:c r="T206" s="18"/>
      <x:c r="U206" s="18"/>
    </x:row>
    <x:row r="207" ht="22" customHeight="1">
      <x:c r="A207" s="4" t="str">
        <x:v>CFA</x:v>
      </x:c>
      <x:c r="B207" s="4" t="str">
        <x:v>Energy</x:v>
      </x:c>
      <x:c r="C207" s="4" t="n">
        <x:v>24</x:v>
      </x:c>
      <x:c r="D207" s="4" t="n">
        <x:v>2027</x:v>
      </x:c>
      <x:c r="E207" s="4" t="str">
        <x:v>no_variance_shrink</x:v>
      </x:c>
      <x:c r="F207" s="9" t="n">
        <x:v>0</x:v>
      </x:c>
      <x:c r="G207" s="9" t="n">
        <x:v>0.222523818846496</x:v>
      </x:c>
      <x:c r="H207" s="9" t="n">
        <x:v>0.34910632328348</x:v>
      </x:c>
      <x:c r="I207" s="9" t="n">
        <x:v>0.222523818846496</x:v>
      </x:c>
      <x:c r="J207" s="9" t="n">
        <x:v>0.34910632328348</x:v>
      </x:c>
      <x:c r="K207" s="9" t="n">
        <x:v>0.22252381884622</x:v>
      </x:c>
      <x:c r="L207" s="9" t="n">
        <x:v>0.349106323280096</x:v>
      </x:c>
      <x:c r="M207" s="9" t="n">
        <x:v>0</x:v>
      </x:c>
      <x:c r="N207" s="9" t="n">
        <x:v>0</x:v>
      </x:c>
      <x:c r="O207" s="9" t="n">
        <x:v>0.480532467365265</x:v>
      </x:c>
      <x:c r="P207" s="9" t="n">
        <x:v>7.3902e-11</x:v>
      </x:c>
      <x:c r="Q207" s="9" t="n">
        <x:v>272</x:v>
      </x:c>
      <x:c r="R207" s="9" t="n">
        <x:v>0</x:v>
      </x:c>
      <x:c r="S207" s="17" t="b">
        <x:v>0</x:v>
      </x:c>
      <x:c r="T207" s="18"/>
      <x:c r="U207" s="18"/>
    </x:row>
    <x:row r="208" ht="22" customHeight="1">
      <x:c r="A208" s="4" t="str">
        <x:v>Aurora</x:v>
      </x:c>
      <x:c r="B208" s="4" t="str">
        <x:v>Energy</x:v>
      </x:c>
      <x:c r="C208" s="4" t="n">
        <x:v>24</x:v>
      </x:c>
      <x:c r="D208" s="4" t="n">
        <x:v>2027</x:v>
      </x:c>
      <x:c r="E208" s="4" t="str">
        <x:v>no_variance_shrink</x:v>
      </x:c>
      <x:c r="F208" s="9" t="n">
        <x:v>0</x:v>
      </x:c>
      <x:c r="G208" s="9" t="n">
        <x:v>0.316947202403051</x:v>
      </x:c>
      <x:c r="H208" s="9" t="n">
        <x:v>0.440597837258639</x:v>
      </x:c>
      <x:c r="I208" s="9" t="n">
        <x:v>0.316947202403051</x:v>
      </x:c>
      <x:c r="J208" s="9" t="n">
        <x:v>0.440597837258639</x:v>
      </x:c>
      <x:c r="K208" s="9" t="n">
        <x:v>0.316947202396628</x:v>
      </x:c>
      <x:c r="L208" s="9" t="n">
        <x:v>0.44059783724929</x:v>
      </x:c>
      <x:c r="M208" s="9" t="n">
        <x:v>0</x:v>
      </x:c>
      <x:c r="N208" s="9" t="n">
        <x:v>0</x:v>
      </x:c>
      <x:c r="O208" s="9" t="n">
        <x:v>0.480532467365265</x:v>
      </x:c>
      <x:c r="P208" s="9" t="n">
        <x:v>1.66084e-10</x:v>
      </x:c>
      <x:c r="Q208" s="9" t="n">
        <x:v>272</x:v>
      </x:c>
      <x:c r="R208" s="9" t="n">
        <x:v>0</x:v>
      </x:c>
      <x:c r="S208" s="17" t="b">
        <x:v>0</x:v>
      </x:c>
      <x:c r="T208" s="18"/>
      <x:c r="U208" s="18"/>
    </x:row>
    <x:row r="209" ht="22" customHeight="1">
      <x:c r="A209" s="4" t="str">
        <x:v>TaTS</x:v>
      </x:c>
      <x:c r="B209" s="4" t="str">
        <x:v>Energy</x:v>
      </x:c>
      <x:c r="C209" s="4" t="n">
        <x:v>24</x:v>
      </x:c>
      <x:c r="D209" s="4" t="n">
        <x:v>2028</x:v>
      </x:c>
      <x:c r="E209" s="4" t="str">
        <x:v>no_variance_shrink</x:v>
      </x:c>
      <x:c r="F209" s="9" t="n">
        <x:v>0</x:v>
      </x:c>
      <x:c r="G209" s="9" t="n">
        <x:v>0.267951351719079</x:v>
      </x:c>
      <x:c r="H209" s="9" t="n">
        <x:v>0.392285640964937</x:v>
      </x:c>
      <x:c r="I209" s="9" t="n">
        <x:v>0.267951351719079</x:v>
      </x:c>
      <x:c r="J209" s="9" t="n">
        <x:v>0.392285640964937</x:v>
      </x:c>
      <x:c r="K209" s="9" t="n">
        <x:v>0.267951351718909</x:v>
      </x:c>
      <x:c r="L209" s="9" t="n">
        <x:v>0.392285640965624</x:v>
      </x:c>
      <x:c r="M209" s="9" t="n">
        <x:v>0</x:v>
      </x:c>
      <x:c r="N209" s="9" t="n">
        <x:v>0</x:v>
      </x:c>
      <x:c r="O209" s="9" t="n">
        <x:v>0.52682638168335</x:v>
      </x:c>
      <x:c r="P209" s="9" t="n">
        <x:v>3.6024e-11</x:v>
      </x:c>
      <x:c r="Q209" s="9" t="n">
        <x:v>272</x:v>
      </x:c>
      <x:c r="R209" s="9" t="n">
        <x:v>0</x:v>
      </x:c>
      <x:c r="S209" s="17" t="b">
        <x:v>0</x:v>
      </x:c>
      <x:c r="T209" s="18"/>
      <x:c r="U209" s="18"/>
    </x:row>
    <x:row r="210" ht="22" customHeight="1">
      <x:c r="A210" s="4" t="str">
        <x:v>MM-TSFlib</x:v>
      </x:c>
      <x:c r="B210" s="4" t="str">
        <x:v>Energy</x:v>
      </x:c>
      <x:c r="C210" s="4" t="n">
        <x:v>24</x:v>
      </x:c>
      <x:c r="D210" s="4" t="n">
        <x:v>2028</x:v>
      </x:c>
      <x:c r="E210" s="4" t="str">
        <x:v>no_variance_shrink</x:v>
      </x:c>
      <x:c r="F210" s="9" t="n">
        <x:v>0</x:v>
      </x:c>
      <x:c r="G210" s="9" t="n">
        <x:v>0.191960595489009</x:v>
      </x:c>
      <x:c r="H210" s="9" t="n">
        <x:v>0.326058221621126</x:v>
      </x:c>
      <x:c r="I210" s="9" t="n">
        <x:v>0.191960595489009</x:v>
      </x:c>
      <x:c r="J210" s="9" t="n">
        <x:v>0.326058221621126</x:v>
      </x:c>
      <x:c r="K210" s="9" t="n">
        <x:v>0.191960595486239</x:v>
      </x:c>
      <x:c r="L210" s="9" t="n">
        <x:v>0.326058221613708</x:v>
      </x:c>
      <x:c r="M210" s="9" t="n">
        <x:v>0</x:v>
      </x:c>
      <x:c r="N210" s="9" t="n">
        <x:v>0</x:v>
      </x:c>
      <x:c r="O210" s="9" t="n">
        <x:v>0.52682638168335</x:v>
      </x:c>
      <x:c r="P210" s="9" t="n">
        <x:v>6.6054e-11</x:v>
      </x:c>
      <x:c r="Q210" s="9" t="n">
        <x:v>272</x:v>
      </x:c>
      <x:c r="R210" s="9" t="n">
        <x:v>0</x:v>
      </x:c>
      <x:c r="S210" s="17" t="b">
        <x:v>0</x:v>
      </x:c>
      <x:c r="T210" s="18"/>
      <x:c r="U210" s="18"/>
    </x:row>
    <x:row r="211" ht="22" customHeight="1">
      <x:c r="A211" s="4" t="str">
        <x:v>SpecTF</x:v>
      </x:c>
      <x:c r="B211" s="4" t="str">
        <x:v>Energy</x:v>
      </x:c>
      <x:c r="C211" s="4" t="n">
        <x:v>24</x:v>
      </x:c>
      <x:c r="D211" s="4" t="n">
        <x:v>2028</x:v>
      </x:c>
      <x:c r="E211" s="4" t="str">
        <x:v>no_variance_shrink</x:v>
      </x:c>
      <x:c r="F211" s="9" t="n">
        <x:v>0</x:v>
      </x:c>
      <x:c r="G211" s="9" t="n">
        <x:v>0.211440134527964</x:v>
      </x:c>
      <x:c r="H211" s="9" t="n">
        <x:v>0.337439583680817</x:v>
      </x:c>
      <x:c r="I211" s="9" t="n">
        <x:v>0.211440134527964</x:v>
      </x:c>
      <x:c r="J211" s="9" t="n">
        <x:v>0.337439583680817</x:v>
      </x:c>
      <x:c r="K211" s="9" t="n">
        <x:v>0.211440134529085</x:v>
      </x:c>
      <x:c r="L211" s="9" t="n">
        <x:v>0.337439583686998</x:v>
      </x:c>
      <x:c r="M211" s="9" t="n">
        <x:v>0</x:v>
      </x:c>
      <x:c r="N211" s="9" t="n">
        <x:v>0</x:v>
      </x:c>
      <x:c r="O211" s="9" t="n">
        <x:v>0.52682638168335</x:v>
      </x:c>
      <x:c r="P211" s="9" t="n">
        <x:v>7.599e-11</x:v>
      </x:c>
      <x:c r="Q211" s="9" t="n">
        <x:v>272</x:v>
      </x:c>
      <x:c r="R211" s="9" t="n">
        <x:v>0</x:v>
      </x:c>
      <x:c r="S211" s="17" t="b">
        <x:v>0</x:v>
      </x:c>
      <x:c r="T211" s="18"/>
      <x:c r="U211" s="18"/>
    </x:row>
    <x:row r="212" ht="22" customHeight="1">
      <x:c r="A212" s="4" t="str">
        <x:v>CFA</x:v>
      </x:c>
      <x:c r="B212" s="4" t="str">
        <x:v>Energy</x:v>
      </x:c>
      <x:c r="C212" s="4" t="n">
        <x:v>24</x:v>
      </x:c>
      <x:c r="D212" s="4" t="n">
        <x:v>2028</x:v>
      </x:c>
      <x:c r="E212" s="4" t="str">
        <x:v>no_variance_shrink</x:v>
      </x:c>
      <x:c r="F212" s="9" t="n">
        <x:v>0</x:v>
      </x:c>
      <x:c r="G212" s="9" t="n">
        <x:v>0.222523818846496</x:v>
      </x:c>
      <x:c r="H212" s="9" t="n">
        <x:v>0.34910632328348</x:v>
      </x:c>
      <x:c r="I212" s="9" t="n">
        <x:v>0.222523818846496</x:v>
      </x:c>
      <x:c r="J212" s="9" t="n">
        <x:v>0.34910632328348</x:v>
      </x:c>
      <x:c r="K212" s="9" t="n">
        <x:v>0.22252381884622</x:v>
      </x:c>
      <x:c r="L212" s="9" t="n">
        <x:v>0.349106323280096</x:v>
      </x:c>
      <x:c r="M212" s="9" t="n">
        <x:v>0</x:v>
      </x:c>
      <x:c r="N212" s="9" t="n">
        <x:v>0</x:v>
      </x:c>
      <x:c r="O212" s="9" t="n">
        <x:v>0.52682638168335</x:v>
      </x:c>
      <x:c r="P212" s="9" t="n">
        <x:v>7.3902e-11</x:v>
      </x:c>
      <x:c r="Q212" s="9" t="n">
        <x:v>272</x:v>
      </x:c>
      <x:c r="R212" s="9" t="n">
        <x:v>0</x:v>
      </x:c>
      <x:c r="S212" s="17" t="b">
        <x:v>0</x:v>
      </x:c>
      <x:c r="T212" s="18"/>
      <x:c r="U212" s="18"/>
    </x:row>
    <x:row r="213" ht="22" customHeight="1">
      <x:c r="A213" s="4" t="str">
        <x:v>Aurora</x:v>
      </x:c>
      <x:c r="B213" s="4" t="str">
        <x:v>Energy</x:v>
      </x:c>
      <x:c r="C213" s="4" t="n">
        <x:v>24</x:v>
      </x:c>
      <x:c r="D213" s="4" t="n">
        <x:v>2028</x:v>
      </x:c>
      <x:c r="E213" s="4" t="str">
        <x:v>no_variance_shrink</x:v>
      </x:c>
      <x:c r="F213" s="9" t="n">
        <x:v>0</x:v>
      </x:c>
      <x:c r="G213" s="9" t="n">
        <x:v>0.316947202403051</x:v>
      </x:c>
      <x:c r="H213" s="9" t="n">
        <x:v>0.440597837258639</x:v>
      </x:c>
      <x:c r="I213" s="9" t="n">
        <x:v>0.316947202403051</x:v>
      </x:c>
      <x:c r="J213" s="9" t="n">
        <x:v>0.440597837258639</x:v>
      </x:c>
      <x:c r="K213" s="9" t="n">
        <x:v>0.316947202396628</x:v>
      </x:c>
      <x:c r="L213" s="9" t="n">
        <x:v>0.44059783724929</x:v>
      </x:c>
      <x:c r="M213" s="9" t="n">
        <x:v>0</x:v>
      </x:c>
      <x:c r="N213" s="9" t="n">
        <x:v>0</x:v>
      </x:c>
      <x:c r="O213" s="9" t="n">
        <x:v>0.52682638168335</x:v>
      </x:c>
      <x:c r="P213" s="9" t="n">
        <x:v>1.66084e-10</x:v>
      </x:c>
      <x:c r="Q213" s="9" t="n">
        <x:v>272</x:v>
      </x:c>
      <x:c r="R213" s="9" t="n">
        <x:v>0</x:v>
      </x:c>
      <x:c r="S213" s="17" t="b">
        <x:v>0</x:v>
      </x:c>
      <x:c r="T213" s="18"/>
      <x:c r="U213" s="18"/>
    </x:row>
    <x:row r="214" ht="22" customHeight="1">
      <x:c r="A214" s="4" t="str">
        <x:v>TaTS</x:v>
      </x:c>
      <x:c r="B214" s="4" t="str">
        <x:v>Energy</x:v>
      </x:c>
      <x:c r="C214" s="4" t="n">
        <x:v>36</x:v>
      </x:c>
      <x:c r="D214" s="4" t="n">
        <x:v>2026</x:v>
      </x:c>
      <x:c r="E214" s="4" t="str">
        <x:v>no_variance_shrink</x:v>
      </x:c>
      <x:c r="F214" s="9" t="n">
        <x:v>0</x:v>
      </x:c>
      <x:c r="G214" s="9" t="n">
        <x:v>0.366934497515655</x:v>
      </x:c>
      <x:c r="H214" s="9" t="n">
        <x:v>0.45734456458117</x:v>
      </x:c>
      <x:c r="I214" s="9" t="n">
        <x:v>0.366934497515655</x:v>
      </x:c>
      <x:c r="J214" s="9" t="n">
        <x:v>0.45734456458117</x:v>
      </x:c>
      <x:c r="K214" s="9" t="n">
        <x:v>0.36693449751589</x:v>
      </x:c>
      <x:c r="L214" s="9" t="n">
        <x:v>0.457344564582986</x:v>
      </x:c>
      <x:c r="M214" s="9" t="n">
        <x:v>0</x:v>
      </x:c>
      <x:c r="N214" s="9" t="n">
        <x:v>0</x:v>
      </x:c>
      <x:c r="O214" s="9" t="n">
        <x:v>0.53253161907196</x:v>
      </x:c>
      <x:c r="P214" s="9" t="n">
        <x:v>2.8364e-11</x:v>
      </x:c>
      <x:c r="Q214" s="9" t="n">
        <x:v>260</x:v>
      </x:c>
      <x:c r="R214" s="9" t="n">
        <x:v>0</x:v>
      </x:c>
      <x:c r="S214" s="17" t="b">
        <x:v>0</x:v>
      </x:c>
      <x:c r="T214" s="18"/>
      <x:c r="U214" s="18"/>
    </x:row>
    <x:row r="215" ht="22" customHeight="1">
      <x:c r="A215" s="4" t="str">
        <x:v>MM-TSFlib</x:v>
      </x:c>
      <x:c r="B215" s="4" t="str">
        <x:v>Energy</x:v>
      </x:c>
      <x:c r="C215" s="4" t="n">
        <x:v>36</x:v>
      </x:c>
      <x:c r="D215" s="4" t="n">
        <x:v>2026</x:v>
      </x:c>
      <x:c r="E215" s="4" t="str">
        <x:v>no_variance_shrink</x:v>
      </x:c>
      <x:c r="F215" s="9" t="n">
        <x:v>0.75</x:v>
      </x:c>
      <x:c r="G215" s="9" t="n">
        <x:v>0.334967240565299</x:v>
      </x:c>
      <x:c r="H215" s="9" t="n">
        <x:v>0.445736902378986</x:v>
      </x:c>
      <x:c r="I215" s="9" t="n">
        <x:v>0.334967240565416</x:v>
      </x:c>
      <x:c r="J215" s="9" t="n">
        <x:v>0.445736902379303</x:v>
      </x:c>
      <x:c r="K215" s="9" t="n">
        <x:v>0.33496724056547</x:v>
      </x:c>
      <x:c r="L215" s="9" t="n">
        <x:v>0.445736902379303</x:v>
      </x:c>
      <x:c r="M215" s="9" t="n">
        <x:v>3.5061e-11</x:v>
      </x:c>
      <x:c r="N215" s="9" t="n">
        <x:v>7.1165e-11</x:v>
      </x:c>
      <x:c r="O215" s="9" t="n">
        <x:v>0.53253161907196</x:v>
      </x:c>
      <x:c r="P215" s="9" t="n">
        <x:v>6.3803e-11</x:v>
      </x:c>
      <x:c r="Q215" s="9" t="n">
        <x:v>260</x:v>
      </x:c>
      <x:c r="R215" s="9" t="n">
        <x:v>0</x:v>
      </x:c>
      <x:c r="S215" s="17" t="b">
        <x:v>0</x:v>
      </x:c>
      <x:c r="T215" s="18"/>
      <x:c r="U215" s="18"/>
    </x:row>
    <x:row r="216" ht="22" customHeight="1">
      <x:c r="A216" s="4" t="str">
        <x:v>SpecTF</x:v>
      </x:c>
      <x:c r="B216" s="4" t="str">
        <x:v>Energy</x:v>
      </x:c>
      <x:c r="C216" s="4" t="n">
        <x:v>36</x:v>
      </x:c>
      <x:c r="D216" s="4" t="n">
        <x:v>2026</x:v>
      </x:c>
      <x:c r="E216" s="4" t="str">
        <x:v>no_variance_shrink</x:v>
      </x:c>
      <x:c r="F216" s="9" t="n">
        <x:v>0</x:v>
      </x:c>
      <x:c r="G216" s="9" t="n">
        <x:v>0.306159764163748</x:v>
      </x:c>
      <x:c r="H216" s="9" t="n">
        <x:v>0.408370878198766</x:v>
      </x:c>
      <x:c r="I216" s="9" t="n">
        <x:v>0.306159764163748</x:v>
      </x:c>
      <x:c r="J216" s="9" t="n">
        <x:v>0.408370878198766</x:v>
      </x:c>
      <x:c r="K216" s="9" t="n">
        <x:v>0.306159764163848</x:v>
      </x:c>
      <x:c r="L216" s="9" t="n">
        <x:v>0.408370878200717</x:v>
      </x:c>
      <x:c r="M216" s="9" t="n">
        <x:v>0</x:v>
      </x:c>
      <x:c r="N216" s="9" t="n">
        <x:v>0</x:v>
      </x:c>
      <x:c r="O216" s="9" t="n">
        <x:v>0.53253161907196</x:v>
      </x:c>
      <x:c r="P216" s="9" t="n">
        <x:v>1.34478e-10</x:v>
      </x:c>
      <x:c r="Q216" s="9" t="n">
        <x:v>260</x:v>
      </x:c>
      <x:c r="R216" s="9" t="n">
        <x:v>0</x:v>
      </x:c>
      <x:c r="S216" s="17" t="b">
        <x:v>0</x:v>
      </x:c>
      <x:c r="T216" s="18"/>
      <x:c r="U216" s="18"/>
    </x:row>
    <x:row r="217" ht="22" customHeight="1">
      <x:c r="A217" s="4" t="str">
        <x:v>CFA</x:v>
      </x:c>
      <x:c r="B217" s="4" t="str">
        <x:v>Energy</x:v>
      </x:c>
      <x:c r="C217" s="4" t="n">
        <x:v>36</x:v>
      </x:c>
      <x:c r="D217" s="4" t="n">
        <x:v>2026</x:v>
      </x:c>
      <x:c r="E217" s="4" t="str">
        <x:v>no_variance_shrink</x:v>
      </x:c>
      <x:c r="F217" s="9" t="n">
        <x:v>0</x:v>
      </x:c>
      <x:c r="G217" s="9" t="n">
        <x:v>0.376386659782646</x:v>
      </x:c>
      <x:c r="H217" s="9" t="n">
        <x:v>0.456629963560054</x:v>
      </x:c>
      <x:c r="I217" s="9" t="n">
        <x:v>0.376386659782646</x:v>
      </x:c>
      <x:c r="J217" s="9" t="n">
        <x:v>0.456629963560054</x:v>
      </x:c>
      <x:c r="K217" s="9" t="n">
        <x:v>0.376386659785202</x:v>
      </x:c>
      <x:c r="L217" s="9" t="n">
        <x:v>0.456629963564559</x:v>
      </x:c>
      <x:c r="M217" s="9" t="n">
        <x:v>0</x:v>
      </x:c>
      <x:c r="N217" s="9" t="n">
        <x:v>0</x:v>
      </x:c>
      <x:c r="O217" s="9" t="n">
        <x:v>0.53253161907196</x:v>
      </x:c>
      <x:c r="P217" s="9" t="n">
        <x:v>6.3412e-11</x:v>
      </x:c>
      <x:c r="Q217" s="9" t="n">
        <x:v>260</x:v>
      </x:c>
      <x:c r="R217" s="9" t="n">
        <x:v>0</x:v>
      </x:c>
      <x:c r="S217" s="17" t="b">
        <x:v>0</x:v>
      </x:c>
      <x:c r="T217" s="18"/>
      <x:c r="U217" s="18"/>
    </x:row>
    <x:row r="218" ht="22" customHeight="1">
      <x:c r="A218" s="4" t="str">
        <x:v>Aurora</x:v>
      </x:c>
      <x:c r="B218" s="4" t="str">
        <x:v>Energy</x:v>
      </x:c>
      <x:c r="C218" s="4" t="n">
        <x:v>36</x:v>
      </x:c>
      <x:c r="D218" s="4" t="n">
        <x:v>2026</x:v>
      </x:c>
      <x:c r="E218" s="4" t="str">
        <x:v>no_variance_shrink</x:v>
      </x:c>
      <x:c r="F218" s="9" t="n">
        <x:v>0</x:v>
      </x:c>
      <x:c r="G218" s="9" t="n">
        <x:v>0.396047499253937</x:v>
      </x:c>
      <x:c r="H218" s="9" t="n">
        <x:v>0.490885664886746</x:v>
      </x:c>
      <x:c r="I218" s="9" t="n">
        <x:v>0.396047499253937</x:v>
      </x:c>
      <x:c r="J218" s="9" t="n">
        <x:v>0.490885664886746</x:v>
      </x:c>
      <x:c r="K218" s="9" t="n">
        <x:v>0.396047499247853</x:v>
      </x:c>
      <x:c r="L218" s="9" t="n">
        <x:v>0.4908856648834</x:v>
      </x:c>
      <x:c r="M218" s="9" t="n">
        <x:v>0</x:v>
      </x:c>
      <x:c r="N218" s="9" t="n">
        <x:v>0</x:v>
      </x:c>
      <x:c r="O218" s="9" t="n">
        <x:v>0.53253161907196</x:v>
      </x:c>
      <x:c r="P218" s="9" t="n">
        <x:v>1.65987e-10</x:v>
      </x:c>
      <x:c r="Q218" s="9" t="n">
        <x:v>260</x:v>
      </x:c>
      <x:c r="R218" s="9" t="n">
        <x:v>0</x:v>
      </x:c>
      <x:c r="S218" s="17" t="b">
        <x:v>0</x:v>
      </x:c>
      <x:c r="T218" s="18"/>
      <x:c r="U218" s="18"/>
    </x:row>
    <x:row r="219" ht="22" customHeight="1">
      <x:c r="A219" s="4" t="str">
        <x:v>TaTS</x:v>
      </x:c>
      <x:c r="B219" s="4" t="str">
        <x:v>Energy</x:v>
      </x:c>
      <x:c r="C219" s="4" t="n">
        <x:v>36</x:v>
      </x:c>
      <x:c r="D219" s="4" t="n">
        <x:v>2027</x:v>
      </x:c>
      <x:c r="E219" s="4" t="str">
        <x:v>no_variance_shrink</x:v>
      </x:c>
      <x:c r="F219" s="9" t="n">
        <x:v>0</x:v>
      </x:c>
      <x:c r="G219" s="9" t="n">
        <x:v>0.366934497515655</x:v>
      </x:c>
      <x:c r="H219" s="9" t="n">
        <x:v>0.45734456458117</x:v>
      </x:c>
      <x:c r="I219" s="9" t="n">
        <x:v>0.366934497515655</x:v>
      </x:c>
      <x:c r="J219" s="9" t="n">
        <x:v>0.45734456458117</x:v>
      </x:c>
      <x:c r="K219" s="9" t="n">
        <x:v>0.36693449751589</x:v>
      </x:c>
      <x:c r="L219" s="9" t="n">
        <x:v>0.457344564582986</x:v>
      </x:c>
      <x:c r="M219" s="9" t="n">
        <x:v>0</x:v>
      </x:c>
      <x:c r="N219" s="9" t="n">
        <x:v>0</x:v>
      </x:c>
      <x:c r="O219" s="9" t="n">
        <x:v>0.480524510145187</x:v>
      </x:c>
      <x:c r="P219" s="9" t="n">
        <x:v>2.8364e-11</x:v>
      </x:c>
      <x:c r="Q219" s="9" t="n">
        <x:v>260</x:v>
      </x:c>
      <x:c r="R219" s="9" t="n">
        <x:v>0</x:v>
      </x:c>
      <x:c r="S219" s="17" t="b">
        <x:v>0</x:v>
      </x:c>
      <x:c r="T219" s="18"/>
      <x:c r="U219" s="18"/>
    </x:row>
    <x:row r="220" ht="22" customHeight="1">
      <x:c r="A220" s="4" t="str">
        <x:v>MM-TSFlib</x:v>
      </x:c>
      <x:c r="B220" s="4" t="str">
        <x:v>Energy</x:v>
      </x:c>
      <x:c r="C220" s="4" t="n">
        <x:v>36</x:v>
      </x:c>
      <x:c r="D220" s="4" t="n">
        <x:v>2027</x:v>
      </x:c>
      <x:c r="E220" s="4" t="str">
        <x:v>no_variance_shrink</x:v>
      </x:c>
      <x:c r="F220" s="9" t="n">
        <x:v>0.75</x:v>
      </x:c>
      <x:c r="G220" s="9" t="n">
        <x:v>0.334967240565299</x:v>
      </x:c>
      <x:c r="H220" s="9" t="n">
        <x:v>0.445736902378986</x:v>
      </x:c>
      <x:c r="I220" s="9" t="n">
        <x:v>0.334967240565416</x:v>
      </x:c>
      <x:c r="J220" s="9" t="n">
        <x:v>0.445736902379303</x:v>
      </x:c>
      <x:c r="K220" s="9" t="n">
        <x:v>0.33496724056547</x:v>
      </x:c>
      <x:c r="L220" s="9" t="n">
        <x:v>0.445736902379303</x:v>
      </x:c>
      <x:c r="M220" s="9" t="n">
        <x:v>3.5061e-11</x:v>
      </x:c>
      <x:c r="N220" s="9" t="n">
        <x:v>7.1165e-11</x:v>
      </x:c>
      <x:c r="O220" s="9" t="n">
        <x:v>0.480524510145187</x:v>
      </x:c>
      <x:c r="P220" s="9" t="n">
        <x:v>6.3803e-11</x:v>
      </x:c>
      <x:c r="Q220" s="9" t="n">
        <x:v>260</x:v>
      </x:c>
      <x:c r="R220" s="9" t="n">
        <x:v>0</x:v>
      </x:c>
      <x:c r="S220" s="17" t="b">
        <x:v>0</x:v>
      </x:c>
      <x:c r="T220" s="18"/>
      <x:c r="U220" s="18"/>
    </x:row>
    <x:row r="221" ht="22" customHeight="1">
      <x:c r="A221" s="4" t="str">
        <x:v>SpecTF</x:v>
      </x:c>
      <x:c r="B221" s="4" t="str">
        <x:v>Energy</x:v>
      </x:c>
      <x:c r="C221" s="4" t="n">
        <x:v>36</x:v>
      </x:c>
      <x:c r="D221" s="4" t="n">
        <x:v>2027</x:v>
      </x:c>
      <x:c r="E221" s="4" t="str">
        <x:v>no_variance_shrink</x:v>
      </x:c>
      <x:c r="F221" s="9" t="n">
        <x:v>0</x:v>
      </x:c>
      <x:c r="G221" s="9" t="n">
        <x:v>0.306159764163748</x:v>
      </x:c>
      <x:c r="H221" s="9" t="n">
        <x:v>0.408370878198766</x:v>
      </x:c>
      <x:c r="I221" s="9" t="n">
        <x:v>0.306159764163748</x:v>
      </x:c>
      <x:c r="J221" s="9" t="n">
        <x:v>0.408370878198766</x:v>
      </x:c>
      <x:c r="K221" s="9" t="n">
        <x:v>0.306159764163848</x:v>
      </x:c>
      <x:c r="L221" s="9" t="n">
        <x:v>0.408370878200717</x:v>
      </x:c>
      <x:c r="M221" s="9" t="n">
        <x:v>0</x:v>
      </x:c>
      <x:c r="N221" s="9" t="n">
        <x:v>0</x:v>
      </x:c>
      <x:c r="O221" s="9" t="n">
        <x:v>0.480524510145187</x:v>
      </x:c>
      <x:c r="P221" s="9" t="n">
        <x:v>1.34478e-10</x:v>
      </x:c>
      <x:c r="Q221" s="9" t="n">
        <x:v>260</x:v>
      </x:c>
      <x:c r="R221" s="9" t="n">
        <x:v>0</x:v>
      </x:c>
      <x:c r="S221" s="17" t="b">
        <x:v>0</x:v>
      </x:c>
      <x:c r="T221" s="18"/>
      <x:c r="U221" s="18"/>
    </x:row>
    <x:row r="222" ht="22" customHeight="1">
      <x:c r="A222" s="4" t="str">
        <x:v>CFA</x:v>
      </x:c>
      <x:c r="B222" s="4" t="str">
        <x:v>Energy</x:v>
      </x:c>
      <x:c r="C222" s="4" t="n">
        <x:v>36</x:v>
      </x:c>
      <x:c r="D222" s="4" t="n">
        <x:v>2027</x:v>
      </x:c>
      <x:c r="E222" s="4" t="str">
        <x:v>no_variance_shrink</x:v>
      </x:c>
      <x:c r="F222" s="9" t="n">
        <x:v>0</x:v>
      </x:c>
      <x:c r="G222" s="9" t="n">
        <x:v>0.376386659782646</x:v>
      </x:c>
      <x:c r="H222" s="9" t="n">
        <x:v>0.456629963560054</x:v>
      </x:c>
      <x:c r="I222" s="9" t="n">
        <x:v>0.376386659782646</x:v>
      </x:c>
      <x:c r="J222" s="9" t="n">
        <x:v>0.456629963560054</x:v>
      </x:c>
      <x:c r="K222" s="9" t="n">
        <x:v>0.376386659785202</x:v>
      </x:c>
      <x:c r="L222" s="9" t="n">
        <x:v>0.456629963564559</x:v>
      </x:c>
      <x:c r="M222" s="9" t="n">
        <x:v>0</x:v>
      </x:c>
      <x:c r="N222" s="9" t="n">
        <x:v>0</x:v>
      </x:c>
      <x:c r="O222" s="9" t="n">
        <x:v>0.480524510145187</x:v>
      </x:c>
      <x:c r="P222" s="9" t="n">
        <x:v>6.3412e-11</x:v>
      </x:c>
      <x:c r="Q222" s="9" t="n">
        <x:v>260</x:v>
      </x:c>
      <x:c r="R222" s="9" t="n">
        <x:v>0</x:v>
      </x:c>
      <x:c r="S222" s="17" t="b">
        <x:v>0</x:v>
      </x:c>
      <x:c r="T222" s="18"/>
      <x:c r="U222" s="18"/>
    </x:row>
    <x:row r="223" ht="22" customHeight="1">
      <x:c r="A223" s="4" t="str">
        <x:v>Aurora</x:v>
      </x:c>
      <x:c r="B223" s="4" t="str">
        <x:v>Energy</x:v>
      </x:c>
      <x:c r="C223" s="4" t="n">
        <x:v>36</x:v>
      </x:c>
      <x:c r="D223" s="4" t="n">
        <x:v>2027</x:v>
      </x:c>
      <x:c r="E223" s="4" t="str">
        <x:v>no_variance_shrink</x:v>
      </x:c>
      <x:c r="F223" s="9" t="n">
        <x:v>0</x:v>
      </x:c>
      <x:c r="G223" s="9" t="n">
        <x:v>0.396047499253937</x:v>
      </x:c>
      <x:c r="H223" s="9" t="n">
        <x:v>0.490885664886746</x:v>
      </x:c>
      <x:c r="I223" s="9" t="n">
        <x:v>0.396047499253937</x:v>
      </x:c>
      <x:c r="J223" s="9" t="n">
        <x:v>0.490885664886746</x:v>
      </x:c>
      <x:c r="K223" s="9" t="n">
        <x:v>0.396047499247853</x:v>
      </x:c>
      <x:c r="L223" s="9" t="n">
        <x:v>0.4908856648834</x:v>
      </x:c>
      <x:c r="M223" s="9" t="n">
        <x:v>0</x:v>
      </x:c>
      <x:c r="N223" s="9" t="n">
        <x:v>0</x:v>
      </x:c>
      <x:c r="O223" s="9" t="n">
        <x:v>0.480524510145187</x:v>
      </x:c>
      <x:c r="P223" s="9" t="n">
        <x:v>1.65987e-10</x:v>
      </x:c>
      <x:c r="Q223" s="9" t="n">
        <x:v>260</x:v>
      </x:c>
      <x:c r="R223" s="9" t="n">
        <x:v>0</x:v>
      </x:c>
      <x:c r="S223" s="17" t="b">
        <x:v>0</x:v>
      </x:c>
      <x:c r="T223" s="18"/>
      <x:c r="U223" s="18"/>
    </x:row>
    <x:row r="224" ht="22" customHeight="1">
      <x:c r="A224" s="4" t="str">
        <x:v>TaTS</x:v>
      </x:c>
      <x:c r="B224" s="4" t="str">
        <x:v>Energy</x:v>
      </x:c>
      <x:c r="C224" s="4" t="n">
        <x:v>36</x:v>
      </x:c>
      <x:c r="D224" s="4" t="n">
        <x:v>2028</x:v>
      </x:c>
      <x:c r="E224" s="4" t="str">
        <x:v>no_variance_shrink</x:v>
      </x:c>
      <x:c r="F224" s="9" t="n">
        <x:v>0</x:v>
      </x:c>
      <x:c r="G224" s="9" t="n">
        <x:v>0.366934497515655</x:v>
      </x:c>
      <x:c r="H224" s="9" t="n">
        <x:v>0.45734456458117</x:v>
      </x:c>
      <x:c r="I224" s="9" t="n">
        <x:v>0.366934497515655</x:v>
      </x:c>
      <x:c r="J224" s="9" t="n">
        <x:v>0.45734456458117</x:v>
      </x:c>
      <x:c r="K224" s="9" t="n">
        <x:v>0.36693449751589</x:v>
      </x:c>
      <x:c r="L224" s="9" t="n">
        <x:v>0.457344564582986</x:v>
      </x:c>
      <x:c r="M224" s="9" t="n">
        <x:v>0</x:v>
      </x:c>
      <x:c r="N224" s="9" t="n">
        <x:v>0</x:v>
      </x:c>
      <x:c r="O224" s="9" t="n">
        <x:v>0.526865839958191</x:v>
      </x:c>
      <x:c r="P224" s="9" t="n">
        <x:v>2.8364e-11</x:v>
      </x:c>
      <x:c r="Q224" s="9" t="n">
        <x:v>260</x:v>
      </x:c>
      <x:c r="R224" s="9" t="n">
        <x:v>0</x:v>
      </x:c>
      <x:c r="S224" s="17" t="b">
        <x:v>0</x:v>
      </x:c>
      <x:c r="T224" s="18"/>
      <x:c r="U224" s="18"/>
    </x:row>
    <x:row r="225" ht="22" customHeight="1">
      <x:c r="A225" s="4" t="str">
        <x:v>MM-TSFlib</x:v>
      </x:c>
      <x:c r="B225" s="4" t="str">
        <x:v>Energy</x:v>
      </x:c>
      <x:c r="C225" s="4" t="n">
        <x:v>36</x:v>
      </x:c>
      <x:c r="D225" s="4" t="n">
        <x:v>2028</x:v>
      </x:c>
      <x:c r="E225" s="4" t="str">
        <x:v>no_variance_shrink</x:v>
      </x:c>
      <x:c r="F225" s="9" t="n">
        <x:v>0.75</x:v>
      </x:c>
      <x:c r="G225" s="9" t="n">
        <x:v>0.334967240565299</x:v>
      </x:c>
      <x:c r="H225" s="9" t="n">
        <x:v>0.445736902378986</x:v>
      </x:c>
      <x:c r="I225" s="9" t="n">
        <x:v>0.334967240565416</x:v>
      </x:c>
      <x:c r="J225" s="9" t="n">
        <x:v>0.445736902379303</x:v>
      </x:c>
      <x:c r="K225" s="9" t="n">
        <x:v>0.33496724056547</x:v>
      </x:c>
      <x:c r="L225" s="9" t="n">
        <x:v>0.445736902379303</x:v>
      </x:c>
      <x:c r="M225" s="9" t="n">
        <x:v>3.5061e-11</x:v>
      </x:c>
      <x:c r="N225" s="9" t="n">
        <x:v>7.1165e-11</x:v>
      </x:c>
      <x:c r="O225" s="9" t="n">
        <x:v>0.526865839958191</x:v>
      </x:c>
      <x:c r="P225" s="9" t="n">
        <x:v>6.3803e-11</x:v>
      </x:c>
      <x:c r="Q225" s="9" t="n">
        <x:v>260</x:v>
      </x:c>
      <x:c r="R225" s="9" t="n">
        <x:v>0</x:v>
      </x:c>
      <x:c r="S225" s="17" t="b">
        <x:v>0</x:v>
      </x:c>
      <x:c r="T225" s="18"/>
      <x:c r="U225" s="18"/>
    </x:row>
    <x:row r="226" ht="22" customHeight="1">
      <x:c r="A226" s="4" t="str">
        <x:v>SpecTF</x:v>
      </x:c>
      <x:c r="B226" s="4" t="str">
        <x:v>Energy</x:v>
      </x:c>
      <x:c r="C226" s="4" t="n">
        <x:v>36</x:v>
      </x:c>
      <x:c r="D226" s="4" t="n">
        <x:v>2028</x:v>
      </x:c>
      <x:c r="E226" s="4" t="str">
        <x:v>no_variance_shrink</x:v>
      </x:c>
      <x:c r="F226" s="9" t="n">
        <x:v>0</x:v>
      </x:c>
      <x:c r="G226" s="9" t="n">
        <x:v>0.306159764163748</x:v>
      </x:c>
      <x:c r="H226" s="9" t="n">
        <x:v>0.408370878198766</x:v>
      </x:c>
      <x:c r="I226" s="9" t="n">
        <x:v>0.306159764163748</x:v>
      </x:c>
      <x:c r="J226" s="9" t="n">
        <x:v>0.408370878198766</x:v>
      </x:c>
      <x:c r="K226" s="9" t="n">
        <x:v>0.306159764163848</x:v>
      </x:c>
      <x:c r="L226" s="9" t="n">
        <x:v>0.408370878200717</x:v>
      </x:c>
      <x:c r="M226" s="9" t="n">
        <x:v>0</x:v>
      </x:c>
      <x:c r="N226" s="9" t="n">
        <x:v>0</x:v>
      </x:c>
      <x:c r="O226" s="9" t="n">
        <x:v>0.526865839958191</x:v>
      </x:c>
      <x:c r="P226" s="9" t="n">
        <x:v>1.34478e-10</x:v>
      </x:c>
      <x:c r="Q226" s="9" t="n">
        <x:v>260</x:v>
      </x:c>
      <x:c r="R226" s="9" t="n">
        <x:v>0</x:v>
      </x:c>
      <x:c r="S226" s="17" t="b">
        <x:v>0</x:v>
      </x:c>
      <x:c r="T226" s="18"/>
      <x:c r="U226" s="18"/>
    </x:row>
    <x:row r="227" ht="22" customHeight="1">
      <x:c r="A227" s="4" t="str">
        <x:v>CFA</x:v>
      </x:c>
      <x:c r="B227" s="4" t="str">
        <x:v>Energy</x:v>
      </x:c>
      <x:c r="C227" s="4" t="n">
        <x:v>36</x:v>
      </x:c>
      <x:c r="D227" s="4" t="n">
        <x:v>2028</x:v>
      </x:c>
      <x:c r="E227" s="4" t="str">
        <x:v>no_variance_shrink</x:v>
      </x:c>
      <x:c r="F227" s="9" t="n">
        <x:v>0</x:v>
      </x:c>
      <x:c r="G227" s="9" t="n">
        <x:v>0.376386659782646</x:v>
      </x:c>
      <x:c r="H227" s="9" t="n">
        <x:v>0.456629963560054</x:v>
      </x:c>
      <x:c r="I227" s="9" t="n">
        <x:v>0.376386659782646</x:v>
      </x:c>
      <x:c r="J227" s="9" t="n">
        <x:v>0.456629963560054</x:v>
      </x:c>
      <x:c r="K227" s="9" t="n">
        <x:v>0.376386659785202</x:v>
      </x:c>
      <x:c r="L227" s="9" t="n">
        <x:v>0.456629963564559</x:v>
      </x:c>
      <x:c r="M227" s="9" t="n">
        <x:v>0</x:v>
      </x:c>
      <x:c r="N227" s="9" t="n">
        <x:v>0</x:v>
      </x:c>
      <x:c r="O227" s="9" t="n">
        <x:v>0.526865839958191</x:v>
      </x:c>
      <x:c r="P227" s="9" t="n">
        <x:v>6.3412e-11</x:v>
      </x:c>
      <x:c r="Q227" s="9" t="n">
        <x:v>260</x:v>
      </x:c>
      <x:c r="R227" s="9" t="n">
        <x:v>0</x:v>
      </x:c>
      <x:c r="S227" s="17" t="b">
        <x:v>0</x:v>
      </x:c>
      <x:c r="T227" s="18"/>
      <x:c r="U227" s="18"/>
    </x:row>
    <x:row r="228" ht="22" customHeight="1">
      <x:c r="A228" s="4" t="str">
        <x:v>Aurora</x:v>
      </x:c>
      <x:c r="B228" s="4" t="str">
        <x:v>Energy</x:v>
      </x:c>
      <x:c r="C228" s="4" t="n">
        <x:v>36</x:v>
      </x:c>
      <x:c r="D228" s="4" t="n">
        <x:v>2028</x:v>
      </x:c>
      <x:c r="E228" s="4" t="str">
        <x:v>no_variance_shrink</x:v>
      </x:c>
      <x:c r="F228" s="9" t="n">
        <x:v>0</x:v>
      </x:c>
      <x:c r="G228" s="9" t="n">
        <x:v>0.396047499253937</x:v>
      </x:c>
      <x:c r="H228" s="9" t="n">
        <x:v>0.490885664886746</x:v>
      </x:c>
      <x:c r="I228" s="9" t="n">
        <x:v>0.396047499253937</x:v>
      </x:c>
      <x:c r="J228" s="9" t="n">
        <x:v>0.490885664886746</x:v>
      </x:c>
      <x:c r="K228" s="9" t="n">
        <x:v>0.396047499247853</x:v>
      </x:c>
      <x:c r="L228" s="9" t="n">
        <x:v>0.4908856648834</x:v>
      </x:c>
      <x:c r="M228" s="9" t="n">
        <x:v>0</x:v>
      </x:c>
      <x:c r="N228" s="9" t="n">
        <x:v>0</x:v>
      </x:c>
      <x:c r="O228" s="9" t="n">
        <x:v>0.526865839958191</x:v>
      </x:c>
      <x:c r="P228" s="9" t="n">
        <x:v>1.65987e-10</x:v>
      </x:c>
      <x:c r="Q228" s="9" t="n">
        <x:v>260</x:v>
      </x:c>
      <x:c r="R228" s="9" t="n">
        <x:v>0</x:v>
      </x:c>
      <x:c r="S228" s="17" t="b">
        <x:v>0</x:v>
      </x:c>
      <x:c r="T228" s="18"/>
      <x:c r="U228" s="18"/>
    </x:row>
    <x:row r="229" ht="22" customHeight="1">
      <x:c r="A229" s="4" t="str">
        <x:v>TaTS</x:v>
      </x:c>
      <x:c r="B229" s="4" t="str">
        <x:v>Energy</x:v>
      </x:c>
      <x:c r="C229" s="4" t="n">
        <x:v>48</x:v>
      </x:c>
      <x:c r="D229" s="4" t="n">
        <x:v>2026</x:v>
      </x:c>
      <x:c r="E229" s="4" t="str">
        <x:v>no_variance_shrink</x:v>
      </x:c>
      <x:c r="F229" s="9" t="n">
        <x:v>0</x:v>
      </x:c>
      <x:c r="G229" s="9" t="n">
        <x:v>0.40905897884304</x:v>
      </x:c>
      <x:c r="H229" s="9" t="n">
        <x:v>0.490650763367622</x:v>
      </x:c>
      <x:c r="I229" s="9" t="n">
        <x:v>0.40905897884304</x:v>
      </x:c>
      <x:c r="J229" s="9" t="n">
        <x:v>0.490650763367622</x:v>
      </x:c>
      <x:c r="K229" s="9" t="n">
        <x:v>0.409058978843034</x:v>
      </x:c>
      <x:c r="L229" s="9" t="n">
        <x:v>0.490650763366972</x:v>
      </x:c>
      <x:c r="M229" s="9" t="n">
        <x:v>0</x:v>
      </x:c>
      <x:c r="N229" s="9" t="n">
        <x:v>0</x:v>
      </x:c>
      <x:c r="O229" s="9" t="n">
        <x:v>0.532940328121185</x:v>
      </x:c>
      <x:c r="P229" s="9" t="n">
        <x:v>4.9158e-11</x:v>
      </x:c>
      <x:c r="Q229" s="9" t="n">
        <x:v>248</x:v>
      </x:c>
      <x:c r="R229" s="9" t="n">
        <x:v>0</x:v>
      </x:c>
      <x:c r="S229" s="17" t="b">
        <x:v>0</x:v>
      </x:c>
      <x:c r="T229" s="18"/>
      <x:c r="U229" s="18"/>
    </x:row>
    <x:row r="230" ht="22" customHeight="1">
      <x:c r="A230" s="4" t="str">
        <x:v>MM-TSFlib</x:v>
      </x:c>
      <x:c r="B230" s="4" t="str">
        <x:v>Energy</x:v>
      </x:c>
      <x:c r="C230" s="4" t="n">
        <x:v>48</x:v>
      </x:c>
      <x:c r="D230" s="4" t="n">
        <x:v>2026</x:v>
      </x:c>
      <x:c r="E230" s="4" t="str">
        <x:v>no_variance_shrink</x:v>
      </x:c>
      <x:c r="F230" s="9" t="n">
        <x:v>0</x:v>
      </x:c>
      <x:c r="G230" s="9" t="n">
        <x:v>0.470985838461075</x:v>
      </x:c>
      <x:c r="H230" s="9" t="n">
        <x:v>0.547925163639315</x:v>
      </x:c>
      <x:c r="I230" s="9" t="n">
        <x:v>0.470985838461075</x:v>
      </x:c>
      <x:c r="J230" s="9" t="n">
        <x:v>0.547925163639315</x:v>
      </x:c>
      <x:c r="K230" s="9" t="n">
        <x:v>0.470985838459691</x:v>
      </x:c>
      <x:c r="L230" s="9" t="n">
        <x:v>0.547925163642882</x:v>
      </x:c>
      <x:c r="M230" s="9" t="n">
        <x:v>0</x:v>
      </x:c>
      <x:c r="N230" s="9" t="n">
        <x:v>0</x:v>
      </x:c>
      <x:c r="O230" s="9" t="n">
        <x:v>0.532940328121185</x:v>
      </x:c>
      <x:c r="P230" s="9" t="n">
        <x:v>1.19473e-10</x:v>
      </x:c>
      <x:c r="Q230" s="9" t="n">
        <x:v>248</x:v>
      </x:c>
      <x:c r="R230" s="9" t="n">
        <x:v>0</x:v>
      </x:c>
      <x:c r="S230" s="17" t="b">
        <x:v>0</x:v>
      </x:c>
      <x:c r="T230" s="18"/>
      <x:c r="U230" s="18"/>
    </x:row>
    <x:row r="231" ht="22" customHeight="1">
      <x:c r="A231" s="4" t="str">
        <x:v>SpecTF</x:v>
      </x:c>
      <x:c r="B231" s="4" t="str">
        <x:v>Energy</x:v>
      </x:c>
      <x:c r="C231" s="4" t="n">
        <x:v>48</x:v>
      </x:c>
      <x:c r="D231" s="4" t="n">
        <x:v>2026</x:v>
      </x:c>
      <x:c r="E231" s="4" t="str">
        <x:v>no_variance_shrink</x:v>
      </x:c>
      <x:c r="F231" s="9" t="n">
        <x:v>0</x:v>
      </x:c>
      <x:c r="G231" s="9" t="n">
        <x:v>0.381582342098562</x:v>
      </x:c>
      <x:c r="H231" s="9" t="n">
        <x:v>0.471821080197791</x:v>
      </x:c>
      <x:c r="I231" s="9" t="n">
        <x:v>0.381582342098562</x:v>
      </x:c>
      <x:c r="J231" s="9" t="n">
        <x:v>0.471821080197791</x:v>
      </x:c>
      <x:c r="K231" s="9" t="n">
        <x:v>0.38158234209837</x:v>
      </x:c>
      <x:c r="L231" s="9" t="n">
        <x:v>0.47182108019601</x:v>
      </x:c>
      <x:c r="M231" s="9" t="n">
        <x:v>0</x:v>
      </x:c>
      <x:c r="N231" s="9" t="n">
        <x:v>0</x:v>
      </x:c>
      <x:c r="O231" s="9" t="n">
        <x:v>0.532940328121185</x:v>
      </x:c>
      <x:c r="P231" s="9" t="n">
        <x:v>1.07411e-10</x:v>
      </x:c>
      <x:c r="Q231" s="9" t="n">
        <x:v>248</x:v>
      </x:c>
      <x:c r="R231" s="9" t="n">
        <x:v>0</x:v>
      </x:c>
      <x:c r="S231" s="17" t="b">
        <x:v>0</x:v>
      </x:c>
      <x:c r="T231" s="18"/>
      <x:c r="U231" s="18"/>
    </x:row>
    <x:row r="232" ht="22" customHeight="1">
      <x:c r="A232" s="4" t="str">
        <x:v>CFA</x:v>
      </x:c>
      <x:c r="B232" s="4" t="str">
        <x:v>Energy</x:v>
      </x:c>
      <x:c r="C232" s="4" t="n">
        <x:v>48</x:v>
      </x:c>
      <x:c r="D232" s="4" t="n">
        <x:v>2026</x:v>
      </x:c>
      <x:c r="E232" s="4" t="str">
        <x:v>no_variance_shrink</x:v>
      </x:c>
      <x:c r="F232" s="9" t="n">
        <x:v>0</x:v>
      </x:c>
      <x:c r="G232" s="9" t="n">
        <x:v>0.395382773285724</x:v>
      </x:c>
      <x:c r="H232" s="9" t="n">
        <x:v>0.481629302558827</x:v>
      </x:c>
      <x:c r="I232" s="9" t="n">
        <x:v>0.395382773285724</x:v>
      </x:c>
      <x:c r="J232" s="9" t="n">
        <x:v>0.481629302558827</x:v>
      </x:c>
      <x:c r="K232" s="9" t="n">
        <x:v>0.395382773287635</x:v>
      </x:c>
      <x:c r="L232" s="9" t="n">
        <x:v>0.481629302565661</x:v>
      </x:c>
      <x:c r="M232" s="9" t="n">
        <x:v>0</x:v>
      </x:c>
      <x:c r="N232" s="9" t="n">
        <x:v>0</x:v>
      </x:c>
      <x:c r="O232" s="9" t="n">
        <x:v>0.532940328121185</x:v>
      </x:c>
      <x:c r="P232" s="9" t="n">
        <x:v>1.05982e-10</x:v>
      </x:c>
      <x:c r="Q232" s="9" t="n">
        <x:v>248</x:v>
      </x:c>
      <x:c r="R232" s="9" t="n">
        <x:v>0</x:v>
      </x:c>
      <x:c r="S232" s="17" t="b">
        <x:v>0</x:v>
      </x:c>
      <x:c r="T232" s="18"/>
      <x:c r="U232" s="18"/>
    </x:row>
    <x:row r="233" ht="22" customHeight="1">
      <x:c r="A233" s="4" t="str">
        <x:v>Aurora</x:v>
      </x:c>
      <x:c r="B233" s="4" t="str">
        <x:v>Energy</x:v>
      </x:c>
      <x:c r="C233" s="4" t="n">
        <x:v>48</x:v>
      </x:c>
      <x:c r="D233" s="4" t="n">
        <x:v>2026</x:v>
      </x:c>
      <x:c r="E233" s="4" t="str">
        <x:v>no_variance_shrink</x:v>
      </x:c>
      <x:c r="F233" s="9" t="n">
        <x:v>1</x:v>
      </x:c>
      <x:c r="G233" s="9" t="n">
        <x:v>0.467555439111382</x:v>
      </x:c>
      <x:c r="H233" s="9" t="n">
        <x:v>0.536317047074805</x:v>
      </x:c>
      <x:c r="I233" s="9" t="n">
        <x:v>0.467555439107476</x:v>
      </x:c>
      <x:c r="J233" s="9" t="n">
        <x:v>0.536317047072136</x:v>
      </x:c>
      <x:c r="K233" s="9" t="n">
        <x:v>0.467555439107476</x:v>
      </x:c>
      <x:c r="L233" s="9" t="n">
        <x:v>0.536317047072136</x:v>
      </x:c>
      <x:c r="M233" s="9" t="n">
        <x:v>-8.35343e-10</x:v>
      </x:c>
      <x:c r="N233" s="9" t="n">
        <x:v>-4.97569e-10</x:v>
      </x:c>
      <x:c r="O233" s="9" t="n">
        <x:v>0.532940328121185</x:v>
      </x:c>
      <x:c r="P233" s="9" t="n">
        <x:v>1.62751e-10</x:v>
      </x:c>
      <x:c r="Q233" s="9" t="n">
        <x:v>248</x:v>
      </x:c>
      <x:c r="R233" s="9" t="n">
        <x:v>0</x:v>
      </x:c>
      <x:c r="S233" s="17" t="b">
        <x:v>0</x:v>
      </x:c>
      <x:c r="T233" s="18"/>
      <x:c r="U233" s="18"/>
    </x:row>
    <x:row r="234" ht="22" customHeight="1">
      <x:c r="A234" s="4" t="str">
        <x:v>TaTS</x:v>
      </x:c>
      <x:c r="B234" s="4" t="str">
        <x:v>Energy</x:v>
      </x:c>
      <x:c r="C234" s="4" t="n">
        <x:v>48</x:v>
      </x:c>
      <x:c r="D234" s="4" t="n">
        <x:v>2027</x:v>
      </x:c>
      <x:c r="E234" s="4" t="str">
        <x:v>no_variance_shrink</x:v>
      </x:c>
      <x:c r="F234" s="9" t="n">
        <x:v>0</x:v>
      </x:c>
      <x:c r="G234" s="9" t="n">
        <x:v>0.40905897884304</x:v>
      </x:c>
      <x:c r="H234" s="9" t="n">
        <x:v>0.490650763367622</x:v>
      </x:c>
      <x:c r="I234" s="9" t="n">
        <x:v>0.40905897884304</x:v>
      </x:c>
      <x:c r="J234" s="9" t="n">
        <x:v>0.490650763367622</x:v>
      </x:c>
      <x:c r="K234" s="9" t="n">
        <x:v>0.409058978843034</x:v>
      </x:c>
      <x:c r="L234" s="9" t="n">
        <x:v>0.490650763366972</x:v>
      </x:c>
      <x:c r="M234" s="9" t="n">
        <x:v>0</x:v>
      </x:c>
      <x:c r="N234" s="9" t="n">
        <x:v>0</x:v>
      </x:c>
      <x:c r="O234" s="9" t="n">
        <x:v>0.480540454387665</x:v>
      </x:c>
      <x:c r="P234" s="9" t="n">
        <x:v>4.9158e-11</x:v>
      </x:c>
      <x:c r="Q234" s="9" t="n">
        <x:v>248</x:v>
      </x:c>
      <x:c r="R234" s="9" t="n">
        <x:v>0</x:v>
      </x:c>
      <x:c r="S234" s="17" t="b">
        <x:v>0</x:v>
      </x:c>
      <x:c r="T234" s="18"/>
      <x:c r="U234" s="18"/>
    </x:row>
    <x:row r="235" ht="22" customHeight="1">
      <x:c r="A235" s="4" t="str">
        <x:v>MM-TSFlib</x:v>
      </x:c>
      <x:c r="B235" s="4" t="str">
        <x:v>Energy</x:v>
      </x:c>
      <x:c r="C235" s="4" t="n">
        <x:v>48</x:v>
      </x:c>
      <x:c r="D235" s="4" t="n">
        <x:v>2027</x:v>
      </x:c>
      <x:c r="E235" s="4" t="str">
        <x:v>no_variance_shrink</x:v>
      </x:c>
      <x:c r="F235" s="9" t="n">
        <x:v>0</x:v>
      </x:c>
      <x:c r="G235" s="9" t="n">
        <x:v>0.470985838461075</x:v>
      </x:c>
      <x:c r="H235" s="9" t="n">
        <x:v>0.547925163639315</x:v>
      </x:c>
      <x:c r="I235" s="9" t="n">
        <x:v>0.470985838461075</x:v>
      </x:c>
      <x:c r="J235" s="9" t="n">
        <x:v>0.547925163639315</x:v>
      </x:c>
      <x:c r="K235" s="9" t="n">
        <x:v>0.470985838459691</x:v>
      </x:c>
      <x:c r="L235" s="9" t="n">
        <x:v>0.547925163642882</x:v>
      </x:c>
      <x:c r="M235" s="9" t="n">
        <x:v>0</x:v>
      </x:c>
      <x:c r="N235" s="9" t="n">
        <x:v>0</x:v>
      </x:c>
      <x:c r="O235" s="9" t="n">
        <x:v>0.480540454387665</x:v>
      </x:c>
      <x:c r="P235" s="9" t="n">
        <x:v>1.19473e-10</x:v>
      </x:c>
      <x:c r="Q235" s="9" t="n">
        <x:v>248</x:v>
      </x:c>
      <x:c r="R235" s="9" t="n">
        <x:v>0</x:v>
      </x:c>
      <x:c r="S235" s="17" t="b">
        <x:v>0</x:v>
      </x:c>
      <x:c r="T235" s="18"/>
      <x:c r="U235" s="18"/>
    </x:row>
    <x:row r="236" ht="22" customHeight="1">
      <x:c r="A236" s="4" t="str">
        <x:v>SpecTF</x:v>
      </x:c>
      <x:c r="B236" s="4" t="str">
        <x:v>Energy</x:v>
      </x:c>
      <x:c r="C236" s="4" t="n">
        <x:v>48</x:v>
      </x:c>
      <x:c r="D236" s="4" t="n">
        <x:v>2027</x:v>
      </x:c>
      <x:c r="E236" s="4" t="str">
        <x:v>no_variance_shrink</x:v>
      </x:c>
      <x:c r="F236" s="9" t="n">
        <x:v>0</x:v>
      </x:c>
      <x:c r="G236" s="9" t="n">
        <x:v>0.381582342098562</x:v>
      </x:c>
      <x:c r="H236" s="9" t="n">
        <x:v>0.471821080197791</x:v>
      </x:c>
      <x:c r="I236" s="9" t="n">
        <x:v>0.381582342098562</x:v>
      </x:c>
      <x:c r="J236" s="9" t="n">
        <x:v>0.471821080197791</x:v>
      </x:c>
      <x:c r="K236" s="9" t="n">
        <x:v>0.38158234209837</x:v>
      </x:c>
      <x:c r="L236" s="9" t="n">
        <x:v>0.47182108019601</x:v>
      </x:c>
      <x:c r="M236" s="9" t="n">
        <x:v>0</x:v>
      </x:c>
      <x:c r="N236" s="9" t="n">
        <x:v>0</x:v>
      </x:c>
      <x:c r="O236" s="9" t="n">
        <x:v>0.480540454387665</x:v>
      </x:c>
      <x:c r="P236" s="9" t="n">
        <x:v>1.07411e-10</x:v>
      </x:c>
      <x:c r="Q236" s="9" t="n">
        <x:v>248</x:v>
      </x:c>
      <x:c r="R236" s="9" t="n">
        <x:v>0</x:v>
      </x:c>
      <x:c r="S236" s="17" t="b">
        <x:v>0</x:v>
      </x:c>
      <x:c r="T236" s="18"/>
      <x:c r="U236" s="18"/>
    </x:row>
    <x:row r="237" ht="22" customHeight="1">
      <x:c r="A237" s="4" t="str">
        <x:v>CFA</x:v>
      </x:c>
      <x:c r="B237" s="4" t="str">
        <x:v>Energy</x:v>
      </x:c>
      <x:c r="C237" s="4" t="n">
        <x:v>48</x:v>
      </x:c>
      <x:c r="D237" s="4" t="n">
        <x:v>2027</x:v>
      </x:c>
      <x:c r="E237" s="4" t="str">
        <x:v>no_variance_shrink</x:v>
      </x:c>
      <x:c r="F237" s="9" t="n">
        <x:v>0</x:v>
      </x:c>
      <x:c r="G237" s="9" t="n">
        <x:v>0.395382773285724</x:v>
      </x:c>
      <x:c r="H237" s="9" t="n">
        <x:v>0.481629302558827</x:v>
      </x:c>
      <x:c r="I237" s="9" t="n">
        <x:v>0.395382773285724</x:v>
      </x:c>
      <x:c r="J237" s="9" t="n">
        <x:v>0.481629302558827</x:v>
      </x:c>
      <x:c r="K237" s="9" t="n">
        <x:v>0.395382773287635</x:v>
      </x:c>
      <x:c r="L237" s="9" t="n">
        <x:v>0.481629302565661</x:v>
      </x:c>
      <x:c r="M237" s="9" t="n">
        <x:v>0</x:v>
      </x:c>
      <x:c r="N237" s="9" t="n">
        <x:v>0</x:v>
      </x:c>
      <x:c r="O237" s="9" t="n">
        <x:v>0.480540454387665</x:v>
      </x:c>
      <x:c r="P237" s="9" t="n">
        <x:v>1.05982e-10</x:v>
      </x:c>
      <x:c r="Q237" s="9" t="n">
        <x:v>248</x:v>
      </x:c>
      <x:c r="R237" s="9" t="n">
        <x:v>0</x:v>
      </x:c>
      <x:c r="S237" s="17" t="b">
        <x:v>0</x:v>
      </x:c>
      <x:c r="T237" s="18"/>
      <x:c r="U237" s="18"/>
    </x:row>
    <x:row r="238" ht="22" customHeight="1">
      <x:c r="A238" s="4" t="str">
        <x:v>Aurora</x:v>
      </x:c>
      <x:c r="B238" s="4" t="str">
        <x:v>Energy</x:v>
      </x:c>
      <x:c r="C238" s="4" t="n">
        <x:v>48</x:v>
      </x:c>
      <x:c r="D238" s="4" t="n">
        <x:v>2027</x:v>
      </x:c>
      <x:c r="E238" s="4" t="str">
        <x:v>no_variance_shrink</x:v>
      </x:c>
      <x:c r="F238" s="9" t="n">
        <x:v>1</x:v>
      </x:c>
      <x:c r="G238" s="9" t="n">
        <x:v>0.467555439111382</x:v>
      </x:c>
      <x:c r="H238" s="9" t="n">
        <x:v>0.536317047074805</x:v>
      </x:c>
      <x:c r="I238" s="9" t="n">
        <x:v>0.467555439107476</x:v>
      </x:c>
      <x:c r="J238" s="9" t="n">
        <x:v>0.536317047072136</x:v>
      </x:c>
      <x:c r="K238" s="9" t="n">
        <x:v>0.467555439107476</x:v>
      </x:c>
      <x:c r="L238" s="9" t="n">
        <x:v>0.536317047072136</x:v>
      </x:c>
      <x:c r="M238" s="9" t="n">
        <x:v>-8.35343e-10</x:v>
      </x:c>
      <x:c r="N238" s="9" t="n">
        <x:v>-4.97569e-10</x:v>
      </x:c>
      <x:c r="O238" s="9" t="n">
        <x:v>0.480540454387665</x:v>
      </x:c>
      <x:c r="P238" s="9" t="n">
        <x:v>1.62751e-10</x:v>
      </x:c>
      <x:c r="Q238" s="9" t="n">
        <x:v>248</x:v>
      </x:c>
      <x:c r="R238" s="9" t="n">
        <x:v>0</x:v>
      </x:c>
      <x:c r="S238" s="17" t="b">
        <x:v>0</x:v>
      </x:c>
      <x:c r="T238" s="18"/>
      <x:c r="U238" s="18"/>
    </x:row>
    <x:row r="239" ht="22" customHeight="1">
      <x:c r="A239" s="4" t="str">
        <x:v>TaTS</x:v>
      </x:c>
      <x:c r="B239" s="4" t="str">
        <x:v>Energy</x:v>
      </x:c>
      <x:c r="C239" s="4" t="n">
        <x:v>48</x:v>
      </x:c>
      <x:c r="D239" s="4" t="n">
        <x:v>2028</x:v>
      </x:c>
      <x:c r="E239" s="4" t="str">
        <x:v>no_variance_shrink</x:v>
      </x:c>
      <x:c r="F239" s="9" t="n">
        <x:v>0</x:v>
      </x:c>
      <x:c r="G239" s="9" t="n">
        <x:v>0.40905897884304</x:v>
      </x:c>
      <x:c r="H239" s="9" t="n">
        <x:v>0.490650763367622</x:v>
      </x:c>
      <x:c r="I239" s="9" t="n">
        <x:v>0.40905897884304</x:v>
      </x:c>
      <x:c r="J239" s="9" t="n">
        <x:v>0.490650763367622</x:v>
      </x:c>
      <x:c r="K239" s="9" t="n">
        <x:v>0.409058978843034</x:v>
      </x:c>
      <x:c r="L239" s="9" t="n">
        <x:v>0.490650763366972</x:v>
      </x:c>
      <x:c r="M239" s="9" t="n">
        <x:v>0</x:v>
      </x:c>
      <x:c r="N239" s="9" t="n">
        <x:v>0</x:v>
      </x:c>
      <x:c r="O239" s="9" t="n">
        <x:v>0.526916563510895</x:v>
      </x:c>
      <x:c r="P239" s="9" t="n">
        <x:v>4.9158e-11</x:v>
      </x:c>
      <x:c r="Q239" s="9" t="n">
        <x:v>248</x:v>
      </x:c>
      <x:c r="R239" s="9" t="n">
        <x:v>0</x:v>
      </x:c>
      <x:c r="S239" s="17" t="b">
        <x:v>0</x:v>
      </x:c>
      <x:c r="T239" s="18"/>
      <x:c r="U239" s="18"/>
    </x:row>
    <x:row r="240" ht="22" customHeight="1">
      <x:c r="A240" s="4" t="str">
        <x:v>MM-TSFlib</x:v>
      </x:c>
      <x:c r="B240" s="4" t="str">
        <x:v>Energy</x:v>
      </x:c>
      <x:c r="C240" s="4" t="n">
        <x:v>48</x:v>
      </x:c>
      <x:c r="D240" s="4" t="n">
        <x:v>2028</x:v>
      </x:c>
      <x:c r="E240" s="4" t="str">
        <x:v>no_variance_shrink</x:v>
      </x:c>
      <x:c r="F240" s="9" t="n">
        <x:v>0</x:v>
      </x:c>
      <x:c r="G240" s="9" t="n">
        <x:v>0.470985838461075</x:v>
      </x:c>
      <x:c r="H240" s="9" t="n">
        <x:v>0.547925163639315</x:v>
      </x:c>
      <x:c r="I240" s="9" t="n">
        <x:v>0.470985838461075</x:v>
      </x:c>
      <x:c r="J240" s="9" t="n">
        <x:v>0.547925163639315</x:v>
      </x:c>
      <x:c r="K240" s="9" t="n">
        <x:v>0.470985838459691</x:v>
      </x:c>
      <x:c r="L240" s="9" t="n">
        <x:v>0.547925163642882</x:v>
      </x:c>
      <x:c r="M240" s="9" t="n">
        <x:v>0</x:v>
      </x:c>
      <x:c r="N240" s="9" t="n">
        <x:v>0</x:v>
      </x:c>
      <x:c r="O240" s="9" t="n">
        <x:v>0.526916563510895</x:v>
      </x:c>
      <x:c r="P240" s="9" t="n">
        <x:v>1.19473e-10</x:v>
      </x:c>
      <x:c r="Q240" s="9" t="n">
        <x:v>248</x:v>
      </x:c>
      <x:c r="R240" s="9" t="n">
        <x:v>0</x:v>
      </x:c>
      <x:c r="S240" s="17" t="b">
        <x:v>0</x:v>
      </x:c>
      <x:c r="T240" s="18"/>
      <x:c r="U240" s="18"/>
    </x:row>
    <x:row r="241" ht="22" customHeight="1">
      <x:c r="A241" s="4" t="str">
        <x:v>SpecTF</x:v>
      </x:c>
      <x:c r="B241" s="4" t="str">
        <x:v>Energy</x:v>
      </x:c>
      <x:c r="C241" s="4" t="n">
        <x:v>48</x:v>
      </x:c>
      <x:c r="D241" s="4" t="n">
        <x:v>2028</x:v>
      </x:c>
      <x:c r="E241" s="4" t="str">
        <x:v>no_variance_shrink</x:v>
      </x:c>
      <x:c r="F241" s="9" t="n">
        <x:v>0</x:v>
      </x:c>
      <x:c r="G241" s="9" t="n">
        <x:v>0.381582342098562</x:v>
      </x:c>
      <x:c r="H241" s="9" t="n">
        <x:v>0.471821080197791</x:v>
      </x:c>
      <x:c r="I241" s="9" t="n">
        <x:v>0.381582342098562</x:v>
      </x:c>
      <x:c r="J241" s="9" t="n">
        <x:v>0.471821080197791</x:v>
      </x:c>
      <x:c r="K241" s="9" t="n">
        <x:v>0.38158234209837</x:v>
      </x:c>
      <x:c r="L241" s="9" t="n">
        <x:v>0.47182108019601</x:v>
      </x:c>
      <x:c r="M241" s="9" t="n">
        <x:v>0</x:v>
      </x:c>
      <x:c r="N241" s="9" t="n">
        <x:v>0</x:v>
      </x:c>
      <x:c r="O241" s="9" t="n">
        <x:v>0.526916563510895</x:v>
      </x:c>
      <x:c r="P241" s="9" t="n">
        <x:v>1.07411e-10</x:v>
      </x:c>
      <x:c r="Q241" s="9" t="n">
        <x:v>248</x:v>
      </x:c>
      <x:c r="R241" s="9" t="n">
        <x:v>0</x:v>
      </x:c>
      <x:c r="S241" s="17" t="b">
        <x:v>0</x:v>
      </x:c>
      <x:c r="T241" s="18"/>
      <x:c r="U241" s="18"/>
    </x:row>
    <x:row r="242" ht="22" customHeight="1">
      <x:c r="A242" s="4" t="str">
        <x:v>CFA</x:v>
      </x:c>
      <x:c r="B242" s="4" t="str">
        <x:v>Energy</x:v>
      </x:c>
      <x:c r="C242" s="4" t="n">
        <x:v>48</x:v>
      </x:c>
      <x:c r="D242" s="4" t="n">
        <x:v>2028</x:v>
      </x:c>
      <x:c r="E242" s="4" t="str">
        <x:v>no_variance_shrink</x:v>
      </x:c>
      <x:c r="F242" s="9" t="n">
        <x:v>0</x:v>
      </x:c>
      <x:c r="G242" s="9" t="n">
        <x:v>0.395382773285724</x:v>
      </x:c>
      <x:c r="H242" s="9" t="n">
        <x:v>0.481629302558827</x:v>
      </x:c>
      <x:c r="I242" s="9" t="n">
        <x:v>0.395382773285724</x:v>
      </x:c>
      <x:c r="J242" s="9" t="n">
        <x:v>0.481629302558827</x:v>
      </x:c>
      <x:c r="K242" s="9" t="n">
        <x:v>0.395382773287635</x:v>
      </x:c>
      <x:c r="L242" s="9" t="n">
        <x:v>0.481629302565661</x:v>
      </x:c>
      <x:c r="M242" s="9" t="n">
        <x:v>0</x:v>
      </x:c>
      <x:c r="N242" s="9" t="n">
        <x:v>0</x:v>
      </x:c>
      <x:c r="O242" s="9" t="n">
        <x:v>0.526916563510895</x:v>
      </x:c>
      <x:c r="P242" s="9" t="n">
        <x:v>1.05982e-10</x:v>
      </x:c>
      <x:c r="Q242" s="9" t="n">
        <x:v>248</x:v>
      </x:c>
      <x:c r="R242" s="9" t="n">
        <x:v>0</x:v>
      </x:c>
      <x:c r="S242" s="17" t="b">
        <x:v>0</x:v>
      </x:c>
      <x:c r="T242" s="18"/>
      <x:c r="U242" s="18"/>
    </x:row>
    <x:row r="243" ht="22" customHeight="1">
      <x:c r="A243" s="4" t="str">
        <x:v>Aurora</x:v>
      </x:c>
      <x:c r="B243" s="4" t="str">
        <x:v>Energy</x:v>
      </x:c>
      <x:c r="C243" s="4" t="n">
        <x:v>48</x:v>
      </x:c>
      <x:c r="D243" s="4" t="n">
        <x:v>2028</x:v>
      </x:c>
      <x:c r="E243" s="4" t="str">
        <x:v>no_variance_shrink</x:v>
      </x:c>
      <x:c r="F243" s="9" t="n">
        <x:v>1</x:v>
      </x:c>
      <x:c r="G243" s="9" t="n">
        <x:v>0.467555439111382</x:v>
      </x:c>
      <x:c r="H243" s="9" t="n">
        <x:v>0.536317047074805</x:v>
      </x:c>
      <x:c r="I243" s="9" t="n">
        <x:v>0.467555439107476</x:v>
      </x:c>
      <x:c r="J243" s="9" t="n">
        <x:v>0.536317047072136</x:v>
      </x:c>
      <x:c r="K243" s="9" t="n">
        <x:v>0.467555439107476</x:v>
      </x:c>
      <x:c r="L243" s="9" t="n">
        <x:v>0.536317047072136</x:v>
      </x:c>
      <x:c r="M243" s="9" t="n">
        <x:v>-8.35343e-10</x:v>
      </x:c>
      <x:c r="N243" s="9" t="n">
        <x:v>-4.97569e-10</x:v>
      </x:c>
      <x:c r="O243" s="9" t="n">
        <x:v>0.526916563510895</x:v>
      </x:c>
      <x:c r="P243" s="9" t="n">
        <x:v>1.62751e-10</x:v>
      </x:c>
      <x:c r="Q243" s="9" t="n">
        <x:v>248</x:v>
      </x:c>
      <x:c r="R243" s="9" t="n">
        <x:v>0</x:v>
      </x:c>
      <x:c r="S243" s="17" t="b">
        <x:v>0</x:v>
      </x:c>
      <x:c r="T243" s="18"/>
      <x:c r="U243" s="18"/>
    </x:row>
    <x:row r="244" ht="22" customHeight="1">
      <x:c r="A244" s="4" t="str">
        <x:v>TaTS</x:v>
      </x:c>
      <x:c r="B244" s="4" t="str">
        <x:v>Environment</x:v>
      </x:c>
      <x:c r="C244" s="4" t="n">
        <x:v>48</x:v>
      </x:c>
      <x:c r="D244" s="4" t="n">
        <x:v>2026</x:v>
      </x:c>
      <x:c r="E244" s="4" t="str">
        <x:v>no_variance_shrink</x:v>
      </x:c>
      <x:c r="F244" s="9" t="n">
        <x:v>1</x:v>
      </x:c>
      <x:c r="G244" s="9" t="n">
        <x:v>0.303507164738101</x:v>
      </x:c>
      <x:c r="H244" s="9" t="n">
        <x:v>0.430787174049235</x:v>
      </x:c>
      <x:c r="I244" s="9" t="n">
        <x:v>0.2828848306002</x:v>
      </x:c>
      <x:c r="J244" s="9" t="n">
        <x:v>0.405224619521348</x:v>
      </x:c>
      <x:c r="K244" s="9" t="n">
        <x:v>0.2828848306002</x:v>
      </x:c>
      <x:c r="L244" s="9" t="n">
        <x:v>0.405224619521348</x:v>
      </x:c>
      <x:c r="M244" s="9" t="n">
        <x:v>-6.794677863930076</x:v>
      </x:c>
      <x:c r="N244" s="9" t="n">
        <x:v>-5.933917272329358</x:v>
      </x:c>
      <x:c r="O244" s="9" t="n">
        <x:v>0.610902607440948</x:v>
      </x:c>
      <x:c r="P244" s="9" t="n">
        <x:v>0.166930377483368</x:v>
      </x:c>
      <x:c r="Q244" s="9" t="n">
        <x:v>3002</x:v>
      </x:c>
      <x:c r="R244" s="9" t="n">
        <x:v>2</x:v>
      </x:c>
      <x:c r="S244" s="17" t="b">
        <x:v>1</x:v>
      </x:c>
      <x:c r="T244" s="18"/>
      <x:c r="U244" s="18"/>
    </x:row>
    <x:row r="245" ht="22" customHeight="1">
      <x:c r="A245" s="4" t="str">
        <x:v>MM-TSFlib</x:v>
      </x:c>
      <x:c r="B245" s="4" t="str">
        <x:v>Environment</x:v>
      </x:c>
      <x:c r="C245" s="4" t="n">
        <x:v>48</x:v>
      </x:c>
      <x:c r="D245" s="4" t="n">
        <x:v>2026</x:v>
      </x:c>
      <x:c r="E245" s="4" t="str">
        <x:v>no_variance_shrink</x:v>
      </x:c>
      <x:c r="F245" s="9" t="n">
        <x:v>1</x:v>
      </x:c>
      <x:c r="G245" s="9" t="n">
        <x:v>0.295966475082907</x:v>
      </x:c>
      <x:c r="H245" s="9" t="n">
        <x:v>0.427655586810255</x:v>
      </x:c>
      <x:c r="I245" s="9" t="n">
        <x:v>0.279129610583163</x:v>
      </x:c>
      <x:c r="J245" s="9" t="n">
        <x:v>0.401650669771589</x:v>
      </x:c>
      <x:c r="K245" s="9" t="n">
        <x:v>0.279129610583163</x:v>
      </x:c>
      <x:c r="L245" s="9" t="n">
        <x:v>0.401650669771589</x:v>
      </x:c>
      <x:c r="M245" s="9" t="n">
        <x:v>-5.688774208304636</x:v>
      </x:c>
      <x:c r="N245" s="9" t="n">
        <x:v>-6.080808445091968</x:v>
      </x:c>
      <x:c r="O245" s="9" t="n">
        <x:v>0.610902607440948</x:v>
      </x:c>
      <x:c r="P245" s="9" t="n">
        <x:v>0.166106775403023</x:v>
      </x:c>
      <x:c r="Q245" s="9" t="n">
        <x:v>3002</x:v>
      </x:c>
      <x:c r="R245" s="9" t="n">
        <x:v>2</x:v>
      </x:c>
      <x:c r="S245" s="17" t="b">
        <x:v>1</x:v>
      </x:c>
      <x:c r="T245" s="18"/>
      <x:c r="U245" s="18"/>
    </x:row>
    <x:row r="246" ht="22" customHeight="1">
      <x:c r="A246" s="4" t="str">
        <x:v>SpecTF</x:v>
      </x:c>
      <x:c r="B246" s="4" t="str">
        <x:v>Environment</x:v>
      </x:c>
      <x:c r="C246" s="4" t="n">
        <x:v>48</x:v>
      </x:c>
      <x:c r="D246" s="4" t="n">
        <x:v>2026</x:v>
      </x:c>
      <x:c r="E246" s="4" t="str">
        <x:v>no_variance_shrink</x:v>
      </x:c>
      <x:c r="F246" s="9" t="n">
        <x:v>1</x:v>
      </x:c>
      <x:c r="G246" s="9" t="n">
        <x:v>0.304436983319333</x:v>
      </x:c>
      <x:c r="H246" s="9" t="n">
        <x:v>0.404471612568093</x:v>
      </x:c>
      <x:c r="I246" s="9" t="n">
        <x:v>0.296962546244807</x:v>
      </x:c>
      <x:c r="J246" s="9" t="n">
        <x:v>0.390209497333588</x:v>
      </x:c>
      <x:c r="K246" s="9" t="n">
        <x:v>0.296962546244807</x:v>
      </x:c>
      <x:c r="L246" s="9" t="n">
        <x:v>0.390209497333588</x:v>
      </x:c>
      <x:c r="M246" s="9" t="n">
        <x:v>-2.455167237906319</x:v>
      </x:c>
      <x:c r="N246" s="9" t="n">
        <x:v>-3.526110310672104</x:v>
      </x:c>
      <x:c r="O246" s="9" t="n">
        <x:v>0.610902607440948</x:v>
      </x:c>
      <x:c r="P246" s="9" t="n">
        <x:v>0.156851321458816</x:v>
      </x:c>
      <x:c r="Q246" s="9" t="n">
        <x:v>3002</x:v>
      </x:c>
      <x:c r="R246" s="9" t="n">
        <x:v>2</x:v>
      </x:c>
      <x:c r="S246" s="17" t="b">
        <x:v>1</x:v>
      </x:c>
      <x:c r="T246" s="18"/>
      <x:c r="U246" s="18"/>
    </x:row>
    <x:row r="247" ht="22" customHeight="1">
      <x:c r="A247" s="4" t="str">
        <x:v>CFA</x:v>
      </x:c>
      <x:c r="B247" s="4" t="str">
        <x:v>Environment</x:v>
      </x:c>
      <x:c r="C247" s="4" t="n">
        <x:v>48</x:v>
      </x:c>
      <x:c r="D247" s="4" t="n">
        <x:v>2026</x:v>
      </x:c>
      <x:c r="E247" s="4" t="str">
        <x:v>no_variance_shrink</x:v>
      </x:c>
      <x:c r="F247" s="9" t="n">
        <x:v>0.5</x:v>
      </x:c>
      <x:c r="G247" s="9" t="n">
        <x:v>0.31664634101683</x:v>
      </x:c>
      <x:c r="H247" s="9" t="n">
        <x:v>0.39642162561097</x:v>
      </x:c>
      <x:c r="I247" s="9" t="n">
        <x:v>0.316958016998064</x:v>
      </x:c>
      <x:c r="J247" s="9" t="n">
        <x:v>0.391409876840621</x:v>
      </x:c>
      <x:c r="K247" s="9" t="n">
        <x:v>0.320264583915342</x:v>
      </x:c>
      <x:c r="L247" s="9" t="n">
        <x:v>0.388503367235852</x:v>
      </x:c>
      <x:c r="M247" s="9" t="n">
        <x:v>0.098430311947428</x:v>
      </x:c>
      <x:c r="N247" s="9" t="n">
        <x:v>-1.264247065892132</x:v>
      </x:c>
      <x:c r="O247" s="9" t="n">
        <x:v>0.610902607440948</x:v>
      </x:c>
      <x:c r="P247" s="9" t="n">
        <x:v>0.151789948344231</x:v>
      </x:c>
      <x:c r="Q247" s="9" t="n">
        <x:v>3002</x:v>
      </x:c>
      <x:c r="R247" s="9" t="n">
        <x:v>2</x:v>
      </x:c>
      <x:c r="S247" s="17" t="b">
        <x:v>1</x:v>
      </x:c>
      <x:c r="T247" s="18"/>
      <x:c r="U247" s="18"/>
    </x:row>
    <x:row r="248" ht="22" customHeight="1">
      <x:c r="A248" s="4" t="str">
        <x:v>Aurora</x:v>
      </x:c>
      <x:c r="B248" s="4" t="str">
        <x:v>Environment</x:v>
      </x:c>
      <x:c r="C248" s="4" t="n">
        <x:v>48</x:v>
      </x:c>
      <x:c r="D248" s="4" t="n">
        <x:v>2026</x:v>
      </x:c>
      <x:c r="E248" s="4" t="str">
        <x:v>no_variance_shrink</x:v>
      </x:c>
      <x:c r="F248" s="9" t="n">
        <x:v>1</x:v>
      </x:c>
      <x:c r="G248" s="9" t="n">
        <x:v>0.394888637572072</x:v>
      </x:c>
      <x:c r="H248" s="9" t="n">
        <x:v>0.443852871655123</x:v>
      </x:c>
      <x:c r="I248" s="9" t="n">
        <x:v>0.393291084786922</x:v>
      </x:c>
      <x:c r="J248" s="9" t="n">
        <x:v>0.43707163369989</x:v>
      </x:c>
      <x:c r="K248" s="9" t="n">
        <x:v>0.393291084786922</x:v>
      </x:c>
      <x:c r="L248" s="9" t="n">
        <x:v>0.43707163369989</x:v>
      </x:c>
      <x:c r="M248" s="9" t="n">
        <x:v>-0.404557800136318</x:v>
      </x:c>
      <x:c r="N248" s="9" t="n">
        <x:v>-1.527812117097693</x:v>
      </x:c>
      <x:c r="O248" s="9" t="n">
        <x:v>0.610902607440948</x:v>
      </x:c>
      <x:c r="P248" s="9" t="n">
        <x:v>0.153322666883469</x:v>
      </x:c>
      <x:c r="Q248" s="9" t="n">
        <x:v>3002</x:v>
      </x:c>
      <x:c r="R248" s="9" t="n">
        <x:v>2</x:v>
      </x:c>
      <x:c r="S248" s="17" t="b">
        <x:v>1</x:v>
      </x:c>
      <x:c r="T248" s="18"/>
      <x:c r="U248" s="18"/>
    </x:row>
    <x:row r="249" ht="22" customHeight="1">
      <x:c r="A249" s="4" t="str">
        <x:v>TaTS</x:v>
      </x:c>
      <x:c r="B249" s="4" t="str">
        <x:v>Environment</x:v>
      </x:c>
      <x:c r="C249" s="4" t="n">
        <x:v>48</x:v>
      </x:c>
      <x:c r="D249" s="4" t="n">
        <x:v>2027</x:v>
      </x:c>
      <x:c r="E249" s="4" t="str">
        <x:v>no_variance_shrink</x:v>
      </x:c>
      <x:c r="F249" s="9" t="n">
        <x:v>1</x:v>
      </x:c>
      <x:c r="G249" s="9" t="n">
        <x:v>0.303507164738101</x:v>
      </x:c>
      <x:c r="H249" s="9" t="n">
        <x:v>0.430787174049235</x:v>
      </x:c>
      <x:c r="I249" s="9" t="n">
        <x:v>0.283521221133502</x:v>
      </x:c>
      <x:c r="J249" s="9" t="n">
        <x:v>0.405497277566534</x:v>
      </x:c>
      <x:c r="K249" s="9" t="n">
        <x:v>0.283521221133502</x:v>
      </x:c>
      <x:c r="L249" s="9" t="n">
        <x:v>0.405497277566534</x:v>
      </x:c>
      <x:c r="M249" s="9" t="n">
        <x:v>-6.584998947832155</x:v>
      </x:c>
      <x:c r="N249" s="9" t="n">
        <x:v>-5.870624291105464</x:v>
      </x:c>
      <x:c r="O249" s="9" t="n">
        <x:v>0.623447418212891</x:v>
      </x:c>
      <x:c r="P249" s="9" t="n">
        <x:v>0.17206335067749</x:v>
      </x:c>
      <x:c r="Q249" s="9" t="n">
        <x:v>3002</x:v>
      </x:c>
      <x:c r="R249" s="9" t="n">
        <x:v>2</x:v>
      </x:c>
      <x:c r="S249" s="17" t="b">
        <x:v>1</x:v>
      </x:c>
      <x:c r="T249" s="18"/>
      <x:c r="U249" s="18"/>
    </x:row>
    <x:row r="250" ht="22" customHeight="1">
      <x:c r="A250" s="4" t="str">
        <x:v>MM-TSFlib</x:v>
      </x:c>
      <x:c r="B250" s="4" t="str">
        <x:v>Environment</x:v>
      </x:c>
      <x:c r="C250" s="4" t="n">
        <x:v>48</x:v>
      </x:c>
      <x:c r="D250" s="4" t="n">
        <x:v>2027</x:v>
      </x:c>
      <x:c r="E250" s="4" t="str">
        <x:v>no_variance_shrink</x:v>
      </x:c>
      <x:c r="F250" s="9" t="n">
        <x:v>1</x:v>
      </x:c>
      <x:c r="G250" s="9" t="n">
        <x:v>0.295966475082907</x:v>
      </x:c>
      <x:c r="H250" s="9" t="n">
        <x:v>0.427655586810255</x:v>
      </x:c>
      <x:c r="I250" s="9" t="n">
        <x:v>0.278412845074574</x:v>
      </x:c>
      <x:c r="J250" s="9" t="n">
        <x:v>0.400822902267062</x:v>
      </x:c>
      <x:c r="K250" s="9" t="n">
        <x:v>0.278412845074574</x:v>
      </x:c>
      <x:c r="L250" s="9" t="n">
        <x:v>0.400822902267062</x:v>
      </x:c>
      <x:c r="M250" s="9" t="n">
        <x:v>-5.930952147001145</x:v>
      </x:c>
      <x:c r="N250" s="9" t="n">
        <x:v>-6.274367825597437</x:v>
      </x:c>
      <x:c r="O250" s="9" t="n">
        <x:v>0.623447418212891</x:v>
      </x:c>
      <x:c r="P250" s="9" t="n">
        <x:v>0.172612741589546</x:v>
      </x:c>
      <x:c r="Q250" s="9" t="n">
        <x:v>3002</x:v>
      </x:c>
      <x:c r="R250" s="9" t="n">
        <x:v>2</x:v>
      </x:c>
      <x:c r="S250" s="17" t="b">
        <x:v>1</x:v>
      </x:c>
      <x:c r="T250" s="18"/>
      <x:c r="U250" s="18"/>
    </x:row>
    <x:row r="251" ht="22" customHeight="1">
      <x:c r="A251" s="4" t="str">
        <x:v>SpecTF</x:v>
      </x:c>
      <x:c r="B251" s="4" t="str">
        <x:v>Environment</x:v>
      </x:c>
      <x:c r="C251" s="4" t="n">
        <x:v>48</x:v>
      </x:c>
      <x:c r="D251" s="4" t="n">
        <x:v>2027</x:v>
      </x:c>
      <x:c r="E251" s="4" t="str">
        <x:v>no_variance_shrink</x:v>
      </x:c>
      <x:c r="F251" s="9" t="n">
        <x:v>1</x:v>
      </x:c>
      <x:c r="G251" s="9" t="n">
        <x:v>0.304436983319333</x:v>
      </x:c>
      <x:c r="H251" s="9" t="n">
        <x:v>0.404471612568093</x:v>
      </x:c>
      <x:c r="I251" s="9" t="n">
        <x:v>0.297918866241967</x:v>
      </x:c>
      <x:c r="J251" s="9" t="n">
        <x:v>0.390521802133477</x:v>
      </x:c>
      <x:c r="K251" s="9" t="n">
        <x:v>0.297918866241967</x:v>
      </x:c>
      <x:c r="L251" s="9" t="n">
        <x:v>0.390521802133477</x:v>
      </x:c>
      <x:c r="M251" s="9" t="n">
        <x:v>-2.141039832381076</x:v>
      </x:c>
      <x:c r="N251" s="9" t="n">
        <x:v>-3.448897277622442</x:v>
      </x:c>
      <x:c r="O251" s="9" t="n">
        <x:v>0.623447418212891</x:v>
      </x:c>
      <x:c r="P251" s="9" t="n">
        <x:v>0.17078486084938</x:v>
      </x:c>
      <x:c r="Q251" s="9" t="n">
        <x:v>3002</x:v>
      </x:c>
      <x:c r="R251" s="9" t="n">
        <x:v>2</x:v>
      </x:c>
      <x:c r="S251" s="17" t="b">
        <x:v>1</x:v>
      </x:c>
      <x:c r="T251" s="18"/>
      <x:c r="U251" s="18"/>
    </x:row>
    <x:row r="252" ht="22" customHeight="1">
      <x:c r="A252" s="4" t="str">
        <x:v>CFA</x:v>
      </x:c>
      <x:c r="B252" s="4" t="str">
        <x:v>Environment</x:v>
      </x:c>
      <x:c r="C252" s="4" t="n">
        <x:v>48</x:v>
      </x:c>
      <x:c r="D252" s="4" t="n">
        <x:v>2027</x:v>
      </x:c>
      <x:c r="E252" s="4" t="str">
        <x:v>no_variance_shrink</x:v>
      </x:c>
      <x:c r="F252" s="9" t="n">
        <x:v>0.25</x:v>
      </x:c>
      <x:c r="G252" s="9" t="n">
        <x:v>0.31664634101683</x:v>
      </x:c>
      <x:c r="H252" s="9" t="n">
        <x:v>0.39642162561097</x:v>
      </x:c>
      <x:c r="I252" s="9" t="n">
        <x:v>0.316526478705212</x:v>
      </x:c>
      <x:c r="J252" s="9" t="n">
        <x:v>0.393559787780379</x:v>
      </x:c>
      <x:c r="K252" s="9" t="n">
        <x:v>0.321768295520157</x:v>
      </x:c>
      <x:c r="L252" s="9" t="n">
        <x:v>0.388870843519849</x:v>
      </x:c>
      <x:c r="M252" s="9" t="n">
        <x:v>-0.037853685987099</x:v>
      </x:c>
      <x:c r="N252" s="9" t="n">
        <x:v>-0.721917687053464</x:v>
      </x:c>
      <x:c r="O252" s="9" t="n">
        <x:v>0.623447418212891</x:v>
      </x:c>
      <x:c r="P252" s="9" t="n">
        <x:v>0.170388355851173</x:v>
      </x:c>
      <x:c r="Q252" s="9" t="n">
        <x:v>3002</x:v>
      </x:c>
      <x:c r="R252" s="9" t="n">
        <x:v>2</x:v>
      </x:c>
      <x:c r="S252" s="17" t="b">
        <x:v>1</x:v>
      </x:c>
      <x:c r="T252" s="18"/>
      <x:c r="U252" s="18"/>
    </x:row>
    <x:row r="253" ht="22" customHeight="1">
      <x:c r="A253" s="4" t="str">
        <x:v>Aurora</x:v>
      </x:c>
      <x:c r="B253" s="4" t="str">
        <x:v>Environment</x:v>
      </x:c>
      <x:c r="C253" s="4" t="n">
        <x:v>48</x:v>
      </x:c>
      <x:c r="D253" s="4" t="n">
        <x:v>2027</x:v>
      </x:c>
      <x:c r="E253" s="4" t="str">
        <x:v>no_variance_shrink</x:v>
      </x:c>
      <x:c r="F253" s="9" t="n">
        <x:v>1</x:v>
      </x:c>
      <x:c r="G253" s="9" t="n">
        <x:v>0.394888637572072</x:v>
      </x:c>
      <x:c r="H253" s="9" t="n">
        <x:v>0.443852871655123</x:v>
      </x:c>
      <x:c r="I253" s="9" t="n">
        <x:v>0.394518409767317</x:v>
      </x:c>
      <x:c r="J253" s="9" t="n">
        <x:v>0.437697164825567</x:v>
      </x:c>
      <x:c r="K253" s="9" t="n">
        <x:v>0.394518409767317</x:v>
      </x:c>
      <x:c r="L253" s="9" t="n">
        <x:v>0.437697164825567</x:v>
      </x:c>
      <x:c r="M253" s="9" t="n">
        <x:v>-0.093754990528938</x:v>
      </x:c>
      <x:c r="N253" s="9" t="n">
        <x:v>-1.386880027744764</x:v>
      </x:c>
      <x:c r="O253" s="9" t="n">
        <x:v>0.623447418212891</x:v>
      </x:c>
      <x:c r="P253" s="9" t="n">
        <x:v>0.170778974890709</x:v>
      </x:c>
      <x:c r="Q253" s="9" t="n">
        <x:v>3002</x:v>
      </x:c>
      <x:c r="R253" s="9" t="n">
        <x:v>2</x:v>
      </x:c>
      <x:c r="S253" s="17" t="b">
        <x:v>1</x:v>
      </x:c>
      <x:c r="T253" s="18"/>
      <x:c r="U253" s="18"/>
    </x:row>
    <x:row r="254" ht="22" customHeight="1">
      <x:c r="A254" s="4" t="str">
        <x:v>TaTS</x:v>
      </x:c>
      <x:c r="B254" s="4" t="str">
        <x:v>Environment</x:v>
      </x:c>
      <x:c r="C254" s="4" t="n">
        <x:v>48</x:v>
      </x:c>
      <x:c r="D254" s="4" t="n">
        <x:v>2028</x:v>
      </x:c>
      <x:c r="E254" s="4" t="str">
        <x:v>no_variance_shrink</x:v>
      </x:c>
      <x:c r="F254" s="9" t="n">
        <x:v>1</x:v>
      </x:c>
      <x:c r="G254" s="9" t="n">
        <x:v>0.303507164738101</x:v>
      </x:c>
      <x:c r="H254" s="9" t="n">
        <x:v>0.430787174049235</x:v>
      </x:c>
      <x:c r="I254" s="9" t="n">
        <x:v>0.282674788231506</x:v>
      </x:c>
      <x:c r="J254" s="9" t="n">
        <x:v>0.405026564387486</x:v>
      </x:c>
      <x:c r="K254" s="9" t="n">
        <x:v>0.282674788231506</x:v>
      </x:c>
      <x:c r="L254" s="9" t="n">
        <x:v>0.405026564387486</x:v>
      </x:c>
      <x:c r="M254" s="9" t="n">
        <x:v>-6.86388294146898</x:v>
      </x:c>
      <x:c r="N254" s="9" t="n">
        <x:v>-5.979892441924273</x:v>
      </x:c>
      <x:c r="O254" s="9" t="n">
        <x:v>0.534629881381988</x:v>
      </x:c>
      <x:c r="P254" s="9" t="n">
        <x:v>0.164297953248024</x:v>
      </x:c>
      <x:c r="Q254" s="9" t="n">
        <x:v>3002</x:v>
      </x:c>
      <x:c r="R254" s="9" t="n">
        <x:v>2</x:v>
      </x:c>
      <x:c r="S254" s="17" t="b">
        <x:v>1</x:v>
      </x:c>
      <x:c r="T254" s="18"/>
      <x:c r="U254" s="18"/>
    </x:row>
    <x:row r="255" ht="22" customHeight="1">
      <x:c r="A255" s="4" t="str">
        <x:v>MM-TSFlib</x:v>
      </x:c>
      <x:c r="B255" s="4" t="str">
        <x:v>Environment</x:v>
      </x:c>
      <x:c r="C255" s="4" t="n">
        <x:v>48</x:v>
      </x:c>
      <x:c r="D255" s="4" t="n">
        <x:v>2028</x:v>
      </x:c>
      <x:c r="E255" s="4" t="str">
        <x:v>no_variance_shrink</x:v>
      </x:c>
      <x:c r="F255" s="9" t="n">
        <x:v>1</x:v>
      </x:c>
      <x:c r="G255" s="9" t="n">
        <x:v>0.295966475082907</x:v>
      </x:c>
      <x:c r="H255" s="9" t="n">
        <x:v>0.427655586810255</x:v>
      </x:c>
      <x:c r="I255" s="9" t="n">
        <x:v>0.278879469762275</x:v>
      </x:c>
      <x:c r="J255" s="9" t="n">
        <x:v>0.401485443145986</x:v>
      </x:c>
      <x:c r="K255" s="9" t="n">
        <x:v>0.278879469762275</x:v>
      </x:c>
      <x:c r="L255" s="9" t="n">
        <x:v>0.401485443145986</x:v>
      </x:c>
      <x:c r="M255" s="9" t="n">
        <x:v>-5.773290814727005</x:v>
      </x:c>
      <x:c r="N255" s="9" t="n">
        <x:v>-6.119443886951881</x:v>
      </x:c>
      <x:c r="O255" s="9" t="n">
        <x:v>0.534629881381988</x:v>
      </x:c>
      <x:c r="P255" s="9" t="n">
        <x:v>0.163578748703003</x:v>
      </x:c>
      <x:c r="Q255" s="9" t="n">
        <x:v>3002</x:v>
      </x:c>
      <x:c r="R255" s="9" t="n">
        <x:v>2</x:v>
      </x:c>
      <x:c r="S255" s="17" t="b">
        <x:v>1</x:v>
      </x:c>
      <x:c r="T255" s="18"/>
      <x:c r="U255" s="18"/>
    </x:row>
    <x:row r="256" ht="22" customHeight="1">
      <x:c r="A256" s="4" t="str">
        <x:v>SpecTF</x:v>
      </x:c>
      <x:c r="B256" s="4" t="str">
        <x:v>Environment</x:v>
      </x:c>
      <x:c r="C256" s="4" t="n">
        <x:v>48</x:v>
      </x:c>
      <x:c r="D256" s="4" t="n">
        <x:v>2028</x:v>
      </x:c>
      <x:c r="E256" s="4" t="str">
        <x:v>no_variance_shrink</x:v>
      </x:c>
      <x:c r="F256" s="9" t="n">
        <x:v>1</x:v>
      </x:c>
      <x:c r="G256" s="9" t="n">
        <x:v>0.304436983319333</x:v>
      </x:c>
      <x:c r="H256" s="9" t="n">
        <x:v>0.404471612568093</x:v>
      </x:c>
      <x:c r="I256" s="9" t="n">
        <x:v>0.296463112551636</x:v>
      </x:c>
      <x:c r="J256" s="9" t="n">
        <x:v>0.389632615904187</x:v>
      </x:c>
      <x:c r="K256" s="9" t="n">
        <x:v>0.296463112551636</x:v>
      </x:c>
      <x:c r="L256" s="9" t="n">
        <x:v>0.389632615904187</x:v>
      </x:c>
      <x:c r="M256" s="9" t="n">
        <x:v>-2.619218821825386</x:v>
      </x:c>
      <x:c r="N256" s="9" t="n">
        <x:v>-3.668736248185478</x:v>
      </x:c>
      <x:c r="O256" s="9" t="n">
        <x:v>0.534629881381988</x:v>
      </x:c>
      <x:c r="P256" s="9" t="n">
        <x:v>0.158370122313499</x:v>
      </x:c>
      <x:c r="Q256" s="9" t="n">
        <x:v>3002</x:v>
      </x:c>
      <x:c r="R256" s="9" t="n">
        <x:v>2</x:v>
      </x:c>
      <x:c r="S256" s="17" t="b">
        <x:v>1</x:v>
      </x:c>
      <x:c r="T256" s="18"/>
      <x:c r="U256" s="18"/>
    </x:row>
    <x:row r="257" ht="22" customHeight="1">
      <x:c r="A257" s="4" t="str">
        <x:v>CFA</x:v>
      </x:c>
      <x:c r="B257" s="4" t="str">
        <x:v>Environment</x:v>
      </x:c>
      <x:c r="C257" s="4" t="n">
        <x:v>48</x:v>
      </x:c>
      <x:c r="D257" s="4" t="n">
        <x:v>2028</x:v>
      </x:c>
      <x:c r="E257" s="4" t="str">
        <x:v>no_variance_shrink</x:v>
      </x:c>
      <x:c r="F257" s="9" t="n">
        <x:v>0.5</x:v>
      </x:c>
      <x:c r="G257" s="9" t="n">
        <x:v>0.31664634101683</x:v>
      </x:c>
      <x:c r="H257" s="9" t="n">
        <x:v>0.39642162561097</x:v>
      </x:c>
      <x:c r="I257" s="9" t="n">
        <x:v>0.316911649081605</x:v>
      </x:c>
      <x:c r="J257" s="9" t="n">
        <x:v>0.391138459541012</x:v>
      </x:c>
      <x:c r="K257" s="9" t="n">
        <x:v>0.320185179434444</x:v>
      </x:c>
      <x:c r="L257" s="9" t="n">
        <x:v>0.387980228809923</x:v>
      </x:c>
      <x:c r="M257" s="9" t="n">
        <x:v>0.083786872105462</x:v>
      </x:c>
      <x:c r="N257" s="9" t="n">
        <x:v>-1.332713890624737</x:v>
      </x:c>
      <x:c r="O257" s="9" t="n">
        <x:v>0.534629881381988</x:v>
      </x:c>
      <x:c r="P257" s="9" t="n">
        <x:v>0.15593583881855</x:v>
      </x:c>
      <x:c r="Q257" s="9" t="n">
        <x:v>3002</x:v>
      </x:c>
      <x:c r="R257" s="9" t="n">
        <x:v>2</x:v>
      </x:c>
      <x:c r="S257" s="17" t="b">
        <x:v>1</x:v>
      </x:c>
      <x:c r="T257" s="18"/>
      <x:c r="U257" s="18"/>
    </x:row>
    <x:row r="258" ht="22" customHeight="1">
      <x:c r="A258" s="4" t="str">
        <x:v>Aurora</x:v>
      </x:c>
      <x:c r="B258" s="4" t="str">
        <x:v>Environment</x:v>
      </x:c>
      <x:c r="C258" s="4" t="n">
        <x:v>48</x:v>
      </x:c>
      <x:c r="D258" s="4" t="n">
        <x:v>2028</x:v>
      </x:c>
      <x:c r="E258" s="4" t="str">
        <x:v>no_variance_shrink</x:v>
      </x:c>
      <x:c r="F258" s="9" t="n">
        <x:v>1</x:v>
      </x:c>
      <x:c r="G258" s="9" t="n">
        <x:v>0.394888637572072</x:v>
      </x:c>
      <x:c r="H258" s="9" t="n">
        <x:v>0.443852871655123</x:v>
      </x:c>
      <x:c r="I258" s="9" t="n">
        <x:v>0.39334085593662</x:v>
      </x:c>
      <x:c r="J258" s="9" t="n">
        <x:v>0.436819977245454</x:v>
      </x:c>
      <x:c r="K258" s="9" t="n">
        <x:v>0.39334085593662</x:v>
      </x:c>
      <x:c r="L258" s="9" t="n">
        <x:v>0.436819977245454</x:v>
      </x:c>
      <x:c r="M258" s="9" t="n">
        <x:v>-0.391953955669222</x:v>
      </x:c>
      <x:c r="N258" s="9" t="n">
        <x:v>-1.584510286808238</x:v>
      </x:c>
      <x:c r="O258" s="9" t="n">
        <x:v>0.534629881381988</x:v>
      </x:c>
      <x:c r="P258" s="9" t="n">
        <x:v>0.156479343771934</x:v>
      </x:c>
      <x:c r="Q258" s="9" t="n">
        <x:v>3002</x:v>
      </x:c>
      <x:c r="R258" s="9" t="n">
        <x:v>2</x:v>
      </x:c>
      <x:c r="S258" s="17" t="b">
        <x:v>1</x:v>
      </x:c>
      <x:c r="T258" s="18"/>
      <x:c r="U258" s="18"/>
    </x:row>
    <x:row r="259" ht="22" customHeight="1">
      <x:c r="A259" s="4" t="str">
        <x:v>TaTS</x:v>
      </x:c>
      <x:c r="B259" s="4" t="str">
        <x:v>Environment</x:v>
      </x:c>
      <x:c r="C259" s="4" t="n">
        <x:v>96</x:v>
      </x:c>
      <x:c r="D259" s="4" t="n">
        <x:v>2026</x:v>
      </x:c>
      <x:c r="E259" s="4" t="str">
        <x:v>no_variance_shrink</x:v>
      </x:c>
      <x:c r="F259" s="9" t="n">
        <x:v>1</x:v>
      </x:c>
      <x:c r="G259" s="9" t="n">
        <x:v>0.296970084802483</x:v>
      </x:c>
      <x:c r="H259" s="9" t="n">
        <x:v>0.422275969020348</x:v>
      </x:c>
      <x:c r="I259" s="9" t="n">
        <x:v>0.280568201561056</x:v>
      </x:c>
      <x:c r="J259" s="9" t="n">
        <x:v>0.400741223500042</x:v>
      </x:c>
      <x:c r="K259" s="9" t="n">
        <x:v>0.280568201561056</x:v>
      </x:c>
      <x:c r="L259" s="9" t="n">
        <x:v>0.400741223500042</x:v>
      </x:c>
      <x:c r="M259" s="9" t="n">
        <x:v>-5.523075919359533</x:v>
      </x:c>
      <x:c r="N259" s="9" t="n">
        <x:v>-5.099685300649536</x:v>
      </x:c>
      <x:c r="O259" s="9" t="n">
        <x:v>0.571671009063721</x:v>
      </x:c>
      <x:c r="P259" s="9" t="n">
        <x:v>0.17731162905693</x:v>
      </x:c>
      <x:c r="Q259" s="9" t="n">
        <x:v>2954</x:v>
      </x:c>
      <x:c r="R259" s="9" t="n">
        <x:v>3</x:v>
      </x:c>
      <x:c r="S259" s="17" t="b">
        <x:v>1</x:v>
      </x:c>
      <x:c r="T259" s="18"/>
      <x:c r="U259" s="18"/>
    </x:row>
    <x:row r="260" ht="22" customHeight="1">
      <x:c r="A260" s="4" t="str">
        <x:v>MM-TSFlib</x:v>
      </x:c>
      <x:c r="B260" s="4" t="str">
        <x:v>Environment</x:v>
      </x:c>
      <x:c r="C260" s="4" t="n">
        <x:v>96</x:v>
      </x:c>
      <x:c r="D260" s="4" t="n">
        <x:v>2026</x:v>
      </x:c>
      <x:c r="E260" s="4" t="str">
        <x:v>no_variance_shrink</x:v>
      </x:c>
      <x:c r="F260" s="9" t="n">
        <x:v>1</x:v>
      </x:c>
      <x:c r="G260" s="9" t="n">
        <x:v>0.345559992192293</x:v>
      </x:c>
      <x:c r="H260" s="9" t="n">
        <x:v>0.463308082947142</x:v>
      </x:c>
      <x:c r="I260" s="9" t="n">
        <x:v>0.313598637302149</x:v>
      </x:c>
      <x:c r="J260" s="9" t="n">
        <x:v>0.431423427413612</x:v>
      </x:c>
      <x:c r="K260" s="9" t="n">
        <x:v>0.313598637302149</x:v>
      </x:c>
      <x:c r="L260" s="9" t="n">
        <x:v>0.431423427413612</x:v>
      </x:c>
      <x:c r="M260" s="9" t="n">
        <x:v>-9.24914793734526</x:v>
      </x:c>
      <x:c r="N260" s="9" t="n">
        <x:v>-6.881955378526794</x:v>
      </x:c>
      <x:c r="O260" s="9" t="n">
        <x:v>0.571671009063721</x:v>
      </x:c>
      <x:c r="P260" s="9" t="n">
        <x:v>0.188555091619492</x:v>
      </x:c>
      <x:c r="Q260" s="9" t="n">
        <x:v>2954</x:v>
      </x:c>
      <x:c r="R260" s="9" t="n">
        <x:v>3</x:v>
      </x:c>
      <x:c r="S260" s="17" t="b">
        <x:v>1</x:v>
      </x:c>
      <x:c r="T260" s="18"/>
      <x:c r="U260" s="18"/>
    </x:row>
    <x:row r="261" ht="22" customHeight="1">
      <x:c r="A261" s="4" t="str">
        <x:v>SpecTF</x:v>
      </x:c>
      <x:c r="B261" s="4" t="str">
        <x:v>Environment</x:v>
      </x:c>
      <x:c r="C261" s="4" t="n">
        <x:v>96</x:v>
      </x:c>
      <x:c r="D261" s="4" t="n">
        <x:v>2026</x:v>
      </x:c>
      <x:c r="E261" s="4" t="str">
        <x:v>no_variance_shrink</x:v>
      </x:c>
      <x:c r="F261" s="9" t="n">
        <x:v>0</x:v>
      </x:c>
      <x:c r="G261" s="9" t="n">
        <x:v>0.329487640824524</x:v>
      </x:c>
      <x:c r="H261" s="9" t="n">
        <x:v>0.413013794677688</x:v>
      </x:c>
      <x:c r="I261" s="9" t="n">
        <x:v>0.329487640824524</x:v>
      </x:c>
      <x:c r="J261" s="9" t="n">
        <x:v>0.413013794677688</x:v>
      </x:c>
      <x:c r="K261" s="9" t="n">
        <x:v>0.339269353226805</x:v>
      </x:c>
      <x:c r="L261" s="9" t="n">
        <x:v>0.417723188318946</x:v>
      </x:c>
      <x:c r="M261" s="9" t="n">
        <x:v>0</x:v>
      </x:c>
      <x:c r="N261" s="9" t="n">
        <x:v>0</x:v>
      </x:c>
      <x:c r="O261" s="9" t="n">
        <x:v>0.571671009063721</x:v>
      </x:c>
      <x:c r="P261" s="9" t="n">
        <x:v>0.152315676212311</x:v>
      </x:c>
      <x:c r="Q261" s="9" t="n">
        <x:v>2954</x:v>
      </x:c>
      <x:c r="R261" s="9" t="n">
        <x:v>3</x:v>
      </x:c>
      <x:c r="S261" s="17" t="b">
        <x:v>0</x:v>
      </x:c>
      <x:c r="T261" s="18"/>
      <x:c r="U261" s="18"/>
    </x:row>
    <x:row r="262" ht="22" customHeight="1">
      <x:c r="A262" s="4" t="str">
        <x:v>CFA</x:v>
      </x:c>
      <x:c r="B262" s="4" t="str">
        <x:v>Environment</x:v>
      </x:c>
      <x:c r="C262" s="4" t="n">
        <x:v>96</x:v>
      </x:c>
      <x:c r="D262" s="4" t="n">
        <x:v>2026</x:v>
      </x:c>
      <x:c r="E262" s="4" t="str">
        <x:v>no_variance_shrink</x:v>
      </x:c>
      <x:c r="F262" s="9" t="n">
        <x:v>0.75</x:v>
      </x:c>
      <x:c r="G262" s="9" t="n">
        <x:v>0.352617796823055</x:v>
      </x:c>
      <x:c r="H262" s="9" t="n">
        <x:v>0.412851984932943</x:v>
      </x:c>
      <x:c r="I262" s="9" t="n">
        <x:v>0.35709812692754</x:v>
      </x:c>
      <x:c r="J262" s="9" t="n">
        <x:v>0.412164413833932</x:v>
      </x:c>
      <x:c r="K262" s="9" t="n">
        <x:v>0.359935683756606</x:v>
      </x:c>
      <x:c r="L262" s="9" t="n">
        <x:v>0.412982182382194</x:v>
      </x:c>
      <x:c r="M262" s="9" t="n">
        <x:v>1.270591032231194</x:v>
      </x:c>
      <x:c r="N262" s="9" t="n">
        <x:v>-0.166541793210029</x:v>
      </x:c>
      <x:c r="O262" s="9" t="n">
        <x:v>0.571671009063721</x:v>
      </x:c>
      <x:c r="P262" s="9" t="n">
        <x:v>0.143762350082397</x:v>
      </x:c>
      <x:c r="Q262" s="9" t="n">
        <x:v>2954</x:v>
      </x:c>
      <x:c r="R262" s="9" t="n">
        <x:v>3</x:v>
      </x:c>
      <x:c r="S262" s="17" t="b">
        <x:v>1</x:v>
      </x:c>
      <x:c r="T262" s="18"/>
      <x:c r="U262" s="18"/>
    </x:row>
    <x:row r="263" ht="22" customHeight="1">
      <x:c r="A263" s="4" t="str">
        <x:v>Aurora</x:v>
      </x:c>
      <x:c r="B263" s="4" t="str">
        <x:v>Environment</x:v>
      </x:c>
      <x:c r="C263" s="4" t="n">
        <x:v>96</x:v>
      </x:c>
      <x:c r="D263" s="4" t="n">
        <x:v>2026</x:v>
      </x:c>
      <x:c r="E263" s="4" t="str">
        <x:v>no_variance_shrink</x:v>
      </x:c>
      <x:c r="F263" s="9" t="n">
        <x:v>1</x:v>
      </x:c>
      <x:c r="G263" s="9" t="n">
        <x:v>0.436249744171275</x:v>
      </x:c>
      <x:c r="H263" s="9" t="n">
        <x:v>0.467620981655669</x:v>
      </x:c>
      <x:c r="I263" s="9" t="n">
        <x:v>0.432083580843957</x:v>
      </x:c>
      <x:c r="J263" s="9" t="n">
        <x:v>0.461975544765053</x:v>
      </x:c>
      <x:c r="K263" s="9" t="n">
        <x:v>0.432083580843957</x:v>
      </x:c>
      <x:c r="L263" s="9" t="n">
        <x:v>0.461975544765053</x:v>
      </x:c>
      <x:c r="M263" s="9" t="n">
        <x:v>-0.954995019018889</x:v>
      </x:c>
      <x:c r="N263" s="9" t="n">
        <x:v>-1.207267661649369</x:v>
      </x:c>
      <x:c r="O263" s="9" t="n">
        <x:v>0.571671009063721</x:v>
      </x:c>
      <x:c r="P263" s="9" t="n">
        <x:v>0.149062693119049</x:v>
      </x:c>
      <x:c r="Q263" s="9" t="n">
        <x:v>2954</x:v>
      </x:c>
      <x:c r="R263" s="9" t="n">
        <x:v>3</x:v>
      </x:c>
      <x:c r="S263" s="17" t="b">
        <x:v>1</x:v>
      </x:c>
      <x:c r="T263" s="18"/>
      <x:c r="U263" s="18"/>
    </x:row>
    <x:row r="264" ht="22" customHeight="1">
      <x:c r="A264" s="4" t="str">
        <x:v>TaTS</x:v>
      </x:c>
      <x:c r="B264" s="4" t="str">
        <x:v>Environment</x:v>
      </x:c>
      <x:c r="C264" s="4" t="n">
        <x:v>96</x:v>
      </x:c>
      <x:c r="D264" s="4" t="n">
        <x:v>2027</x:v>
      </x:c>
      <x:c r="E264" s="4" t="str">
        <x:v>no_variance_shrink</x:v>
      </x:c>
      <x:c r="F264" s="9" t="n">
        <x:v>1</x:v>
      </x:c>
      <x:c r="G264" s="9" t="n">
        <x:v>0.296970084802483</x:v>
      </x:c>
      <x:c r="H264" s="9" t="n">
        <x:v>0.422275969020348</x:v>
      </x:c>
      <x:c r="I264" s="9" t="n">
        <x:v>0.286603982191566</x:v>
      </x:c>
      <x:c r="J264" s="9" t="n">
        <x:v>0.398460843932166</x:v>
      </x:c>
      <x:c r="K264" s="9" t="n">
        <x:v>0.286603982191566</x:v>
      </x:c>
      <x:c r="L264" s="9" t="n">
        <x:v>0.398460843932166</x:v>
      </x:c>
      <x:c r="M264" s="9" t="n">
        <x:v>-3.490621830751828</x:v>
      </x:c>
      <x:c r="N264" s="9" t="n">
        <x:v>-5.639706456285154</x:v>
      </x:c>
      <x:c r="O264" s="9" t="n">
        <x:v>0.80597335100174</x:v>
      </x:c>
      <x:c r="P264" s="9" t="n">
        <x:v>0.407066136598587</x:v>
      </x:c>
      <x:c r="Q264" s="9" t="n">
        <x:v>2954</x:v>
      </x:c>
      <x:c r="R264" s="9" t="n">
        <x:v>7</x:v>
      </x:c>
      <x:c r="S264" s="17" t="b">
        <x:v>1</x:v>
      </x:c>
      <x:c r="T264" s="18"/>
      <x:c r="U264" s="18"/>
    </x:row>
    <x:row r="265" ht="22" customHeight="1">
      <x:c r="A265" s="4" t="str">
        <x:v>MM-TSFlib</x:v>
      </x:c>
      <x:c r="B265" s="4" t="str">
        <x:v>Environment</x:v>
      </x:c>
      <x:c r="C265" s="4" t="n">
        <x:v>96</x:v>
      </x:c>
      <x:c r="D265" s="4" t="n">
        <x:v>2027</x:v>
      </x:c>
      <x:c r="E265" s="4" t="str">
        <x:v>no_variance_shrink</x:v>
      </x:c>
      <x:c r="F265" s="9" t="n">
        <x:v>1</x:v>
      </x:c>
      <x:c r="G265" s="9" t="n">
        <x:v>0.345559992192293</x:v>
      </x:c>
      <x:c r="H265" s="9" t="n">
        <x:v>0.463308082947142</x:v>
      </x:c>
      <x:c r="I265" s="9" t="n">
        <x:v>0.310735563628735</x:v>
      </x:c>
      <x:c r="J265" s="9" t="n">
        <x:v>0.422137474560741</x:v>
      </x:c>
      <x:c r="K265" s="9" t="n">
        <x:v>0.310735563628735</x:v>
      </x:c>
      <x:c r="L265" s="9" t="n">
        <x:v>0.422137474560741</x:v>
      </x:c>
      <x:c r="M265" s="9" t="n">
        <x:v>-10.077679520313044</x:v>
      </x:c>
      <x:c r="N265" s="9" t="n">
        <x:v>-8.88622709202711</x:v>
      </x:c>
      <x:c r="O265" s="9" t="n">
        <x:v>0.80597335100174</x:v>
      </x:c>
      <x:c r="P265" s="9" t="n">
        <x:v>0.415914058685303</x:v>
      </x:c>
      <x:c r="Q265" s="9" t="n">
        <x:v>2954</x:v>
      </x:c>
      <x:c r="R265" s="9" t="n">
        <x:v>7</x:v>
      </x:c>
      <x:c r="S265" s="17" t="b">
        <x:v>1</x:v>
      </x:c>
      <x:c r="T265" s="18"/>
      <x:c r="U265" s="18"/>
    </x:row>
    <x:row r="266" ht="22" customHeight="1">
      <x:c r="A266" s="4" t="str">
        <x:v>SpecTF</x:v>
      </x:c>
      <x:c r="B266" s="4" t="str">
        <x:v>Environment</x:v>
      </x:c>
      <x:c r="C266" s="4" t="n">
        <x:v>96</x:v>
      </x:c>
      <x:c r="D266" s="4" t="n">
        <x:v>2027</x:v>
      </x:c>
      <x:c r="E266" s="4" t="str">
        <x:v>no_variance_shrink</x:v>
      </x:c>
      <x:c r="F266" s="9" t="n">
        <x:v>0.5</x:v>
      </x:c>
      <x:c r="G266" s="9" t="n">
        <x:v>0.329487640824524</x:v>
      </x:c>
      <x:c r="H266" s="9" t="n">
        <x:v>0.413013794677688</x:v>
      </x:c>
      <x:c r="I266" s="9" t="n">
        <x:v>0.326422286341574</x:v>
      </x:c>
      <x:c r="J266" s="9" t="n">
        <x:v>0.407427726952799</x:v>
      </x:c>
      <x:c r="K266" s="9" t="n">
        <x:v>0.338168808008432</x:v>
      </x:c>
      <x:c r="L266" s="9" t="n">
        <x:v>0.41301291339232</x:v>
      </x:c>
      <x:c r="M266" s="9" t="n">
        <x:v>-0.930339746668252</x:v>
      </x:c>
      <x:c r="N266" s="9" t="n">
        <x:v>-1.352513595641147</x:v>
      </x:c>
      <x:c r="O266" s="9" t="n">
        <x:v>0.80597335100174</x:v>
      </x:c>
      <x:c r="P266" s="9" t="n">
        <x:v>0.34021133184433</x:v>
      </x:c>
      <x:c r="Q266" s="9" t="n">
        <x:v>2954</x:v>
      </x:c>
      <x:c r="R266" s="9" t="n">
        <x:v>7</x:v>
      </x:c>
      <x:c r="S266" s="17" t="b">
        <x:v>1</x:v>
      </x:c>
      <x:c r="T266" s="18"/>
      <x:c r="U266" s="18"/>
    </x:row>
    <x:row r="267" ht="22" customHeight="1">
      <x:c r="A267" s="4" t="str">
        <x:v>CFA</x:v>
      </x:c>
      <x:c r="B267" s="4" t="str">
        <x:v>Environment</x:v>
      </x:c>
      <x:c r="C267" s="4" t="n">
        <x:v>96</x:v>
      </x:c>
      <x:c r="D267" s="4" t="n">
        <x:v>2027</x:v>
      </x:c>
      <x:c r="E267" s="4" t="str">
        <x:v>no_variance_shrink</x:v>
      </x:c>
      <x:c r="F267" s="9" t="n">
        <x:v>0.5</x:v>
      </x:c>
      <x:c r="G267" s="9" t="n">
        <x:v>0.352617796823055</x:v>
      </x:c>
      <x:c r="H267" s="9" t="n">
        <x:v>0.412851984932943</x:v>
      </x:c>
      <x:c r="I267" s="9" t="n">
        <x:v>0.358892168642788</x:v>
      </x:c>
      <x:c r="J267" s="9" t="n">
        <x:v>0.413898496799193</x:v>
      </x:c>
      <x:c r="K267" s="9" t="n">
        <x:v>0.378067898856087</x:v>
      </x:c>
      <x:c r="L267" s="9" t="n">
        <x:v>0.425066586873</x:v>
      </x:c>
      <x:c r="M267" s="9" t="n">
        <x:v>1.779369015478816</x:v>
      </x:c>
      <x:c r="N267" s="9" t="n">
        <x:v>0.253483549660216</x:v>
      </x:c>
      <x:c r="O267" s="9" t="n">
        <x:v>0.80597335100174</x:v>
      </x:c>
      <x:c r="P267" s="9" t="n">
        <x:v>0.316399842500687</x:v>
      </x:c>
      <x:c r="Q267" s="9" t="n">
        <x:v>2954</x:v>
      </x:c>
      <x:c r="R267" s="9" t="n">
        <x:v>7</x:v>
      </x:c>
      <x:c r="S267" s="17" t="b">
        <x:v>1</x:v>
      </x:c>
      <x:c r="T267" s="18"/>
      <x:c r="U267" s="18"/>
    </x:row>
    <x:row r="268" ht="22" customHeight="1">
      <x:c r="A268" s="4" t="str">
        <x:v>Aurora</x:v>
      </x:c>
      <x:c r="B268" s="4" t="str">
        <x:v>Environment</x:v>
      </x:c>
      <x:c r="C268" s="4" t="n">
        <x:v>96</x:v>
      </x:c>
      <x:c r="D268" s="4" t="n">
        <x:v>2027</x:v>
      </x:c>
      <x:c r="E268" s="4" t="str">
        <x:v>no_variance_shrink</x:v>
      </x:c>
      <x:c r="F268" s="9" t="n">
        <x:v>0</x:v>
      </x:c>
      <x:c r="G268" s="9" t="n">
        <x:v>0.436249744171275</x:v>
      </x:c>
      <x:c r="H268" s="9" t="n">
        <x:v>0.467620981655669</x:v>
      </x:c>
      <x:c r="I268" s="9" t="n">
        <x:v>0.436249744171275</x:v>
      </x:c>
      <x:c r="J268" s="9" t="n">
        <x:v>0.467620981655669</x:v>
      </x:c>
      <x:c r="K268" s="9" t="n">
        <x:v>0.45261043442697</x:v>
      </x:c>
      <x:c r="L268" s="9" t="n">
        <x:v>0.472845275721006</x:v>
      </x:c>
      <x:c r="M268" s="9" t="n">
        <x:v>0</x:v>
      </x:c>
      <x:c r="N268" s="9" t="n">
        <x:v>0</x:v>
      </x:c>
      <x:c r="O268" s="9" t="n">
        <x:v>0.80597335100174</x:v>
      </x:c>
      <x:c r="P268" s="9" t="n">
        <x:v>0.340640097856522</x:v>
      </x:c>
      <x:c r="Q268" s="9" t="n">
        <x:v>2954</x:v>
      </x:c>
      <x:c r="R268" s="9" t="n">
        <x:v>7</x:v>
      </x:c>
      <x:c r="S268" s="17" t="b">
        <x:v>0</x:v>
      </x:c>
      <x:c r="T268" s="18"/>
      <x:c r="U268" s="18"/>
    </x:row>
    <x:row r="269" ht="22" customHeight="1">
      <x:c r="A269" s="4" t="str">
        <x:v>TaTS</x:v>
      </x:c>
      <x:c r="B269" s="4" t="str">
        <x:v>Environment</x:v>
      </x:c>
      <x:c r="C269" s="4" t="n">
        <x:v>96</x:v>
      </x:c>
      <x:c r="D269" s="4" t="n">
        <x:v>2028</x:v>
      </x:c>
      <x:c r="E269" s="4" t="str">
        <x:v>no_variance_shrink</x:v>
      </x:c>
      <x:c r="F269" s="9" t="n">
        <x:v>1</x:v>
      </x:c>
      <x:c r="G269" s="9" t="n">
        <x:v>0.296970084802483</x:v>
      </x:c>
      <x:c r="H269" s="9" t="n">
        <x:v>0.422275969020348</x:v>
      </x:c>
      <x:c r="I269" s="9" t="n">
        <x:v>0.279034689751526</x:v>
      </x:c>
      <x:c r="J269" s="9" t="n">
        <x:v>0.399433764134504</x:v>
      </x:c>
      <x:c r="K269" s="9" t="n">
        <x:v>0.279034689751526</x:v>
      </x:c>
      <x:c r="L269" s="9" t="n">
        <x:v>0.399433764134504</x:v>
      </x:c>
      <x:c r="M269" s="9" t="n">
        <x:v>-6.039461874715646</x:v>
      </x:c>
      <x:c r="N269" s="9" t="n">
        <x:v>-5.409307315980183</x:v>
      </x:c>
      <x:c r="O269" s="9" t="n">
        <x:v>0.521024167537689</x:v>
      </x:c>
      <x:c r="P269" s="9" t="n">
        <x:v>0.16421128809452</x:v>
      </x:c>
      <x:c r="Q269" s="9" t="n">
        <x:v>2954</x:v>
      </x:c>
      <x:c r="R269" s="9" t="n">
        <x:v>2</x:v>
      </x:c>
      <x:c r="S269" s="17" t="b">
        <x:v>1</x:v>
      </x:c>
      <x:c r="T269" s="18"/>
      <x:c r="U269" s="18"/>
    </x:row>
    <x:row r="270" ht="22" customHeight="1">
      <x:c r="A270" s="4" t="str">
        <x:v>MM-TSFlib</x:v>
      </x:c>
      <x:c r="B270" s="4" t="str">
        <x:v>Environment</x:v>
      </x:c>
      <x:c r="C270" s="4" t="n">
        <x:v>96</x:v>
      </x:c>
      <x:c r="D270" s="4" t="n">
        <x:v>2028</x:v>
      </x:c>
      <x:c r="E270" s="4" t="str">
        <x:v>no_variance_shrink</x:v>
      </x:c>
      <x:c r="F270" s="9" t="n">
        <x:v>1</x:v>
      </x:c>
      <x:c r="G270" s="9" t="n">
        <x:v>0.345559992192293</x:v>
      </x:c>
      <x:c r="H270" s="9" t="n">
        <x:v>0.463308082947142</x:v>
      </x:c>
      <x:c r="I270" s="9" t="n">
        <x:v>0.313733790716958</x:v>
      </x:c>
      <x:c r="J270" s="9" t="n">
        <x:v>0.43139760170082</x:v>
      </x:c>
      <x:c r="K270" s="9" t="n">
        <x:v>0.313733790716958</x:v>
      </x:c>
      <x:c r="L270" s="9" t="n">
        <x:v>0.43139760170082</x:v>
      </x:c>
      <x:c r="M270" s="9" t="n">
        <x:v>-9.210036518817963</x:v>
      </x:c>
      <x:c r="N270" s="9" t="n">
        <x:v>-6.887529577152374</x:v>
      </x:c>
      <x:c r="O270" s="9" t="n">
        <x:v>0.521024167537689</x:v>
      </x:c>
      <x:c r="P270" s="9" t="n">
        <x:v>0.166135087609291</x:v>
      </x:c>
      <x:c r="Q270" s="9" t="n">
        <x:v>2954</x:v>
      </x:c>
      <x:c r="R270" s="9" t="n">
        <x:v>2</x:v>
      </x:c>
      <x:c r="S270" s="17" t="b">
        <x:v>1</x:v>
      </x:c>
      <x:c r="T270" s="18"/>
      <x:c r="U270" s="18"/>
    </x:row>
    <x:row r="271" ht="22" customHeight="1">
      <x:c r="A271" s="4" t="str">
        <x:v>SpecTF</x:v>
      </x:c>
      <x:c r="B271" s="4" t="str">
        <x:v>Environment</x:v>
      </x:c>
      <x:c r="C271" s="4" t="n">
        <x:v>96</x:v>
      </x:c>
      <x:c r="D271" s="4" t="n">
        <x:v>2028</x:v>
      </x:c>
      <x:c r="E271" s="4" t="str">
        <x:v>no_variance_shrink</x:v>
      </x:c>
      <x:c r="F271" s="9" t="n">
        <x:v>0</x:v>
      </x:c>
      <x:c r="G271" s="9" t="n">
        <x:v>0.329487640824524</x:v>
      </x:c>
      <x:c r="H271" s="9" t="n">
        <x:v>0.413013794677688</x:v>
      </x:c>
      <x:c r="I271" s="9" t="n">
        <x:v>0.329487640824524</x:v>
      </x:c>
      <x:c r="J271" s="9" t="n">
        <x:v>0.413013794677688</x:v>
      </x:c>
      <x:c r="K271" s="9" t="n">
        <x:v>0.34242802619793</x:v>
      </x:c>
      <x:c r="L271" s="9" t="n">
        <x:v>0.419923844065433</x:v>
      </x:c>
      <x:c r="M271" s="9" t="n">
        <x:v>0</x:v>
      </x:c>
      <x:c r="N271" s="9" t="n">
        <x:v>0</x:v>
      </x:c>
      <x:c r="O271" s="9" t="n">
        <x:v>0.521024167537689</x:v>
      </x:c>
      <x:c r="P271" s="9" t="n">
        <x:v>0.156307563185692</x:v>
      </x:c>
      <x:c r="Q271" s="9" t="n">
        <x:v>2954</x:v>
      </x:c>
      <x:c r="R271" s="9" t="n">
        <x:v>2</x:v>
      </x:c>
      <x:c r="S271" s="17" t="b">
        <x:v>0</x:v>
      </x:c>
      <x:c r="T271" s="18"/>
      <x:c r="U271" s="18"/>
    </x:row>
    <x:row r="272" ht="22" customHeight="1">
      <x:c r="A272" s="4" t="str">
        <x:v>CFA</x:v>
      </x:c>
      <x:c r="B272" s="4" t="str">
        <x:v>Environment</x:v>
      </x:c>
      <x:c r="C272" s="4" t="n">
        <x:v>96</x:v>
      </x:c>
      <x:c r="D272" s="4" t="n">
        <x:v>2028</x:v>
      </x:c>
      <x:c r="E272" s="4" t="str">
        <x:v>no_variance_shrink</x:v>
      </x:c>
      <x:c r="F272" s="9" t="n">
        <x:v>0.75</x:v>
      </x:c>
      <x:c r="G272" s="9" t="n">
        <x:v>0.352617796823055</x:v>
      </x:c>
      <x:c r="H272" s="9" t="n">
        <x:v>0.412851984932943</x:v>
      </x:c>
      <x:c r="I272" s="9" t="n">
        <x:v>0.35781836734496</x:v>
      </x:c>
      <x:c r="J272" s="9" t="n">
        <x:v>0.411548419514462</x:v>
      </x:c>
      <x:c r="K272" s="9" t="n">
        <x:v>0.361083220592615</x:v>
      </x:c>
      <x:c r="L272" s="9" t="n">
        <x:v>0.412342322363069</x:v>
      </x:c>
      <x:c r="M272" s="9" t="n">
        <x:v>1.474846297821664</x:v>
      </x:c>
      <x:c r="N272" s="9" t="n">
        <x:v>-0.31574643360186</x:v>
      </x:c>
      <x:c r="O272" s="9" t="n">
        <x:v>0.521024167537689</x:v>
      </x:c>
      <x:c r="P272" s="9" t="n">
        <x:v>0.154209092259407</x:v>
      </x:c>
      <x:c r="Q272" s="9" t="n">
        <x:v>2954</x:v>
      </x:c>
      <x:c r="R272" s="9" t="n">
        <x:v>2</x:v>
      </x:c>
      <x:c r="S272" s="17" t="b">
        <x:v>1</x:v>
      </x:c>
      <x:c r="T272" s="18"/>
      <x:c r="U272" s="18"/>
    </x:row>
    <x:row r="273" ht="22" customHeight="1">
      <x:c r="A273" s="4" t="str">
        <x:v>Aurora</x:v>
      </x:c>
      <x:c r="B273" s="4" t="str">
        <x:v>Environment</x:v>
      </x:c>
      <x:c r="C273" s="4" t="n">
        <x:v>96</x:v>
      </x:c>
      <x:c r="D273" s="4" t="n">
        <x:v>2028</x:v>
      </x:c>
      <x:c r="E273" s="4" t="str">
        <x:v>no_variance_shrink</x:v>
      </x:c>
      <x:c r="F273" s="9" t="n">
        <x:v>1</x:v>
      </x:c>
      <x:c r="G273" s="9" t="n">
        <x:v>0.436249744171275</x:v>
      </x:c>
      <x:c r="H273" s="9" t="n">
        <x:v>0.467620981655669</x:v>
      </x:c>
      <x:c r="I273" s="9" t="n">
        <x:v>0.430299749562214</x:v>
      </x:c>
      <x:c r="J273" s="9" t="n">
        <x:v>0.460078868380073</x:v>
      </x:c>
      <x:c r="K273" s="9" t="n">
        <x:v>0.430299749562214</x:v>
      </x:c>
      <x:c r="L273" s="9" t="n">
        <x:v>0.460078868380073</x:v>
      </x:c>
      <x:c r="M273" s="9" t="n">
        <x:v>-1.363896412217736</x:v>
      </x:c>
      <x:c r="N273" s="9" t="n">
        <x:v>-1.612868877032081</x:v>
      </x:c>
      <x:c r="O273" s="9" t="n">
        <x:v>0.521024167537689</x:v>
      </x:c>
      <x:c r="P273" s="9" t="n">
        <x:v>0.156689092516899</x:v>
      </x:c>
      <x:c r="Q273" s="9" t="n">
        <x:v>2954</x:v>
      </x:c>
      <x:c r="R273" s="9" t="n">
        <x:v>2</x:v>
      </x:c>
      <x:c r="S273" s="17" t="b">
        <x:v>1</x:v>
      </x:c>
      <x:c r="T273" s="18"/>
      <x:c r="U273" s="18"/>
    </x:row>
    <x:row r="274" ht="22" customHeight="1">
      <x:c r="A274" s="4" t="str">
        <x:v>TaTS</x:v>
      </x:c>
      <x:c r="B274" s="4" t="str">
        <x:v>Environment</x:v>
      </x:c>
      <x:c r="C274" s="4" t="n">
        <x:v>192</x:v>
      </x:c>
      <x:c r="D274" s="4" t="n">
        <x:v>2026</x:v>
      </x:c>
      <x:c r="E274" s="4" t="str">
        <x:v>no_variance_shrink</x:v>
      </x:c>
      <x:c r="F274" s="9" t="n">
        <x:v>1</x:v>
      </x:c>
      <x:c r="G274" s="9" t="n">
        <x:v>0.281904758485186</x:v>
      </x:c>
      <x:c r="H274" s="9" t="n">
        <x:v>0.411235770042671</x:v>
      </x:c>
      <x:c r="I274" s="9" t="n">
        <x:v>0.26364558878357</x:v>
      </x:c>
      <x:c r="J274" s="9" t="n">
        <x:v>0.388434809127074</x:v>
      </x:c>
      <x:c r="K274" s="9" t="n">
        <x:v>0.26364558878357</x:v>
      </x:c>
      <x:c r="L274" s="9" t="n">
        <x:v>0.388434809127074</x:v>
      </x:c>
      <x:c r="M274" s="9" t="n">
        <x:v>-6.477070411912244</x:v>
      </x:c>
      <x:c r="N274" s="9" t="n">
        <x:v>-5.544498454799063</x:v>
      </x:c>
      <x:c r="O274" s="9" t="n">
        <x:v>0.756839156150818</x:v>
      </x:c>
      <x:c r="P274" s="9" t="n">
        <x:v>0.293163895606995</x:v>
      </x:c>
      <x:c r="Q274" s="9" t="n">
        <x:v>2858</x:v>
      </x:c>
      <x:c r="R274" s="9" t="n">
        <x:v>5</x:v>
      </x:c>
      <x:c r="S274" s="17" t="b">
        <x:v>1</x:v>
      </x:c>
      <x:c r="T274" s="18"/>
      <x:c r="U274" s="18"/>
    </x:row>
    <x:row r="275" ht="22" customHeight="1">
      <x:c r="A275" s="4" t="str">
        <x:v>MM-TSFlib</x:v>
      </x:c>
      <x:c r="B275" s="4" t="str">
        <x:v>Environment</x:v>
      </x:c>
      <x:c r="C275" s="4" t="n">
        <x:v>192</x:v>
      </x:c>
      <x:c r="D275" s="4" t="n">
        <x:v>2026</x:v>
      </x:c>
      <x:c r="E275" s="4" t="str">
        <x:v>no_variance_shrink</x:v>
      </x:c>
      <x:c r="F275" s="9" t="n">
        <x:v>1</x:v>
      </x:c>
      <x:c r="G275" s="9" t="n">
        <x:v>0.424233536785341</x:v>
      </x:c>
      <x:c r="H275" s="9" t="n">
        <x:v>0.518798524238924</x:v>
      </x:c>
      <x:c r="I275" s="9" t="n">
        <x:v>0.364925115388141</x:v>
      </x:c>
      <x:c r="J275" s="9" t="n">
        <x:v>0.473123865479882</x:v>
      </x:c>
      <x:c r="K275" s="9" t="n">
        <x:v>0.364925115388141</x:v>
      </x:c>
      <x:c r="L275" s="9" t="n">
        <x:v>0.473123865479882</x:v>
      </x:c>
      <x:c r="M275" s="9" t="n">
        <x:v>-13.98013505641572</x:v>
      </x:c>
      <x:c r="N275" s="9" t="n">
        <x:v>-8.803929969933344</x:v>
      </x:c>
      <x:c r="O275" s="9" t="n">
        <x:v>0.756839156150818</x:v>
      </x:c>
      <x:c r="P275" s="9" t="n">
        <x:v>0.332011997699738</x:v>
      </x:c>
      <x:c r="Q275" s="9" t="n">
        <x:v>2858</x:v>
      </x:c>
      <x:c r="R275" s="9" t="n">
        <x:v>5</x:v>
      </x:c>
      <x:c r="S275" s="17" t="b">
        <x:v>1</x:v>
      </x:c>
      <x:c r="T275" s="18"/>
      <x:c r="U275" s="18"/>
    </x:row>
    <x:row r="276" ht="22" customHeight="1">
      <x:c r="A276" s="4" t="str">
        <x:v>SpecTF</x:v>
      </x:c>
      <x:c r="B276" s="4" t="str">
        <x:v>Environment</x:v>
      </x:c>
      <x:c r="C276" s="4" t="n">
        <x:v>192</x:v>
      </x:c>
      <x:c r="D276" s="4" t="n">
        <x:v>2026</x:v>
      </x:c>
      <x:c r="E276" s="4" t="str">
        <x:v>no_variance_shrink</x:v>
      </x:c>
      <x:c r="F276" s="9" t="n">
        <x:v>1</x:v>
      </x:c>
      <x:c r="G276" s="9" t="n">
        <x:v>0.302161173693464</x:v>
      </x:c>
      <x:c r="H276" s="9" t="n">
        <x:v>0.411838307385319</x:v>
      </x:c>
      <x:c r="I276" s="9" t="n">
        <x:v>0.289724511057705</x:v>
      </x:c>
      <x:c r="J276" s="9" t="n">
        <x:v>0.394034544577479</x:v>
      </x:c>
      <x:c r="K276" s="9" t="n">
        <x:v>0.289724511057705</x:v>
      </x:c>
      <x:c r="L276" s="9" t="n">
        <x:v>0.394034544577479</x:v>
      </x:c>
      <x:c r="M276" s="9" t="n">
        <x:v>-4.115903603278792</x:v>
      </x:c>
      <x:c r="N276" s="9" t="n">
        <x:v>-4.322998246780951</x:v>
      </x:c>
      <x:c r="O276" s="9" t="n">
        <x:v>0.756839156150818</x:v>
      </x:c>
      <x:c r="P276" s="9" t="n">
        <x:v>0.23587991297245</x:v>
      </x:c>
      <x:c r="Q276" s="9" t="n">
        <x:v>2858</x:v>
      </x:c>
      <x:c r="R276" s="9" t="n">
        <x:v>5</x:v>
      </x:c>
      <x:c r="S276" s="17" t="b">
        <x:v>1</x:v>
      </x:c>
      <x:c r="T276" s="18"/>
      <x:c r="U276" s="18"/>
    </x:row>
    <x:row r="277" ht="22" customHeight="1">
      <x:c r="A277" s="4" t="str">
        <x:v>CFA</x:v>
      </x:c>
      <x:c r="B277" s="4" t="str">
        <x:v>Environment</x:v>
      </x:c>
      <x:c r="C277" s="4" t="n">
        <x:v>192</x:v>
      </x:c>
      <x:c r="D277" s="4" t="n">
        <x:v>2026</x:v>
      </x:c>
      <x:c r="E277" s="4" t="str">
        <x:v>no_variance_shrink</x:v>
      </x:c>
      <x:c r="F277" s="9" t="n">
        <x:v>0.75</x:v>
      </x:c>
      <x:c r="G277" s="9" t="n">
        <x:v>0.357177438898844</x:v>
      </x:c>
      <x:c r="H277" s="9" t="n">
        <x:v>0.412984226954292</x:v>
      </x:c>
      <x:c r="I277" s="9" t="n">
        <x:v>0.35262231936686</x:v>
      </x:c>
      <x:c r="J277" s="9" t="n">
        <x:v>0.41090897138142</x:v>
      </x:c>
      <x:c r="K277" s="9" t="n">
        <x:v>0.352294734671147</x:v>
      </x:c>
      <x:c r="L277" s="9" t="n">
        <x:v>0.411201837790477</x:v>
      </x:c>
      <x:c r="M277" s="9" t="n">
        <x:v>-1.275309982071293</x:v>
      </x:c>
      <x:c r="N277" s="9" t="n">
        <x:v>-0.502502380823933</x:v>
      </x:c>
      <x:c r="O277" s="9" t="n">
        <x:v>0.756839156150818</x:v>
      </x:c>
      <x:c r="P277" s="9" t="n">
        <x:v>0.117253117263317</x:v>
      </x:c>
      <x:c r="Q277" s="9" t="n">
        <x:v>2858</x:v>
      </x:c>
      <x:c r="R277" s="9" t="n">
        <x:v>5</x:v>
      </x:c>
      <x:c r="S277" s="17" t="b">
        <x:v>1</x:v>
      </x:c>
      <x:c r="T277" s="18"/>
      <x:c r="U277" s="18"/>
    </x:row>
    <x:row r="278" ht="22" customHeight="1">
      <x:c r="A278" s="4" t="str">
        <x:v>Aurora</x:v>
      </x:c>
      <x:c r="B278" s="4" t="str">
        <x:v>Environment</x:v>
      </x:c>
      <x:c r="C278" s="4" t="n">
        <x:v>192</x:v>
      </x:c>
      <x:c r="D278" s="4" t="n">
        <x:v>2026</x:v>
      </x:c>
      <x:c r="E278" s="4" t="str">
        <x:v>no_variance_shrink</x:v>
      </x:c>
      <x:c r="F278" s="9" t="n">
        <x:v>0</x:v>
      </x:c>
      <x:c r="G278" s="9" t="n">
        <x:v>0.424841309402913</x:v>
      </x:c>
      <x:c r="H278" s="9" t="n">
        <x:v>0.464779700305124</x:v>
      </x:c>
      <x:c r="I278" s="9" t="n">
        <x:v>0.424841309402913</x:v>
      </x:c>
      <x:c r="J278" s="9" t="n">
        <x:v>0.464779700305124</x:v>
      </x:c>
      <x:c r="K278" s="9" t="n">
        <x:v>0.428493701469643</x:v>
      </x:c>
      <x:c r="L278" s="9" t="n">
        <x:v>0.467600958935461</x:v>
      </x:c>
      <x:c r="M278" s="9" t="n">
        <x:v>0</x:v>
      </x:c>
      <x:c r="N278" s="9" t="n">
        <x:v>0</x:v>
      </x:c>
      <x:c r="O278" s="9" t="n">
        <x:v>0.756839156150818</x:v>
      </x:c>
      <x:c r="P278" s="9" t="n">
        <x:v>0.12250766903162</x:v>
      </x:c>
      <x:c r="Q278" s="9" t="n">
        <x:v>2858</x:v>
      </x:c>
      <x:c r="R278" s="9" t="n">
        <x:v>5</x:v>
      </x:c>
      <x:c r="S278" s="17" t="b">
        <x:v>0</x:v>
      </x:c>
      <x:c r="T278" s="18"/>
      <x:c r="U278" s="18"/>
    </x:row>
    <x:row r="279" ht="22" customHeight="1">
      <x:c r="A279" s="4" t="str">
        <x:v>TaTS</x:v>
      </x:c>
      <x:c r="B279" s="4" t="str">
        <x:v>Environment</x:v>
      </x:c>
      <x:c r="C279" s="4" t="n">
        <x:v>192</x:v>
      </x:c>
      <x:c r="D279" s="4" t="n">
        <x:v>2027</x:v>
      </x:c>
      <x:c r="E279" s="4" t="str">
        <x:v>no_variance_shrink</x:v>
      </x:c>
      <x:c r="F279" s="9" t="n">
        <x:v>1</x:v>
      </x:c>
      <x:c r="G279" s="9" t="n">
        <x:v>0.281904758485186</x:v>
      </x:c>
      <x:c r="H279" s="9" t="n">
        <x:v>0.411235770042671</x:v>
      </x:c>
      <x:c r="I279" s="9" t="n">
        <x:v>0.263428779982669</x:v>
      </x:c>
      <x:c r="J279" s="9" t="n">
        <x:v>0.385117803522668</x:v>
      </x:c>
      <x:c r="K279" s="9" t="n">
        <x:v>0.263428779982669</x:v>
      </x:c>
      <x:c r="L279" s="9" t="n">
        <x:v>0.385117803522668</x:v>
      </x:c>
      <x:c r="M279" s="9" t="n">
        <x:v>-6.553978940191552</x:v>
      </x:c>
      <x:c r="N279" s="9" t="n">
        <x:v>-6.351093076677838</x:v>
      </x:c>
      <x:c r="O279" s="9" t="n">
        <x:v>0.818711996078491</x:v>
      </x:c>
      <x:c r="P279" s="9" t="n">
        <x:v>0.314019173383713</x:v>
      </x:c>
      <x:c r="Q279" s="9" t="n">
        <x:v>2858</x:v>
      </x:c>
      <x:c r="R279" s="9" t="n">
        <x:v>6</x:v>
      </x:c>
      <x:c r="S279" s="17" t="b">
        <x:v>1</x:v>
      </x:c>
      <x:c r="T279" s="18"/>
      <x:c r="U279" s="18"/>
    </x:row>
    <x:row r="280" ht="22" customHeight="1">
      <x:c r="A280" s="4" t="str">
        <x:v>MM-TSFlib</x:v>
      </x:c>
      <x:c r="B280" s="4" t="str">
        <x:v>Environment</x:v>
      </x:c>
      <x:c r="C280" s="4" t="n">
        <x:v>192</x:v>
      </x:c>
      <x:c r="D280" s="4" t="n">
        <x:v>2027</x:v>
      </x:c>
      <x:c r="E280" s="4" t="str">
        <x:v>no_variance_shrink</x:v>
      </x:c>
      <x:c r="F280" s="9" t="n">
        <x:v>1</x:v>
      </x:c>
      <x:c r="G280" s="9" t="n">
        <x:v>0.424233536785341</x:v>
      </x:c>
      <x:c r="H280" s="9" t="n">
        <x:v>0.518798524238924</x:v>
      </x:c>
      <x:c r="I280" s="9" t="n">
        <x:v>0.361009174037058</x:v>
      </x:c>
      <x:c r="J280" s="9" t="n">
        <x:v>0.466843777843808</x:v>
      </x:c>
      <x:c r="K280" s="9" t="n">
        <x:v>0.361009174037058</x:v>
      </x:c>
      <x:c r="L280" s="9" t="n">
        <x:v>0.466843777843808</x:v>
      </x:c>
      <x:c r="M280" s="9" t="n">
        <x:v>-14.903197712130355</x:v>
      </x:c>
      <x:c r="N280" s="9" t="n">
        <x:v>-10.01443604168557</x:v>
      </x:c>
      <x:c r="O280" s="9" t="n">
        <x:v>0.818711996078491</x:v>
      </x:c>
      <x:c r="P280" s="9" t="n">
        <x:v>0.34788379073143</x:v>
      </x:c>
      <x:c r="Q280" s="9" t="n">
        <x:v>2858</x:v>
      </x:c>
      <x:c r="R280" s="9" t="n">
        <x:v>6</x:v>
      </x:c>
      <x:c r="S280" s="17" t="b">
        <x:v>1</x:v>
      </x:c>
      <x:c r="T280" s="18"/>
      <x:c r="U280" s="18"/>
    </x:row>
    <x:row r="281" ht="22" customHeight="1">
      <x:c r="A281" s="4" t="str">
        <x:v>SpecTF</x:v>
      </x:c>
      <x:c r="B281" s="4" t="str">
        <x:v>Environment</x:v>
      </x:c>
      <x:c r="C281" s="4" t="n">
        <x:v>192</x:v>
      </x:c>
      <x:c r="D281" s="4" t="n">
        <x:v>2027</x:v>
      </x:c>
      <x:c r="E281" s="4" t="str">
        <x:v>no_variance_shrink</x:v>
      </x:c>
      <x:c r="F281" s="9" t="n">
        <x:v>1</x:v>
      </x:c>
      <x:c r="G281" s="9" t="n">
        <x:v>0.302161173693464</x:v>
      </x:c>
      <x:c r="H281" s="9" t="n">
        <x:v>0.411838307385319</x:v>
      </x:c>
      <x:c r="I281" s="9" t="n">
        <x:v>0.297491020206616</x:v>
      </x:c>
      <x:c r="J281" s="9" t="n">
        <x:v>0.398357408274155</x:v>
      </x:c>
      <x:c r="K281" s="9" t="n">
        <x:v>0.297491020206616</x:v>
      </x:c>
      <x:c r="L281" s="9" t="n">
        <x:v>0.398357408274155</x:v>
      </x:c>
      <x:c r="M281" s="9" t="n">
        <x:v>-1.545583580365994</x:v>
      </x:c>
      <x:c r="N281" s="9" t="n">
        <x:v>-3.273347541842686</x:v>
      </x:c>
      <x:c r="O281" s="9" t="n">
        <x:v>0.818711996078491</x:v>
      </x:c>
      <x:c r="P281" s="9" t="n">
        <x:v>0.266609370708466</x:v>
      </x:c>
      <x:c r="Q281" s="9" t="n">
        <x:v>2858</x:v>
      </x:c>
      <x:c r="R281" s="9" t="n">
        <x:v>6</x:v>
      </x:c>
      <x:c r="S281" s="17" t="b">
        <x:v>1</x:v>
      </x:c>
      <x:c r="T281" s="18"/>
      <x:c r="U281" s="18"/>
    </x:row>
    <x:row r="282" ht="22" customHeight="1">
      <x:c r="A282" s="4" t="str">
        <x:v>CFA</x:v>
      </x:c>
      <x:c r="B282" s="4" t="str">
        <x:v>Environment</x:v>
      </x:c>
      <x:c r="C282" s="4" t="n">
        <x:v>192</x:v>
      </x:c>
      <x:c r="D282" s="4" t="n">
        <x:v>2027</x:v>
      </x:c>
      <x:c r="E282" s="4" t="str">
        <x:v>no_variance_shrink</x:v>
      </x:c>
      <x:c r="F282" s="9" t="n">
        <x:v>0.25</x:v>
      </x:c>
      <x:c r="G282" s="9" t="n">
        <x:v>0.357177438898844</x:v>
      </x:c>
      <x:c r="H282" s="9" t="n">
        <x:v>0.412984226954292</x:v>
      </x:c>
      <x:c r="I282" s="9" t="n">
        <x:v>0.356837770697202</x:v>
      </x:c>
      <x:c r="J282" s="9" t="n">
        <x:v>0.412278293336124</x:v>
      </x:c>
      <x:c r="K282" s="9" t="n">
        <x:v>0.360835098850677</x:v>
      </x:c>
      <x:c r="L282" s="9" t="n">
        <x:v>0.413830765570379</x:v>
      </x:c>
      <x:c r="M282" s="9" t="n">
        <x:v>-0.095097888234141</x:v>
      </x:c>
      <x:c r="N282" s="9" t="n">
        <x:v>-0.170934765081654</x:v>
      </x:c>
      <x:c r="O282" s="9" t="n">
        <x:v>0.818711996078491</x:v>
      </x:c>
      <x:c r="P282" s="9" t="n">
        <x:v>0.136133834719658</x:v>
      </x:c>
      <x:c r="Q282" s="9" t="n">
        <x:v>2858</x:v>
      </x:c>
      <x:c r="R282" s="9" t="n">
        <x:v>6</x:v>
      </x:c>
      <x:c r="S282" s="17" t="b">
        <x:v>1</x:v>
      </x:c>
      <x:c r="T282" s="18"/>
      <x:c r="U282" s="18"/>
    </x:row>
    <x:row r="283" ht="22" customHeight="1">
      <x:c r="A283" s="4" t="str">
        <x:v>Aurora</x:v>
      </x:c>
      <x:c r="B283" s="4" t="str">
        <x:v>Environment</x:v>
      </x:c>
      <x:c r="C283" s="4" t="n">
        <x:v>192</x:v>
      </x:c>
      <x:c r="D283" s="4" t="n">
        <x:v>2027</x:v>
      </x:c>
      <x:c r="E283" s="4" t="str">
        <x:v>no_variance_shrink</x:v>
      </x:c>
      <x:c r="F283" s="9" t="n">
        <x:v>0.25</x:v>
      </x:c>
      <x:c r="G283" s="9" t="n">
        <x:v>0.424841309402913</x:v>
      </x:c>
      <x:c r="H283" s="9" t="n">
        <x:v>0.464779700305124</x:v>
      </x:c>
      <x:c r="I283" s="9" t="n">
        <x:v>0.423344061175617</x:v>
      </x:c>
      <x:c r="J283" s="9" t="n">
        <x:v>0.463171565837103</x:v>
      </x:c>
      <x:c r="K283" s="9" t="n">
        <x:v>0.427050449660214</x:v>
      </x:c>
      <x:c r="L283" s="9" t="n">
        <x:v>0.463988828221492</x:v>
      </x:c>
      <x:c r="M283" s="9" t="n">
        <x:v>-0.35242529249353</x:v>
      </x:c>
      <x:c r="N283" s="9" t="n">
        <x:v>-0.3459992910546</x:v>
      </x:c>
      <x:c r="O283" s="9" t="n">
        <x:v>0.818711996078491</x:v>
      </x:c>
      <x:c r="P283" s="9" t="n">
        <x:v>0.185904309153557</x:v>
      </x:c>
      <x:c r="Q283" s="9" t="n">
        <x:v>2858</x:v>
      </x:c>
      <x:c r="R283" s="9" t="n">
        <x:v>6</x:v>
      </x:c>
      <x:c r="S283" s="17" t="b">
        <x:v>1</x:v>
      </x:c>
      <x:c r="T283" s="18"/>
      <x:c r="U283" s="18"/>
    </x:row>
    <x:row r="284" ht="22" customHeight="1">
      <x:c r="A284" s="4" t="str">
        <x:v>TaTS</x:v>
      </x:c>
      <x:c r="B284" s="4" t="str">
        <x:v>Environment</x:v>
      </x:c>
      <x:c r="C284" s="4" t="n">
        <x:v>192</x:v>
      </x:c>
      <x:c r="D284" s="4" t="n">
        <x:v>2028</x:v>
      </x:c>
      <x:c r="E284" s="4" t="str">
        <x:v>no_variance_shrink</x:v>
      </x:c>
      <x:c r="F284" s="9" t="n">
        <x:v>0.75</x:v>
      </x:c>
      <x:c r="G284" s="9" t="n">
        <x:v>0.281904758485186</x:v>
      </x:c>
      <x:c r="H284" s="9" t="n">
        <x:v>0.411235770042671</x:v>
      </x:c>
      <x:c r="I284" s="9" t="n">
        <x:v>0.276010133144629</x:v>
      </x:c>
      <x:c r="J284" s="9" t="n">
        <x:v>0.403881020045599</x:v>
      </x:c>
      <x:c r="K284" s="9" t="n">
        <x:v>0.28240230025271</x:v>
      </x:c>
      <x:c r="L284" s="9" t="n">
        <x:v>0.407417650077358</x:v>
      </x:c>
      <x:c r="M284" s="9" t="n">
        <x:v>-2.090998879278428</x:v>
      </x:c>
      <x:c r="N284" s="9" t="n">
        <x:v>-1.788450940517405</x:v>
      </x:c>
      <x:c r="O284" s="9" t="n">
        <x:v>0.930240511894226</x:v>
      </x:c>
      <x:c r="P284" s="9" t="n">
        <x:v>0.394287109375</x:v>
      </x:c>
      <x:c r="Q284" s="9" t="n">
        <x:v>2858</x:v>
      </x:c>
      <x:c r="R284" s="9" t="n">
        <x:v>8</x:v>
      </x:c>
      <x:c r="S284" s="17" t="b">
        <x:v>1</x:v>
      </x:c>
      <x:c r="T284" s="18"/>
      <x:c r="U284" s="18"/>
    </x:row>
    <x:row r="285" ht="22" customHeight="1">
      <x:c r="A285" s="4" t="str">
        <x:v>MM-TSFlib</x:v>
      </x:c>
      <x:c r="B285" s="4" t="str">
        <x:v>Environment</x:v>
      </x:c>
      <x:c r="C285" s="4" t="n">
        <x:v>192</x:v>
      </x:c>
      <x:c r="D285" s="4" t="n">
        <x:v>2028</x:v>
      </x:c>
      <x:c r="E285" s="4" t="str">
        <x:v>no_variance_shrink</x:v>
      </x:c>
      <x:c r="F285" s="9" t="n">
        <x:v>1</x:v>
      </x:c>
      <x:c r="G285" s="9" t="n">
        <x:v>0.424233536785341</x:v>
      </x:c>
      <x:c r="H285" s="9" t="n">
        <x:v>0.518798524238924</x:v>
      </x:c>
      <x:c r="I285" s="9" t="n">
        <x:v>0.38235779684171</x:v>
      </x:c>
      <x:c r="J285" s="9" t="n">
        <x:v>0.489277283907597</x:v>
      </x:c>
      <x:c r="K285" s="9" t="n">
        <x:v>0.38235779684171</x:v>
      </x:c>
      <x:c r="L285" s="9" t="n">
        <x:v>0.489277283907597</x:v>
      </x:c>
      <x:c r="M285" s="9" t="n">
        <x:v>-9.870916915467786</x:v>
      </x:c>
      <x:c r="N285" s="9" t="n">
        <x:v>-5.690309234135727</x:v>
      </x:c>
      <x:c r="O285" s="9" t="n">
        <x:v>0.930240511894226</x:v>
      </x:c>
      <x:c r="P285" s="9" t="n">
        <x:v>0.425302505493164</x:v>
      </x:c>
      <x:c r="Q285" s="9" t="n">
        <x:v>2858</x:v>
      </x:c>
      <x:c r="R285" s="9" t="n">
        <x:v>8</x:v>
      </x:c>
      <x:c r="S285" s="17" t="b">
        <x:v>1</x:v>
      </x:c>
      <x:c r="T285" s="18"/>
      <x:c r="U285" s="18"/>
    </x:row>
    <x:row r="286" ht="22" customHeight="1">
      <x:c r="A286" s="4" t="str">
        <x:v>SpecTF</x:v>
      </x:c>
      <x:c r="B286" s="4" t="str">
        <x:v>Environment</x:v>
      </x:c>
      <x:c r="C286" s="4" t="n">
        <x:v>192</x:v>
      </x:c>
      <x:c r="D286" s="4" t="n">
        <x:v>2028</x:v>
      </x:c>
      <x:c r="E286" s="4" t="str">
        <x:v>no_variance_shrink</x:v>
      </x:c>
      <x:c r="F286" s="9" t="n">
        <x:v>1</x:v>
      </x:c>
      <x:c r="G286" s="9" t="n">
        <x:v>0.302161173693464</x:v>
      </x:c>
      <x:c r="H286" s="9" t="n">
        <x:v>0.411838307385319</x:v>
      </x:c>
      <x:c r="I286" s="9" t="n">
        <x:v>0.296738890523712</x:v>
      </x:c>
      <x:c r="J286" s="9" t="n">
        <x:v>0.401478678556683</x:v>
      </x:c>
      <x:c r="K286" s="9" t="n">
        <x:v>0.296738890523712</x:v>
      </x:c>
      <x:c r="L286" s="9" t="n">
        <x:v>0.401478678556683</x:v>
      </x:c>
      <x:c r="M286" s="9" t="n">
        <x:v>-1.794500300443236</x:v>
      </x:c>
      <x:c r="N286" s="9" t="n">
        <x:v>-2.515460228653232</x:v>
      </x:c>
      <x:c r="O286" s="9" t="n">
        <x:v>0.930240511894226</x:v>
      </x:c>
      <x:c r="P286" s="9" t="n">
        <x:v>0.348240107297897</x:v>
      </x:c>
      <x:c r="Q286" s="9" t="n">
        <x:v>2858</x:v>
      </x:c>
      <x:c r="R286" s="9" t="n">
        <x:v>8</x:v>
      </x:c>
      <x:c r="S286" s="17" t="b">
        <x:v>1</x:v>
      </x:c>
      <x:c r="T286" s="18"/>
      <x:c r="U286" s="18"/>
    </x:row>
    <x:row r="287" ht="22" customHeight="1">
      <x:c r="A287" s="4" t="str">
        <x:v>CFA</x:v>
      </x:c>
      <x:c r="B287" s="4" t="str">
        <x:v>Environment</x:v>
      </x:c>
      <x:c r="C287" s="4" t="n">
        <x:v>192</x:v>
      </x:c>
      <x:c r="D287" s="4" t="n">
        <x:v>2028</x:v>
      </x:c>
      <x:c r="E287" s="4" t="str">
        <x:v>no_variance_shrink</x:v>
      </x:c>
      <x:c r="F287" s="9" t="n">
        <x:v>0.25</x:v>
      </x:c>
      <x:c r="G287" s="9" t="n">
        <x:v>0.357177438898844</x:v>
      </x:c>
      <x:c r="H287" s="9" t="n">
        <x:v>0.412984226954292</x:v>
      </x:c>
      <x:c r="I287" s="9" t="n">
        <x:v>0.353178591763621</x:v>
      </x:c>
      <x:c r="J287" s="9" t="n">
        <x:v>0.412285276157554</x:v>
      </x:c>
      <x:c r="K287" s="9" t="n">
        <x:v>0.361849488157975</x:v>
      </x:c>
      <x:c r="L287" s="9" t="n">
        <x:v>0.425999986948107</x:v>
      </x:c>
      <x:c r="M287" s="9" t="n">
        <x:v>-1.11956879122912</x:v>
      </x:c>
      <x:c r="N287" s="9" t="n">
        <x:v>-0.169243944712594</x:v>
      </x:c>
      <x:c r="O287" s="9" t="n">
        <x:v>0.930240511894226</x:v>
      </x:c>
      <x:c r="P287" s="9" t="n">
        <x:v>0.321210741996765</x:v>
      </x:c>
      <x:c r="Q287" s="9" t="n">
        <x:v>2858</x:v>
      </x:c>
      <x:c r="R287" s="9" t="n">
        <x:v>8</x:v>
      </x:c>
      <x:c r="S287" s="17" t="b">
        <x:v>1</x:v>
      </x:c>
      <x:c r="T287" s="18"/>
      <x:c r="U287" s="18"/>
    </x:row>
    <x:row r="288" ht="22" customHeight="1">
      <x:c r="A288" s="4" t="str">
        <x:v>Aurora</x:v>
      </x:c>
      <x:c r="B288" s="4" t="str">
        <x:v>Environment</x:v>
      </x:c>
      <x:c r="C288" s="4" t="n">
        <x:v>192</x:v>
      </x:c>
      <x:c r="D288" s="4" t="n">
        <x:v>2028</x:v>
      </x:c>
      <x:c r="E288" s="4" t="str">
        <x:v>no_variance_shrink</x:v>
      </x:c>
      <x:c r="F288" s="9" t="n">
        <x:v>0</x:v>
      </x:c>
      <x:c r="G288" s="9" t="n">
        <x:v>0.424841309402913</x:v>
      </x:c>
      <x:c r="H288" s="9" t="n">
        <x:v>0.464779700305124</x:v>
      </x:c>
      <x:c r="I288" s="9" t="n">
        <x:v>0.424841309402913</x:v>
      </x:c>
      <x:c r="J288" s="9" t="n">
        <x:v>0.464779700305124</x:v>
      </x:c>
      <x:c r="K288" s="9" t="n">
        <x:v>0.444952058924572</x:v>
      </x:c>
      <x:c r="L288" s="9" t="n">
        <x:v>0.478576152688662</x:v>
      </x:c>
      <x:c r="M288" s="9" t="n">
        <x:v>0</x:v>
      </x:c>
      <x:c r="N288" s="9" t="n">
        <x:v>0</x:v>
      </x:c>
      <x:c r="O288" s="9" t="n">
        <x:v>0.930240511894226</x:v>
      </x:c>
      <x:c r="P288" s="9" t="n">
        <x:v>0.266173988580704</x:v>
      </x:c>
      <x:c r="Q288" s="9" t="n">
        <x:v>2858</x:v>
      </x:c>
      <x:c r="R288" s="9" t="n">
        <x:v>8</x:v>
      </x:c>
      <x:c r="S288" s="17" t="b">
        <x:v>0</x:v>
      </x:c>
      <x:c r="T288" s="18"/>
      <x:c r="U288" s="18"/>
    </x:row>
    <x:row r="289" ht="22" customHeight="1">
      <x:c r="A289" s="4" t="str">
        <x:v>TaTS</x:v>
      </x:c>
      <x:c r="B289" s="4" t="str">
        <x:v>Environment</x:v>
      </x:c>
      <x:c r="C289" s="4" t="n">
        <x:v>336</x:v>
      </x:c>
      <x:c r="D289" s="4" t="n">
        <x:v>2026</x:v>
      </x:c>
      <x:c r="E289" s="4" t="str">
        <x:v>no_variance_shrink</x:v>
      </x:c>
      <x:c r="F289" s="9" t="n">
        <x:v>1</x:v>
      </x:c>
      <x:c r="G289" s="9" t="n">
        <x:v>0.30331010279952</x:v>
      </x:c>
      <x:c r="H289" s="9" t="n">
        <x:v>0.432419970852575</x:v>
      </x:c>
      <x:c r="I289" s="9" t="n">
        <x:v>0.282938006945299</x:v>
      </x:c>
      <x:c r="J289" s="9" t="n">
        <x:v>0.412402078815633</x:v>
      </x:c>
      <x:c r="K289" s="9" t="n">
        <x:v>0.282938006945299</x:v>
      </x:c>
      <x:c r="L289" s="9" t="n">
        <x:v>0.412402078815633</x:v>
      </x:c>
      <x:c r="M289" s="9" t="n">
        <x:v>-6.716589940852014</x:v>
      </x:c>
      <x:c r="N289" s="9" t="n">
        <x:v>-4.629270937110997</x:v>
      </x:c>
      <x:c r="O289" s="9" t="n">
        <x:v>0.815571844577789</x:v>
      </x:c>
      <x:c r="P289" s="9" t="n">
        <x:v>0.343585431575775</x:v>
      </x:c>
      <x:c r="Q289" s="9" t="n">
        <x:v>2714</x:v>
      </x:c>
      <x:c r="R289" s="9" t="n">
        <x:v>10</x:v>
      </x:c>
      <x:c r="S289" s="17" t="b">
        <x:v>1</x:v>
      </x:c>
      <x:c r="T289" s="18"/>
      <x:c r="U289" s="18"/>
    </x:row>
    <x:row r="290" ht="22" customHeight="1">
      <x:c r="A290" s="4" t="str">
        <x:v>MM-TSFlib</x:v>
      </x:c>
      <x:c r="B290" s="4" t="str">
        <x:v>Environment</x:v>
      </x:c>
      <x:c r="C290" s="4" t="n">
        <x:v>336</x:v>
      </x:c>
      <x:c r="D290" s="4" t="n">
        <x:v>2026</x:v>
      </x:c>
      <x:c r="E290" s="4" t="str">
        <x:v>no_variance_shrink</x:v>
      </x:c>
      <x:c r="F290" s="9" t="n">
        <x:v>1</x:v>
      </x:c>
      <x:c r="G290" s="9" t="n">
        <x:v>0.437109396137836</x:v>
      </x:c>
      <x:c r="H290" s="9" t="n">
        <x:v>0.520798657384212</x:v>
      </x:c>
      <x:c r="I290" s="9" t="n">
        <x:v>0.387925704330196</x:v>
      </x:c>
      <x:c r="J290" s="9" t="n">
        <x:v>0.485197174214419</x:v>
      </x:c>
      <x:c r="K290" s="9" t="n">
        <x:v>0.387925704330196</x:v>
      </x:c>
      <x:c r="L290" s="9" t="n">
        <x:v>0.485197174214419</x:v>
      </x:c>
      <x:c r="M290" s="9" t="n">
        <x:v>-11.25203261293677</x:v>
      </x:c>
      <x:c r="N290" s="9" t="n">
        <x:v>-6.835939890591614</x:v>
      </x:c>
      <x:c r="O290" s="9" t="n">
        <x:v>0.815571844577789</x:v>
      </x:c>
      <x:c r="P290" s="9" t="n">
        <x:v>0.35978427529335</x:v>
      </x:c>
      <x:c r="Q290" s="9" t="n">
        <x:v>2714</x:v>
      </x:c>
      <x:c r="R290" s="9" t="n">
        <x:v>10</x:v>
      </x:c>
      <x:c r="S290" s="17" t="b">
        <x:v>1</x:v>
      </x:c>
      <x:c r="T290" s="18"/>
      <x:c r="U290" s="18"/>
    </x:row>
    <x:row r="291" ht="22" customHeight="1">
      <x:c r="A291" s="4" t="str">
        <x:v>SpecTF</x:v>
      </x:c>
      <x:c r="B291" s="4" t="str">
        <x:v>Environment</x:v>
      </x:c>
      <x:c r="C291" s="4" t="n">
        <x:v>336</x:v>
      </x:c>
      <x:c r="D291" s="4" t="n">
        <x:v>2026</x:v>
      </x:c>
      <x:c r="E291" s="4" t="str">
        <x:v>no_variance_shrink</x:v>
      </x:c>
      <x:c r="F291" s="9" t="n">
        <x:v>1</x:v>
      </x:c>
      <x:c r="G291" s="9" t="n">
        <x:v>0.303938779476096</x:v>
      </x:c>
      <x:c r="H291" s="9" t="n">
        <x:v>0.41002987513432</x:v>
      </x:c>
      <x:c r="I291" s="9" t="n">
        <x:v>0.30164839865291</x:v>
      </x:c>
      <x:c r="J291" s="9" t="n">
        <x:v>0.402812623876986</x:v>
      </x:c>
      <x:c r="K291" s="9" t="n">
        <x:v>0.30164839865291</x:v>
      </x:c>
      <x:c r="L291" s="9" t="n">
        <x:v>0.402812623876986</x:v>
      </x:c>
      <x:c r="M291" s="9" t="n">
        <x:v>-0.753566500179403</x:v>
      </x:c>
      <x:c r="N291" s="9" t="n">
        <x:v>-1.760176927344736</x:v>
      </x:c>
      <x:c r="O291" s="9" t="n">
        <x:v>0.815571844577789</x:v>
      </x:c>
      <x:c r="P291" s="9" t="n">
        <x:v>0.271066308021545</x:v>
      </x:c>
      <x:c r="Q291" s="9" t="n">
        <x:v>2714</x:v>
      </x:c>
      <x:c r="R291" s="9" t="n">
        <x:v>10</x:v>
      </x:c>
      <x:c r="S291" s="17" t="b">
        <x:v>1</x:v>
      </x:c>
      <x:c r="T291" s="18"/>
      <x:c r="U291" s="18"/>
    </x:row>
    <x:row r="292" ht="22" customHeight="1">
      <x:c r="A292" s="4" t="str">
        <x:v>CFA</x:v>
      </x:c>
      <x:c r="B292" s="4" t="str">
        <x:v>Environment</x:v>
      </x:c>
      <x:c r="C292" s="4" t="n">
        <x:v>336</x:v>
      </x:c>
      <x:c r="D292" s="4" t="n">
        <x:v>2026</x:v>
      </x:c>
      <x:c r="E292" s="4" t="str">
        <x:v>no_variance_shrink</x:v>
      </x:c>
      <x:c r="F292" s="9" t="n">
        <x:v>0.25</x:v>
      </x:c>
      <x:c r="G292" s="9" t="n">
        <x:v>0.348018376314761</x:v>
      </x:c>
      <x:c r="H292" s="9" t="n">
        <x:v>0.411471462953405</x:v>
      </x:c>
      <x:c r="I292" s="9" t="n">
        <x:v>0.34713857627032</x:v>
      </x:c>
      <x:c r="J292" s="9" t="n">
        <x:v>0.412693184353954</x:v>
      </x:c>
      <x:c r="K292" s="9" t="n">
        <x:v>0.354626861397786</x:v>
      </x:c>
      <x:c r="L292" s="9" t="n">
        <x:v>0.423977060448734</x:v>
      </x:c>
      <x:c r="M292" s="9" t="n">
        <x:v>-0.252802755347925</x:v>
      </x:c>
      <x:c r="N292" s="9" t="n">
        <x:v>0.296915220263494</x:v>
      </x:c>
      <x:c r="O292" s="9" t="n">
        <x:v>0.815571844577789</x:v>
      </x:c>
      <x:c r="P292" s="9" t="n">
        <x:v>0.209503963589668</x:v>
      </x:c>
      <x:c r="Q292" s="9" t="n">
        <x:v>2714</x:v>
      </x:c>
      <x:c r="R292" s="9" t="n">
        <x:v>10</x:v>
      </x:c>
      <x:c r="S292" s="17" t="b">
        <x:v>1</x:v>
      </x:c>
      <x:c r="T292" s="18"/>
      <x:c r="U292" s="18"/>
    </x:row>
    <x:row r="293" ht="22" customHeight="1">
      <x:c r="A293" s="4" t="str">
        <x:v>Aurora</x:v>
      </x:c>
      <x:c r="B293" s="4" t="str">
        <x:v>Environment</x:v>
      </x:c>
      <x:c r="C293" s="4" t="n">
        <x:v>336</x:v>
      </x:c>
      <x:c r="D293" s="4" t="n">
        <x:v>2026</x:v>
      </x:c>
      <x:c r="E293" s="4" t="str">
        <x:v>no_variance_shrink</x:v>
      </x:c>
      <x:c r="F293" s="9" t="n">
        <x:v>0</x:v>
      </x:c>
      <x:c r="G293" s="9" t="n">
        <x:v>0.419052448222449</x:v>
      </x:c>
      <x:c r="H293" s="9" t="n">
        <x:v>0.465667290716562</x:v>
      </x:c>
      <x:c r="I293" s="9" t="n">
        <x:v>0.419052448222449</x:v>
      </x:c>
      <x:c r="J293" s="9" t="n">
        <x:v>0.465667290716562</x:v>
      </x:c>
      <x:c r="K293" s="9" t="n">
        <x:v>0.432973300776505</x:v>
      </x:c>
      <x:c r="L293" s="9" t="n">
        <x:v>0.475612907209919</x:v>
      </x:c>
      <x:c r="M293" s="9" t="n">
        <x:v>0</x:v>
      </x:c>
      <x:c r="N293" s="9" t="n">
        <x:v>0</x:v>
      </x:c>
      <x:c r="O293" s="9" t="n">
        <x:v>0.815571844577789</x:v>
      </x:c>
      <x:c r="P293" s="9" t="n">
        <x:v>0.173680007457733</x:v>
      </x:c>
      <x:c r="Q293" s="9" t="n">
        <x:v>2714</x:v>
      </x:c>
      <x:c r="R293" s="9" t="n">
        <x:v>10</x:v>
      </x:c>
      <x:c r="S293" s="17" t="b">
        <x:v>0</x:v>
      </x:c>
      <x:c r="T293" s="18"/>
      <x:c r="U293" s="18"/>
    </x:row>
    <x:row r="294" ht="22" customHeight="1">
      <x:c r="A294" s="4" t="str">
        <x:v>TaTS</x:v>
      </x:c>
      <x:c r="B294" s="4" t="str">
        <x:v>Environment</x:v>
      </x:c>
      <x:c r="C294" s="4" t="n">
        <x:v>336</x:v>
      </x:c>
      <x:c r="D294" s="4" t="n">
        <x:v>2027</x:v>
      </x:c>
      <x:c r="E294" s="4" t="str">
        <x:v>no_variance_shrink</x:v>
      </x:c>
      <x:c r="F294" s="9" t="n">
        <x:v>1</x:v>
      </x:c>
      <x:c r="G294" s="9" t="n">
        <x:v>0.30331010279952</x:v>
      </x:c>
      <x:c r="H294" s="9" t="n">
        <x:v>0.432419970852575</x:v>
      </x:c>
      <x:c r="I294" s="9" t="n">
        <x:v>0.288174224562822</x:v>
      </x:c>
      <x:c r="J294" s="9" t="n">
        <x:v>0.413452870614155</x:v>
      </x:c>
      <x:c r="K294" s="9" t="n">
        <x:v>0.288174224562822</x:v>
      </x:c>
      <x:c r="L294" s="9" t="n">
        <x:v>0.413452870614155</x:v>
      </x:c>
      <x:c r="M294" s="9" t="n">
        <x:v>-4.9902321409658</x:v>
      </x:c>
      <x:c r="N294" s="9" t="n">
        <x:v>-4.386268330998688</x:v>
      </x:c>
      <x:c r="O294" s="9" t="n">
        <x:v>0.89676308631897</x:v>
      </x:c>
      <x:c r="P294" s="9" t="n">
        <x:v>0.389285117387772</x:v>
      </x:c>
      <x:c r="Q294" s="9" t="n">
        <x:v>2714</x:v>
      </x:c>
      <x:c r="R294" s="9" t="n">
        <x:v>13</x:v>
      </x:c>
      <x:c r="S294" s="17" t="b">
        <x:v>1</x:v>
      </x:c>
      <x:c r="T294" s="18"/>
      <x:c r="U294" s="18"/>
    </x:row>
    <x:row r="295" ht="22" customHeight="1">
      <x:c r="A295" s="4" t="str">
        <x:v>MM-TSFlib</x:v>
      </x:c>
      <x:c r="B295" s="4" t="str">
        <x:v>Environment</x:v>
      </x:c>
      <x:c r="C295" s="4" t="n">
        <x:v>336</x:v>
      </x:c>
      <x:c r="D295" s="4" t="n">
        <x:v>2027</x:v>
      </x:c>
      <x:c r="E295" s="4" t="str">
        <x:v>no_variance_shrink</x:v>
      </x:c>
      <x:c r="F295" s="9" t="n">
        <x:v>1</x:v>
      </x:c>
      <x:c r="G295" s="9" t="n">
        <x:v>0.437109396137836</x:v>
      </x:c>
      <x:c r="H295" s="9" t="n">
        <x:v>0.520798657384212</x:v>
      </x:c>
      <x:c r="I295" s="9" t="n">
        <x:v>0.381433496828983</x:v>
      </x:c>
      <x:c r="J295" s="9" t="n">
        <x:v>0.477008471517801</x:v>
      </x:c>
      <x:c r="K295" s="9" t="n">
        <x:v>0.381433496828983</x:v>
      </x:c>
      <x:c r="L295" s="9" t="n">
        <x:v>0.477008471517801</x:v>
      </x:c>
      <x:c r="M295" s="9" t="n">
        <x:v>-12.737291808592522</x:v>
      </x:c>
      <x:c r="N295" s="9" t="n">
        <x:v>-8.408275491022577</x:v>
      </x:c>
      <x:c r="O295" s="9" t="n">
        <x:v>0.89676308631897</x:v>
      </x:c>
      <x:c r="P295" s="9" t="n">
        <x:v>0.402188569307327</x:v>
      </x:c>
      <x:c r="Q295" s="9" t="n">
        <x:v>2714</x:v>
      </x:c>
      <x:c r="R295" s="9" t="n">
        <x:v>13</x:v>
      </x:c>
      <x:c r="S295" s="17" t="b">
        <x:v>1</x:v>
      </x:c>
      <x:c r="T295" s="18"/>
      <x:c r="U295" s="18"/>
    </x:row>
    <x:row r="296" ht="22" customHeight="1">
      <x:c r="A296" s="4" t="str">
        <x:v>SpecTF</x:v>
      </x:c>
      <x:c r="B296" s="4" t="str">
        <x:v>Environment</x:v>
      </x:c>
      <x:c r="C296" s="4" t="n">
        <x:v>336</x:v>
      </x:c>
      <x:c r="D296" s="4" t="n">
        <x:v>2027</x:v>
      </x:c>
      <x:c r="E296" s="4" t="str">
        <x:v>no_variance_shrink</x:v>
      </x:c>
      <x:c r="F296" s="9" t="n">
        <x:v>1</x:v>
      </x:c>
      <x:c r="G296" s="9" t="n">
        <x:v>0.303938779476096</x:v>
      </x:c>
      <x:c r="H296" s="9" t="n">
        <x:v>0.41002987513432</x:v>
      </x:c>
      <x:c r="I296" s="9" t="n">
        <x:v>0.3092504704424</x:v>
      </x:c>
      <x:c r="J296" s="9" t="n">
        <x:v>0.407754621783531</x:v>
      </x:c>
      <x:c r="K296" s="9" t="n">
        <x:v>0.3092504704424</x:v>
      </x:c>
      <x:c r="L296" s="9" t="n">
        <x:v>0.407754621783531</x:v>
      </x:c>
      <x:c r="M296" s="9" t="n">
        <x:v>1.747618706458032</x:v>
      </x:c>
      <x:c r="N296" s="9" t="n">
        <x:v>-0.55489940825515</x:v>
      </x:c>
      <x:c r="O296" s="9" t="n">
        <x:v>0.89676308631897</x:v>
      </x:c>
      <x:c r="P296" s="9" t="n">
        <x:v>0.331112742424011</x:v>
      </x:c>
      <x:c r="Q296" s="9" t="n">
        <x:v>2714</x:v>
      </x:c>
      <x:c r="R296" s="9" t="n">
        <x:v>13</x:v>
      </x:c>
      <x:c r="S296" s="17" t="b">
        <x:v>1</x:v>
      </x:c>
      <x:c r="T296" s="18"/>
      <x:c r="U296" s="18"/>
    </x:row>
    <x:row r="297" ht="22" customHeight="1">
      <x:c r="A297" s="4" t="str">
        <x:v>CFA</x:v>
      </x:c>
      <x:c r="B297" s="4" t="str">
        <x:v>Environment</x:v>
      </x:c>
      <x:c r="C297" s="4" t="n">
        <x:v>336</x:v>
      </x:c>
      <x:c r="D297" s="4" t="n">
        <x:v>2027</x:v>
      </x:c>
      <x:c r="E297" s="4" t="str">
        <x:v>no_variance_shrink</x:v>
      </x:c>
      <x:c r="F297" s="9" t="n">
        <x:v>0</x:v>
      </x:c>
      <x:c r="G297" s="9" t="n">
        <x:v>0.348018376314761</x:v>
      </x:c>
      <x:c r="H297" s="9" t="n">
        <x:v>0.411471462953405</x:v>
      </x:c>
      <x:c r="I297" s="9" t="n">
        <x:v>0.348018376314761</x:v>
      </x:c>
      <x:c r="J297" s="9" t="n">
        <x:v>0.411471462953405</x:v>
      </x:c>
      <x:c r="K297" s="9" t="n">
        <x:v>0.365551431979525</x:v>
      </x:c>
      <x:c r="L297" s="9" t="n">
        <x:v>0.428225483951858</x:v>
      </x:c>
      <x:c r="M297" s="9" t="n">
        <x:v>0</x:v>
      </x:c>
      <x:c r="N297" s="9" t="n">
        <x:v>0</x:v>
      </x:c>
      <x:c r="O297" s="9" t="n">
        <x:v>0.89676308631897</x:v>
      </x:c>
      <x:c r="P297" s="9" t="n">
        <x:v>0.287743121385574</x:v>
      </x:c>
      <x:c r="Q297" s="9" t="n">
        <x:v>2714</x:v>
      </x:c>
      <x:c r="R297" s="9" t="n">
        <x:v>13</x:v>
      </x:c>
      <x:c r="S297" s="17" t="b">
        <x:v>0</x:v>
      </x:c>
      <x:c r="T297" s="18"/>
      <x:c r="U297" s="18"/>
    </x:row>
    <x:row r="298" ht="22" customHeight="1">
      <x:c r="A298" s="4" t="str">
        <x:v>Aurora</x:v>
      </x:c>
      <x:c r="B298" s="4" t="str">
        <x:v>Environment</x:v>
      </x:c>
      <x:c r="C298" s="4" t="n">
        <x:v>336</x:v>
      </x:c>
      <x:c r="D298" s="4" t="n">
        <x:v>2027</x:v>
      </x:c>
      <x:c r="E298" s="4" t="str">
        <x:v>no_variance_shrink</x:v>
      </x:c>
      <x:c r="F298" s="9" t="n">
        <x:v>0</x:v>
      </x:c>
      <x:c r="G298" s="9" t="n">
        <x:v>0.419052448222449</x:v>
      </x:c>
      <x:c r="H298" s="9" t="n">
        <x:v>0.465667290716562</x:v>
      </x:c>
      <x:c r="I298" s="9" t="n">
        <x:v>0.419052448222449</x:v>
      </x:c>
      <x:c r="J298" s="9" t="n">
        <x:v>0.465667290716562</x:v>
      </x:c>
      <x:c r="K298" s="9" t="n">
        <x:v>0.437146866820903</x:v>
      </x:c>
      <x:c r="L298" s="9" t="n">
        <x:v>0.474698744354114</x:v>
      </x:c>
      <x:c r="M298" s="9" t="n">
        <x:v>0</x:v>
      </x:c>
      <x:c r="N298" s="9" t="n">
        <x:v>0</x:v>
      </x:c>
      <x:c r="O298" s="9" t="n">
        <x:v>0.89676308631897</x:v>
      </x:c>
      <x:c r="P298" s="9" t="n">
        <x:v>0.290566116571426</x:v>
      </x:c>
      <x:c r="Q298" s="9" t="n">
        <x:v>2714</x:v>
      </x:c>
      <x:c r="R298" s="9" t="n">
        <x:v>13</x:v>
      </x:c>
      <x:c r="S298" s="17" t="b">
        <x:v>0</x:v>
      </x:c>
      <x:c r="T298" s="18"/>
      <x:c r="U298" s="18"/>
    </x:row>
    <x:row r="299" ht="22" customHeight="1">
      <x:c r="A299" s="4" t="str">
        <x:v>TaTS</x:v>
      </x:c>
      <x:c r="B299" s="4" t="str">
        <x:v>Environment</x:v>
      </x:c>
      <x:c r="C299" s="4" t="n">
        <x:v>336</x:v>
      </x:c>
      <x:c r="D299" s="4" t="n">
        <x:v>2028</x:v>
      </x:c>
      <x:c r="E299" s="4" t="str">
        <x:v>no_variance_shrink</x:v>
      </x:c>
      <x:c r="F299" s="9" t="n">
        <x:v>1</x:v>
      </x:c>
      <x:c r="G299" s="9" t="n">
        <x:v>0.30331010279952</x:v>
      </x:c>
      <x:c r="H299" s="9" t="n">
        <x:v>0.432419970852575</x:v>
      </x:c>
      <x:c r="I299" s="9" t="n">
        <x:v>0.27564685023043</x:v>
      </x:c>
      <x:c r="J299" s="9" t="n">
        <x:v>0.403833953102885</x:v>
      </x:c>
      <x:c r="K299" s="9" t="n">
        <x:v>0.27564685023043</x:v>
      </x:c>
      <x:c r="L299" s="9" t="n">
        <x:v>0.403833953102885</x:v>
      </x:c>
      <x:c r="M299" s="9" t="n">
        <x:v>-9.120452076525476</x:v>
      </x:c>
      <x:c r="N299" s="9" t="n">
        <x:v>-6.61070710802939</x:v>
      </x:c>
      <x:c r="O299" s="9" t="n">
        <x:v>0.767387807369232</x:v>
      </x:c>
      <x:c r="P299" s="9" t="n">
        <x:v>0.365705847740173</x:v>
      </x:c>
      <x:c r="Q299" s="9" t="n">
        <x:v>2714</x:v>
      </x:c>
      <x:c r="R299" s="9" t="n">
        <x:v>11</x:v>
      </x:c>
      <x:c r="S299" s="17" t="b">
        <x:v>1</x:v>
      </x:c>
      <x:c r="T299" s="18"/>
      <x:c r="U299" s="18"/>
    </x:row>
    <x:row r="300" ht="22" customHeight="1">
      <x:c r="A300" s="4" t="str">
        <x:v>MM-TSFlib</x:v>
      </x:c>
      <x:c r="B300" s="4" t="str">
        <x:v>Environment</x:v>
      </x:c>
      <x:c r="C300" s="4" t="n">
        <x:v>336</x:v>
      </x:c>
      <x:c r="D300" s="4" t="n">
        <x:v>2028</x:v>
      </x:c>
      <x:c r="E300" s="4" t="str">
        <x:v>no_variance_shrink</x:v>
      </x:c>
      <x:c r="F300" s="9" t="n">
        <x:v>1</x:v>
      </x:c>
      <x:c r="G300" s="9" t="n">
        <x:v>0.437109396137836</x:v>
      </x:c>
      <x:c r="H300" s="9" t="n">
        <x:v>0.520798657384212</x:v>
      </x:c>
      <x:c r="I300" s="9" t="n">
        <x:v>0.376685642909477</x:v>
      </x:c>
      <x:c r="J300" s="9" t="n">
        <x:v>0.474734620282084</x:v>
      </x:c>
      <x:c r="K300" s="9" t="n">
        <x:v>0.376685642909477</x:v>
      </x:c>
      <x:c r="L300" s="9" t="n">
        <x:v>0.474734620282084</x:v>
      </x:c>
      <x:c r="M300" s="9" t="n">
        <x:v>-13.823485324782403</x:v>
      </x:c>
      <x:c r="N300" s="9" t="n">
        <x:v>-8.844883996723752</x:v>
      </x:c>
      <x:c r="O300" s="9" t="n">
        <x:v>0.767387807369232</x:v>
      </x:c>
      <x:c r="P300" s="9" t="n">
        <x:v>0.389157325029373</x:v>
      </x:c>
      <x:c r="Q300" s="9" t="n">
        <x:v>2714</x:v>
      </x:c>
      <x:c r="R300" s="9" t="n">
        <x:v>11</x:v>
      </x:c>
      <x:c r="S300" s="17" t="b">
        <x:v>1</x:v>
      </x:c>
      <x:c r="T300" s="18"/>
      <x:c r="U300" s="18"/>
    </x:row>
    <x:row r="301" ht="22" customHeight="1">
      <x:c r="A301" s="4" t="str">
        <x:v>SpecTF</x:v>
      </x:c>
      <x:c r="B301" s="4" t="str">
        <x:v>Environment</x:v>
      </x:c>
      <x:c r="C301" s="4" t="n">
        <x:v>336</x:v>
      </x:c>
      <x:c r="D301" s="4" t="n">
        <x:v>2028</x:v>
      </x:c>
      <x:c r="E301" s="4" t="str">
        <x:v>no_variance_shrink</x:v>
      </x:c>
      <x:c r="F301" s="9" t="n">
        <x:v>1</x:v>
      </x:c>
      <x:c r="G301" s="9" t="n">
        <x:v>0.303938779476096</x:v>
      </x:c>
      <x:c r="H301" s="9" t="n">
        <x:v>0.41002987513432</x:v>
      </x:c>
      <x:c r="I301" s="9" t="n">
        <x:v>0.300703326960274</x:v>
      </x:c>
      <x:c r="J301" s="9" t="n">
        <x:v>0.39891125911781</x:v>
      </x:c>
      <x:c r="K301" s="9" t="n">
        <x:v>0.300703326960274</x:v>
      </x:c>
      <x:c r="L301" s="9" t="n">
        <x:v>0.39891125911781</x:v>
      </x:c>
      <x:c r="M301" s="9" t="n">
        <x:v>-1.06450796486024</x:v>
      </x:c>
      <x:c r="N301" s="9" t="n">
        <x:v>-2.711659976695191</x:v>
      </x:c>
      <x:c r="O301" s="9" t="n">
        <x:v>0.767387807369232</x:v>
      </x:c>
      <x:c r="P301" s="9" t="n">
        <x:v>0.300101399421692</x:v>
      </x:c>
      <x:c r="Q301" s="9" t="n">
        <x:v>2714</x:v>
      </x:c>
      <x:c r="R301" s="9" t="n">
        <x:v>11</x:v>
      </x:c>
      <x:c r="S301" s="17" t="b">
        <x:v>1</x:v>
      </x:c>
      <x:c r="T301" s="18"/>
      <x:c r="U301" s="18"/>
    </x:row>
    <x:row r="302" ht="22" customHeight="1">
      <x:c r="A302" s="4" t="str">
        <x:v>CFA</x:v>
      </x:c>
      <x:c r="B302" s="4" t="str">
        <x:v>Environment</x:v>
      </x:c>
      <x:c r="C302" s="4" t="n">
        <x:v>336</x:v>
      </x:c>
      <x:c r="D302" s="4" t="n">
        <x:v>2028</x:v>
      </x:c>
      <x:c r="E302" s="4" t="str">
        <x:v>no_variance_shrink</x:v>
      </x:c>
      <x:c r="F302" s="9" t="n">
        <x:v>0.25</x:v>
      </x:c>
      <x:c r="G302" s="9" t="n">
        <x:v>0.348018376314761</x:v>
      </x:c>
      <x:c r="H302" s="9" t="n">
        <x:v>0.411471462953405</x:v>
      </x:c>
      <x:c r="I302" s="9" t="n">
        <x:v>0.347690685738198</x:v>
      </x:c>
      <x:c r="J302" s="9" t="n">
        <x:v>0.411776147150003</x:v>
      </x:c>
      <x:c r="K302" s="9" t="n">
        <x:v>0.356634866876716</x:v>
      </x:c>
      <x:c r="L302" s="9" t="n">
        <x:v>0.420497580112035</x:v>
      </x:c>
      <x:c r="M302" s="9" t="n">
        <x:v>-0.094158986669979</x:v>
      </x:c>
      <x:c r="N302" s="9" t="n">
        <x:v>0.074047467207494</x:v>
      </x:c>
      <x:c r="O302" s="9" t="n">
        <x:v>0.767387807369232</x:v>
      </x:c>
      <x:c r="P302" s="9" t="n">
        <x:v>0.209096521139145</x:v>
      </x:c>
      <x:c r="Q302" s="9" t="n">
        <x:v>2714</x:v>
      </x:c>
      <x:c r="R302" s="9" t="n">
        <x:v>11</x:v>
      </x:c>
      <x:c r="S302" s="17" t="b">
        <x:v>1</x:v>
      </x:c>
      <x:c r="T302" s="18"/>
      <x:c r="U302" s="18"/>
    </x:row>
    <x:row r="303" ht="22" customHeight="1">
      <x:c r="A303" s="4" t="str">
        <x:v>Aurora</x:v>
      </x:c>
      <x:c r="B303" s="4" t="str">
        <x:v>Environment</x:v>
      </x:c>
      <x:c r="C303" s="4" t="n">
        <x:v>336</x:v>
      </x:c>
      <x:c r="D303" s="4" t="n">
        <x:v>2028</x:v>
      </x:c>
      <x:c r="E303" s="4" t="str">
        <x:v>no_variance_shrink</x:v>
      </x:c>
      <x:c r="F303" s="9" t="n">
        <x:v>0</x:v>
      </x:c>
      <x:c r="G303" s="9" t="n">
        <x:v>0.419052448222449</x:v>
      </x:c>
      <x:c r="H303" s="9" t="n">
        <x:v>0.465667290716562</x:v>
      </x:c>
      <x:c r="I303" s="9" t="n">
        <x:v>0.419052448222449</x:v>
      </x:c>
      <x:c r="J303" s="9" t="n">
        <x:v>0.465667290716562</x:v>
      </x:c>
      <x:c r="K303" s="9" t="n">
        <x:v>0.428461365864989</x:v>
      </x:c>
      <x:c r="L303" s="9" t="n">
        <x:v>0.46974626825601</x:v>
      </x:c>
      <x:c r="M303" s="9" t="n">
        <x:v>0</x:v>
      </x:c>
      <x:c r="N303" s="9" t="n">
        <x:v>0</x:v>
      </x:c>
      <x:c r="O303" s="9" t="n">
        <x:v>0.767387807369232</x:v>
      </x:c>
      <x:c r="P303" s="9" t="n">
        <x:v>0.216459095478058</x:v>
      </x:c>
      <x:c r="Q303" s="9" t="n">
        <x:v>2714</x:v>
      </x:c>
      <x:c r="R303" s="9" t="n">
        <x:v>11</x:v>
      </x:c>
      <x:c r="S303" s="17" t="b">
        <x:v>0</x:v>
      </x:c>
      <x:c r="T303" s="18"/>
      <x:c r="U303" s="18"/>
    </x:row>
    <x:row r="304" ht="22" customHeight="1">
      <x:c r="A304" s="4" t="str">
        <x:v>TaTS</x:v>
      </x:c>
      <x:c r="B304" s="4" t="str">
        <x:v>Health</x:v>
      </x:c>
      <x:c r="C304" s="4" t="n">
        <x:v>12</x:v>
      </x:c>
      <x:c r="D304" s="4" t="n">
        <x:v>2026</x:v>
      </x:c>
      <x:c r="E304" s="4" t="str">
        <x:v>no_variance_shrink</x:v>
      </x:c>
      <x:c r="F304" s="9" t="n">
        <x:v>0.5</x:v>
      </x:c>
      <x:c r="G304" s="9" t="n">
        <x:v>1.162485663950213</x:v>
      </x:c>
      <x:c r="H304" s="9" t="n">
        <x:v>0.690536069273476</x:v>
      </x:c>
      <x:c r="I304" s="9" t="n">
        <x:v>1.172683552526574</x:v>
      </x:c>
      <x:c r="J304" s="9" t="n">
        <x:v>0.670372833166995</x:v>
      </x:c>
      <x:c r="K304" s="9" t="n">
        <x:v>1.259452100854198</x:v>
      </x:c>
      <x:c r="L304" s="9" t="n">
        <x:v>0.698335207557807</x:v>
      </x:c>
      <x:c r="M304" s="9" t="n">
        <x:v>0.877248545303222</x:v>
      </x:c>
      <x:c r="N304" s="9" t="n">
        <x:v>-2.919939595290866</x:v>
      </x:c>
      <x:c r="O304" s="9" t="n">
        <x:v>0.612427592277527</x:v>
      </x:c>
      <x:c r="P304" s="9" t="n">
        <x:v>0.363405734300613</x:v>
      </x:c>
      <x:c r="Q304" s="9" t="n">
        <x:v>265</x:v>
      </x:c>
      <x:c r="R304" s="9" t="n">
        <x:v>66</x:v>
      </x:c>
      <x:c r="S304" s="17" t="b">
        <x:v>1</x:v>
      </x:c>
      <x:c r="T304" s="18"/>
      <x:c r="U304" s="18"/>
    </x:row>
    <x:row r="305" ht="22" customHeight="1">
      <x:c r="A305" s="4" t="str">
        <x:v>MM-TSFlib</x:v>
      </x:c>
      <x:c r="B305" s="4" t="str">
        <x:v>Health</x:v>
      </x:c>
      <x:c r="C305" s="4" t="n">
        <x:v>12</x:v>
      </x:c>
      <x:c r="D305" s="4" t="n">
        <x:v>2026</x:v>
      </x:c>
      <x:c r="E305" s="4" t="str">
        <x:v>no_variance_shrink</x:v>
      </x:c>
      <x:c r="F305" s="9" t="n">
        <x:v>0.25</x:v>
      </x:c>
      <x:c r="G305" s="9" t="n">
        <x:v>1.113697051883471</x:v>
      </x:c>
      <x:c r="H305" s="9" t="n">
        <x:v>0.745128761968839</x:v>
      </x:c>
      <x:c r="I305" s="9" t="n">
        <x:v>1.037635625004811</x:v>
      </x:c>
      <x:c r="J305" s="9" t="n">
        <x:v>0.717335834320711</x:v>
      </x:c>
      <x:c r="K305" s="9" t="n">
        <x:v>0.915061260458062</x:v>
      </x:c>
      <x:c r="L305" s="9" t="n">
        <x:v>0.684954790097345</x:v>
      </x:c>
      <x:c r="M305" s="9" t="n">
        <x:v>-6.829633494137887</x:v>
      </x:c>
      <x:c r="N305" s="9" t="n">
        <x:v>-3.729949649868769</x:v>
      </x:c>
      <x:c r="O305" s="9" t="n">
        <x:v>0.612427592277527</x:v>
      </x:c>
      <x:c r="P305" s="9" t="n">
        <x:v>0.340707004070282</x:v>
      </x:c>
      <x:c r="Q305" s="9" t="n">
        <x:v>265</x:v>
      </x:c>
      <x:c r="R305" s="9" t="n">
        <x:v>66</x:v>
      </x:c>
      <x:c r="S305" s="17" t="b">
        <x:v>1</x:v>
      </x:c>
      <x:c r="T305" s="18"/>
      <x:c r="U305" s="18"/>
    </x:row>
    <x:row r="306" ht="22" customHeight="1">
      <x:c r="A306" s="4" t="str">
        <x:v>SpecTF</x:v>
      </x:c>
      <x:c r="B306" s="4" t="str">
        <x:v>Health</x:v>
      </x:c>
      <x:c r="C306" s="4" t="n">
        <x:v>12</x:v>
      </x:c>
      <x:c r="D306" s="4" t="n">
        <x:v>2026</x:v>
      </x:c>
      <x:c r="E306" s="4" t="str">
        <x:v>no_variance_shrink</x:v>
      </x:c>
      <x:c r="F306" s="9" t="n">
        <x:v>0</x:v>
      </x:c>
      <x:c r="G306" s="9" t="n">
        <x:v>1.403845080454699</x:v>
      </x:c>
      <x:c r="H306" s="9" t="n">
        <x:v>0.797418085225533</x:v>
      </x:c>
      <x:c r="I306" s="9" t="n">
        <x:v>1.403845080454699</x:v>
      </x:c>
      <x:c r="J306" s="9" t="n">
        <x:v>0.797418085225533</x:v>
      </x:c>
      <x:c r="K306" s="9" t="n">
        <x:v>1.477769650431716</x:v>
      </x:c>
      <x:c r="L306" s="9" t="n">
        <x:v>0.814780020989011</x:v>
      </x:c>
      <x:c r="M306" s="9" t="n">
        <x:v>0</x:v>
      </x:c>
      <x:c r="N306" s="9" t="n">
        <x:v>0</x:v>
      </x:c>
      <x:c r="O306" s="9" t="n">
        <x:v>0.612427592277527</x:v>
      </x:c>
      <x:c r="P306" s="9" t="n">
        <x:v>0.348864883184433</x:v>
      </x:c>
      <x:c r="Q306" s="9" t="n">
        <x:v>265</x:v>
      </x:c>
      <x:c r="R306" s="9" t="n">
        <x:v>66</x:v>
      </x:c>
      <x:c r="S306" s="17" t="b">
        <x:v>0</x:v>
      </x:c>
      <x:c r="T306" s="18"/>
      <x:c r="U306" s="18"/>
    </x:row>
    <x:row r="307" ht="22" customHeight="1">
      <x:c r="A307" s="4" t="str">
        <x:v>CFA</x:v>
      </x:c>
      <x:c r="B307" s="4" t="str">
        <x:v>Health</x:v>
      </x:c>
      <x:c r="C307" s="4" t="n">
        <x:v>12</x:v>
      </x:c>
      <x:c r="D307" s="4" t="n">
        <x:v>2026</x:v>
      </x:c>
      <x:c r="E307" s="4" t="str">
        <x:v>no_variance_shrink</x:v>
      </x:c>
      <x:c r="F307" s="9" t="n">
        <x:v>0</x:v>
      </x:c>
      <x:c r="G307" s="9" t="n">
        <x:v>1.251106384964514</x:v>
      </x:c>
      <x:c r="H307" s="9" t="n">
        <x:v>0.72734662046512</x:v>
      </x:c>
      <x:c r="I307" s="9" t="n">
        <x:v>1.251106384964514</x:v>
      </x:c>
      <x:c r="J307" s="9" t="n">
        <x:v>0.72734662046512</x:v>
      </x:c>
      <x:c r="K307" s="9" t="n">
        <x:v>1.4186535413581</x:v>
      </x:c>
      <x:c r="L307" s="9" t="n">
        <x:v>0.783769819563419</x:v>
      </x:c>
      <x:c r="M307" s="9" t="n">
        <x:v>0</x:v>
      </x:c>
      <x:c r="N307" s="9" t="n">
        <x:v>0</x:v>
      </x:c>
      <x:c r="O307" s="9" t="n">
        <x:v>0.612427592277527</x:v>
      </x:c>
      <x:c r="P307" s="9" t="n">
        <x:v>0.3401258289814</x:v>
      </x:c>
      <x:c r="Q307" s="9" t="n">
        <x:v>265</x:v>
      </x:c>
      <x:c r="R307" s="9" t="n">
        <x:v>66</x:v>
      </x:c>
      <x:c r="S307" s="17" t="b">
        <x:v>0</x:v>
      </x:c>
      <x:c r="T307" s="18"/>
      <x:c r="U307" s="18"/>
    </x:row>
    <x:row r="308" ht="22" customHeight="1">
      <x:c r="A308" s="4" t="str">
        <x:v>Aurora</x:v>
      </x:c>
      <x:c r="B308" s="4" t="str">
        <x:v>Health</x:v>
      </x:c>
      <x:c r="C308" s="4" t="n">
        <x:v>12</x:v>
      </x:c>
      <x:c r="D308" s="4" t="n">
        <x:v>2026</x:v>
      </x:c>
      <x:c r="E308" s="4" t="str">
        <x:v>no_variance_shrink</x:v>
      </x:c>
      <x:c r="F308" s="9" t="n">
        <x:v>1</x:v>
      </x:c>
      <x:c r="G308" s="9" t="n">
        <x:v>2.951583919213596</x:v>
      </x:c>
      <x:c r="H308" s="9" t="n">
        <x:v>1.212325323212596</x:v>
      </x:c>
      <x:c r="I308" s="9" t="n">
        <x:v>2.277686028862841</x:v>
      </x:c>
      <x:c r="J308" s="9" t="n">
        <x:v>1.054759114301178</x:v>
      </x:c>
      <x:c r="K308" s="9" t="n">
        <x:v>2.277686028862841</x:v>
      </x:c>
      <x:c r="L308" s="9" t="n">
        <x:v>1.054759114301178</x:v>
      </x:c>
      <x:c r="M308" s="9" t="n">
        <x:v>-22.831737426266496</x:v>
      </x:c>
      <x:c r="N308" s="9" t="n">
        <x:v>-12.99702364493025</x:v>
      </x:c>
      <x:c r="O308" s="9" t="n">
        <x:v>0.612427592277527</x:v>
      </x:c>
      <x:c r="P308" s="9" t="n">
        <x:v>0.429418355226517</x:v>
      </x:c>
      <x:c r="Q308" s="9" t="n">
        <x:v>265</x:v>
      </x:c>
      <x:c r="R308" s="9" t="n">
        <x:v>66</x:v>
      </x:c>
      <x:c r="S308" s="17" t="b">
        <x:v>1</x:v>
      </x:c>
      <x:c r="T308" s="18"/>
      <x:c r="U308" s="18"/>
    </x:row>
    <x:row r="309" ht="22" customHeight="1">
      <x:c r="A309" s="4" t="str">
        <x:v>TaTS</x:v>
      </x:c>
      <x:c r="B309" s="4" t="str">
        <x:v>Health</x:v>
      </x:c>
      <x:c r="C309" s="4" t="n">
        <x:v>12</x:v>
      </x:c>
      <x:c r="D309" s="4" t="n">
        <x:v>2027</x:v>
      </x:c>
      <x:c r="E309" s="4" t="str">
        <x:v>no_variance_shrink</x:v>
      </x:c>
      <x:c r="F309" s="9" t="n">
        <x:v>0.5</x:v>
      </x:c>
      <x:c r="G309" s="9" t="n">
        <x:v>1.162485663950213</x:v>
      </x:c>
      <x:c r="H309" s="9" t="n">
        <x:v>0.690536069273476</x:v>
      </x:c>
      <x:c r="I309" s="9" t="n">
        <x:v>1.1563187922316</x:v>
      </x:c>
      <x:c r="J309" s="9" t="n">
        <x:v>0.664964352856335</x:v>
      </x:c>
      <x:c r="K309" s="9" t="n">
        <x:v>1.216055473722091</x:v>
      </x:c>
      <x:c r="L309" s="9" t="n">
        <x:v>0.681299677604643</x:v>
      </x:c>
      <x:c r="M309" s="9" t="n">
        <x:v>-0.530490130747663</x:v>
      </x:c>
      <x:c r="N309" s="9" t="n">
        <x:v>-3.703168821296499</x:v>
      </x:c>
      <x:c r="O309" s="9" t="n">
        <x:v>0.52652895450592</x:v>
      </x:c>
      <x:c r="P309" s="9" t="n">
        <x:v>0.359619289636612</x:v>
      </x:c>
      <x:c r="Q309" s="9" t="n">
        <x:v>265</x:v>
      </x:c>
      <x:c r="R309" s="9" t="n">
        <x:v>66</x:v>
      </x:c>
      <x:c r="S309" s="17" t="b">
        <x:v>1</x:v>
      </x:c>
      <x:c r="T309" s="18"/>
      <x:c r="U309" s="18"/>
    </x:row>
    <x:row r="310" ht="22" customHeight="1">
      <x:c r="A310" s="4" t="str">
        <x:v>MM-TSFlib</x:v>
      </x:c>
      <x:c r="B310" s="4" t="str">
        <x:v>Health</x:v>
      </x:c>
      <x:c r="C310" s="4" t="n">
        <x:v>12</x:v>
      </x:c>
      <x:c r="D310" s="4" t="n">
        <x:v>2027</x:v>
      </x:c>
      <x:c r="E310" s="4" t="str">
        <x:v>no_variance_shrink</x:v>
      </x:c>
      <x:c r="F310" s="9" t="n">
        <x:v>0.25</x:v>
      </x:c>
      <x:c r="G310" s="9" t="n">
        <x:v>1.113697051883471</x:v>
      </x:c>
      <x:c r="H310" s="9" t="n">
        <x:v>0.745128761968839</x:v>
      </x:c>
      <x:c r="I310" s="9" t="n">
        <x:v>1.031195052563821</x:v>
      </x:c>
      <x:c r="J310" s="9" t="n">
        <x:v>0.714494510011613</x:v>
      </x:c>
      <x:c r="K310" s="9" t="n">
        <x:v>0.885698296010066</x:v>
      </x:c>
      <x:c r="L310" s="9" t="n">
        <x:v>0.67400095277275</x:v>
      </x:c>
      <x:c r="M310" s="9" t="n">
        <x:v>-7.407939096195304</x:v>
      </x:c>
      <x:c r="N310" s="9" t="n">
        <x:v>-4.111269557798569</x:v>
      </x:c>
      <x:c r="O310" s="9" t="n">
        <x:v>0.52652895450592</x:v>
      </x:c>
      <x:c r="P310" s="9" t="n">
        <x:v>0.356503456830978</x:v>
      </x:c>
      <x:c r="Q310" s="9" t="n">
        <x:v>265</x:v>
      </x:c>
      <x:c r="R310" s="9" t="n">
        <x:v>66</x:v>
      </x:c>
      <x:c r="S310" s="17" t="b">
        <x:v>1</x:v>
      </x:c>
      <x:c r="T310" s="18"/>
      <x:c r="U310" s="18"/>
    </x:row>
    <x:row r="311" ht="22" customHeight="1">
      <x:c r="A311" s="4" t="str">
        <x:v>SpecTF</x:v>
      </x:c>
      <x:c r="B311" s="4" t="str">
        <x:v>Health</x:v>
      </x:c>
      <x:c r="C311" s="4" t="n">
        <x:v>12</x:v>
      </x:c>
      <x:c r="D311" s="4" t="n">
        <x:v>2027</x:v>
      </x:c>
      <x:c r="E311" s="4" t="str">
        <x:v>no_variance_shrink</x:v>
      </x:c>
      <x:c r="F311" s="9" t="n">
        <x:v>0</x:v>
      </x:c>
      <x:c r="G311" s="9" t="n">
        <x:v>1.403845080454699</x:v>
      </x:c>
      <x:c r="H311" s="9" t="n">
        <x:v>0.797418085225533</x:v>
      </x:c>
      <x:c r="I311" s="9" t="n">
        <x:v>1.403845080454699</x:v>
      </x:c>
      <x:c r="J311" s="9" t="n">
        <x:v>0.797418085225533</x:v>
      </x:c>
      <x:c r="K311" s="9" t="n">
        <x:v>1.437472867786567</x:v>
      </x:c>
      <x:c r="L311" s="9" t="n">
        <x:v>0.797622622283884</x:v>
      </x:c>
      <x:c r="M311" s="9" t="n">
        <x:v>0</x:v>
      </x:c>
      <x:c r="N311" s="9" t="n">
        <x:v>0</x:v>
      </x:c>
      <x:c r="O311" s="9" t="n">
        <x:v>0.52652895450592</x:v>
      </x:c>
      <x:c r="P311" s="9" t="n">
        <x:v>0.345051407814026</x:v>
      </x:c>
      <x:c r="Q311" s="9" t="n">
        <x:v>265</x:v>
      </x:c>
      <x:c r="R311" s="9" t="n">
        <x:v>66</x:v>
      </x:c>
      <x:c r="S311" s="17" t="b">
        <x:v>0</x:v>
      </x:c>
      <x:c r="T311" s="18"/>
      <x:c r="U311" s="18"/>
    </x:row>
    <x:row r="312" ht="22" customHeight="1">
      <x:c r="A312" s="4" t="str">
        <x:v>CFA</x:v>
      </x:c>
      <x:c r="B312" s="4" t="str">
        <x:v>Health</x:v>
      </x:c>
      <x:c r="C312" s="4" t="n">
        <x:v>12</x:v>
      </x:c>
      <x:c r="D312" s="4" t="n">
        <x:v>2027</x:v>
      </x:c>
      <x:c r="E312" s="4" t="str">
        <x:v>no_variance_shrink</x:v>
      </x:c>
      <x:c r="F312" s="9" t="n">
        <x:v>0</x:v>
      </x:c>
      <x:c r="G312" s="9" t="n">
        <x:v>1.251106384964514</x:v>
      </x:c>
      <x:c r="H312" s="9" t="n">
        <x:v>0.72734662046512</x:v>
      </x:c>
      <x:c r="I312" s="9" t="n">
        <x:v>1.251106384964514</x:v>
      </x:c>
      <x:c r="J312" s="9" t="n">
        <x:v>0.72734662046512</x:v>
      </x:c>
      <x:c r="K312" s="9" t="n">
        <x:v>1.408035869086608</x:v>
      </x:c>
      <x:c r="L312" s="9" t="n">
        <x:v>0.7827222259265</x:v>
      </x:c>
      <x:c r="M312" s="9" t="n">
        <x:v>0</x:v>
      </x:c>
      <x:c r="N312" s="9" t="n">
        <x:v>0</x:v>
      </x:c>
      <x:c r="O312" s="9" t="n">
        <x:v>0.52652895450592</x:v>
      </x:c>
      <x:c r="P312" s="9" t="n">
        <x:v>0.332924902439117</x:v>
      </x:c>
      <x:c r="Q312" s="9" t="n">
        <x:v>265</x:v>
      </x:c>
      <x:c r="R312" s="9" t="n">
        <x:v>66</x:v>
      </x:c>
      <x:c r="S312" s="17" t="b">
        <x:v>0</x:v>
      </x:c>
      <x:c r="T312" s="18"/>
      <x:c r="U312" s="18"/>
    </x:row>
    <x:row r="313" ht="22" customHeight="1">
      <x:c r="A313" s="4" t="str">
        <x:v>Aurora</x:v>
      </x:c>
      <x:c r="B313" s="4" t="str">
        <x:v>Health</x:v>
      </x:c>
      <x:c r="C313" s="4" t="n">
        <x:v>12</x:v>
      </x:c>
      <x:c r="D313" s="4" t="n">
        <x:v>2027</x:v>
      </x:c>
      <x:c r="E313" s="4" t="str">
        <x:v>no_variance_shrink</x:v>
      </x:c>
      <x:c r="F313" s="9" t="n">
        <x:v>1</x:v>
      </x:c>
      <x:c r="G313" s="9" t="n">
        <x:v>2.951583919213596</x:v>
      </x:c>
      <x:c r="H313" s="9" t="n">
        <x:v>1.212325323212596</x:v>
      </x:c>
      <x:c r="I313" s="9" t="n">
        <x:v>2.199823586820463</x:v>
      </x:c>
      <x:c r="J313" s="9" t="n">
        <x:v>1.027595318639118</x:v>
      </x:c>
      <x:c r="K313" s="9" t="n">
        <x:v>2.199823586820463</x:v>
      </x:c>
      <x:c r="L313" s="9" t="n">
        <x:v>1.027595318639118</x:v>
      </x:c>
      <x:c r="M313" s="9" t="n">
        <x:v>-25.46972584785687</x:v>
      </x:c>
      <x:c r="N313" s="9" t="n">
        <x:v>-15.23765948268354</x:v>
      </x:c>
      <x:c r="O313" s="9" t="n">
        <x:v>0.52652895450592</x:v>
      </x:c>
      <x:c r="P313" s="9" t="n">
        <x:v>0.430202037096024</x:v>
      </x:c>
      <x:c r="Q313" s="9" t="n">
        <x:v>265</x:v>
      </x:c>
      <x:c r="R313" s="9" t="n">
        <x:v>66</x:v>
      </x:c>
      <x:c r="S313" s="17" t="b">
        <x:v>1</x:v>
      </x:c>
      <x:c r="T313" s="18"/>
      <x:c r="U313" s="18"/>
    </x:row>
    <x:row r="314" ht="22" customHeight="1">
      <x:c r="A314" s="4" t="str">
        <x:v>TaTS</x:v>
      </x:c>
      <x:c r="B314" s="4" t="str">
        <x:v>Health</x:v>
      </x:c>
      <x:c r="C314" s="4" t="n">
        <x:v>12</x:v>
      </x:c>
      <x:c r="D314" s="4" t="n">
        <x:v>2028</x:v>
      </x:c>
      <x:c r="E314" s="4" t="str">
        <x:v>no_variance_shrink</x:v>
      </x:c>
      <x:c r="F314" s="9" t="n">
        <x:v>0</x:v>
      </x:c>
      <x:c r="G314" s="9" t="n">
        <x:v>1.162485663950213</x:v>
      </x:c>
      <x:c r="H314" s="9" t="n">
        <x:v>0.690536069273476</x:v>
      </x:c>
      <x:c r="I314" s="9" t="n">
        <x:v>1.162485663950213</x:v>
      </x:c>
      <x:c r="J314" s="9" t="n">
        <x:v>0.690536069273476</x:v>
      </x:c>
      <x:c r="K314" s="9" t="n">
        <x:v>1.174774431792448</x:v>
      </x:c>
      <x:c r="L314" s="9" t="n">
        <x:v>0.694450994018292</x:v>
      </x:c>
      <x:c r="M314" s="9" t="n">
        <x:v>0</x:v>
      </x:c>
      <x:c r="N314" s="9" t="n">
        <x:v>0</x:v>
      </x:c>
      <x:c r="O314" s="9" t="n">
        <x:v>0.388061910867691</x:v>
      </x:c>
      <x:c r="P314" s="9" t="n">
        <x:v>0.057576682418585</x:v>
      </x:c>
      <x:c r="Q314" s="9" t="n">
        <x:v>265</x:v>
      </x:c>
      <x:c r="R314" s="9" t="n">
        <x:v>8</x:v>
      </x:c>
      <x:c r="S314" s="17" t="b">
        <x:v>0</x:v>
      </x:c>
      <x:c r="T314" s="18"/>
      <x:c r="U314" s="18"/>
    </x:row>
    <x:row r="315" ht="22" customHeight="1">
      <x:c r="A315" s="4" t="str">
        <x:v>MM-TSFlib</x:v>
      </x:c>
      <x:c r="B315" s="4" t="str">
        <x:v>Health</x:v>
      </x:c>
      <x:c r="C315" s="4" t="n">
        <x:v>12</x:v>
      </x:c>
      <x:c r="D315" s="4" t="n">
        <x:v>2028</x:v>
      </x:c>
      <x:c r="E315" s="4" t="str">
        <x:v>no_variance_shrink</x:v>
      </x:c>
      <x:c r="F315" s="9" t="n">
        <x:v>1</x:v>
      </x:c>
      <x:c r="G315" s="9" t="n">
        <x:v>1.113697051883471</x:v>
      </x:c>
      <x:c r="H315" s="9" t="n">
        <x:v>0.745128761968839</x:v>
      </x:c>
      <x:c r="I315" s="9" t="n">
        <x:v>1.101660994670898</x:v>
      </x:c>
      <x:c r="J315" s="9" t="n">
        <x:v>0.739792818644418</x:v>
      </x:c>
      <x:c r="K315" s="9" t="n">
        <x:v>1.101660994670898</x:v>
      </x:c>
      <x:c r="L315" s="9" t="n">
        <x:v>0.739792818644418</x:v>
      </x:c>
      <x:c r="M315" s="9" t="n">
        <x:v>-1.080729915933432</x:v>
      </x:c>
      <x:c r="N315" s="9" t="n">
        <x:v>-0.716110234467671</x:v>
      </x:c>
      <x:c r="O315" s="9" t="n">
        <x:v>0.388061910867691</x:v>
      </x:c>
      <x:c r="P315" s="9" t="n">
        <x:v>0.05600817874074</x:v>
      </x:c>
      <x:c r="Q315" s="9" t="n">
        <x:v>265</x:v>
      </x:c>
      <x:c r="R315" s="9" t="n">
        <x:v>8</x:v>
      </x:c>
      <x:c r="S315" s="17" t="b">
        <x:v>1</x:v>
      </x:c>
      <x:c r="T315" s="18"/>
      <x:c r="U315" s="18"/>
    </x:row>
    <x:row r="316" ht="22" customHeight="1">
      <x:c r="A316" s="4" t="str">
        <x:v>SpecTF</x:v>
      </x:c>
      <x:c r="B316" s="4" t="str">
        <x:v>Health</x:v>
      </x:c>
      <x:c r="C316" s="4" t="n">
        <x:v>12</x:v>
      </x:c>
      <x:c r="D316" s="4" t="n">
        <x:v>2028</x:v>
      </x:c>
      <x:c r="E316" s="4" t="str">
        <x:v>no_variance_shrink</x:v>
      </x:c>
      <x:c r="F316" s="9" t="n">
        <x:v>0</x:v>
      </x:c>
      <x:c r="G316" s="9" t="n">
        <x:v>1.403845080454699</x:v>
      </x:c>
      <x:c r="H316" s="9" t="n">
        <x:v>0.797418085225533</x:v>
      </x:c>
      <x:c r="I316" s="9" t="n">
        <x:v>1.403845080454699</x:v>
      </x:c>
      <x:c r="J316" s="9" t="n">
        <x:v>0.797418085225533</x:v>
      </x:c>
      <x:c r="K316" s="9" t="n">
        <x:v>1.403996376360321</x:v>
      </x:c>
      <x:c r="L316" s="9" t="n">
        <x:v>0.799832917483733</x:v>
      </x:c>
      <x:c r="M316" s="9" t="n">
        <x:v>0</x:v>
      </x:c>
      <x:c r="N316" s="9" t="n">
        <x:v>0</x:v>
      </x:c>
      <x:c r="O316" s="9" t="n">
        <x:v>0.388061910867691</x:v>
      </x:c>
      <x:c r="P316" s="9" t="n">
        <x:v>0.058731496334076</x:v>
      </x:c>
      <x:c r="Q316" s="9" t="n">
        <x:v>265</x:v>
      </x:c>
      <x:c r="R316" s="9" t="n">
        <x:v>8</x:v>
      </x:c>
      <x:c r="S316" s="17" t="b">
        <x:v>0</x:v>
      </x:c>
      <x:c r="T316" s="18"/>
      <x:c r="U316" s="18"/>
    </x:row>
    <x:row r="317" ht="22" customHeight="1">
      <x:c r="A317" s="4" t="str">
        <x:v>CFA</x:v>
      </x:c>
      <x:c r="B317" s="4" t="str">
        <x:v>Health</x:v>
      </x:c>
      <x:c r="C317" s="4" t="n">
        <x:v>12</x:v>
      </x:c>
      <x:c r="D317" s="4" t="n">
        <x:v>2028</x:v>
      </x:c>
      <x:c r="E317" s="4" t="str">
        <x:v>no_variance_shrink</x:v>
      </x:c>
      <x:c r="F317" s="9" t="n">
        <x:v>0</x:v>
      </x:c>
      <x:c r="G317" s="9" t="n">
        <x:v>1.251106384964514</x:v>
      </x:c>
      <x:c r="H317" s="9" t="n">
        <x:v>0.72734662046512</x:v>
      </x:c>
      <x:c r="I317" s="9" t="n">
        <x:v>1.251106384964514</x:v>
      </x:c>
      <x:c r="J317" s="9" t="n">
        <x:v>0.72734662046512</x:v>
      </x:c>
      <x:c r="K317" s="9" t="n">
        <x:v>1.249355940149662</x:v>
      </x:c>
      <x:c r="L317" s="9" t="n">
        <x:v>0.725507175672073</x:v>
      </x:c>
      <x:c r="M317" s="9" t="n">
        <x:v>0</x:v>
      </x:c>
      <x:c r="N317" s="9" t="n">
        <x:v>0</x:v>
      </x:c>
      <x:c r="O317" s="9" t="n">
        <x:v>0.388061910867691</x:v>
      </x:c>
      <x:c r="P317" s="9" t="n">
        <x:v>0.058728136122227</x:v>
      </x:c>
      <x:c r="Q317" s="9" t="n">
        <x:v>265</x:v>
      </x:c>
      <x:c r="R317" s="9" t="n">
        <x:v>8</x:v>
      </x:c>
      <x:c r="S317" s="17" t="b">
        <x:v>0</x:v>
      </x:c>
      <x:c r="T317" s="18"/>
      <x:c r="U317" s="18"/>
    </x:row>
    <x:row r="318" ht="22" customHeight="1">
      <x:c r="A318" s="4" t="str">
        <x:v>Aurora</x:v>
      </x:c>
      <x:c r="B318" s="4" t="str">
        <x:v>Health</x:v>
      </x:c>
      <x:c r="C318" s="4" t="n">
        <x:v>12</x:v>
      </x:c>
      <x:c r="D318" s="4" t="n">
        <x:v>2028</x:v>
      </x:c>
      <x:c r="E318" s="4" t="str">
        <x:v>no_variance_shrink</x:v>
      </x:c>
      <x:c r="F318" s="9" t="n">
        <x:v>1</x:v>
      </x:c>
      <x:c r="G318" s="9" t="n">
        <x:v>2.951583919213596</x:v>
      </x:c>
      <x:c r="H318" s="9" t="n">
        <x:v>1.212325323212596</x:v>
      </x:c>
      <x:c r="I318" s="9" t="n">
        <x:v>2.914102386726914</x:v>
      </x:c>
      <x:c r="J318" s="9" t="n">
        <x:v>1.199288990260506</x:v>
      </x:c>
      <x:c r="K318" s="9" t="n">
        <x:v>2.914102386726914</x:v>
      </x:c>
      <x:c r="L318" s="9" t="n">
        <x:v>1.199288990260506</x:v>
      </x:c>
      <x:c r="M318" s="9" t="n">
        <x:v>-1.269878597816321</x:v>
      </x:c>
      <x:c r="N318" s="9" t="n">
        <x:v>-1.075316394245096</x:v>
      </x:c>
      <x:c r="O318" s="9" t="n">
        <x:v>0.388061910867691</x:v>
      </x:c>
      <x:c r="P318" s="9" t="n">
        <x:v>0.056922260671854</x:v>
      </x:c>
      <x:c r="Q318" s="9" t="n">
        <x:v>265</x:v>
      </x:c>
      <x:c r="R318" s="9" t="n">
        <x:v>8</x:v>
      </x:c>
      <x:c r="S318" s="17" t="b">
        <x:v>1</x:v>
      </x:c>
      <x:c r="T318" s="18"/>
      <x:c r="U318" s="18"/>
    </x:row>
    <x:row r="319" ht="22" customHeight="1">
      <x:c r="A319" s="4" t="str">
        <x:v>TaTS</x:v>
      </x:c>
      <x:c r="B319" s="4" t="str">
        <x:v>Health</x:v>
      </x:c>
      <x:c r="C319" s="4" t="n">
        <x:v>24</x:v>
      </x:c>
      <x:c r="D319" s="4" t="n">
        <x:v>2026</x:v>
      </x:c>
      <x:c r="E319" s="4" t="str">
        <x:v>no_variance_shrink</x:v>
      </x:c>
      <x:c r="F319" s="9" t="n">
        <x:v>0</x:v>
      </x:c>
      <x:c r="G319" s="9" t="n">
        <x:v>1.958839970567639</x:v>
      </x:c>
      <x:c r="H319" s="9" t="n">
        <x:v>0.859414017407803</x:v>
      </x:c>
      <x:c r="I319" s="9" t="n">
        <x:v>1.958839970567639</x:v>
      </x:c>
      <x:c r="J319" s="9" t="n">
        <x:v>0.859414017407803</x:v>
      </x:c>
      <x:c r="K319" s="9" t="n">
        <x:v>1.97764571421871</x:v>
      </x:c>
      <x:c r="L319" s="9" t="n">
        <x:v>0.901228597935355</x:v>
      </x:c>
      <x:c r="M319" s="9" t="n">
        <x:v>0</x:v>
      </x:c>
      <x:c r="N319" s="9" t="n">
        <x:v>0</x:v>
      </x:c>
      <x:c r="O319" s="9" t="n">
        <x:v>0.746766209602356</x:v>
      </x:c>
      <x:c r="P319" s="9" t="n">
        <x:v>0.328809261322022</x:v>
      </x:c>
      <x:c r="Q319" s="9" t="n">
        <x:v>253</x:v>
      </x:c>
      <x:c r="R319" s="9" t="n">
        <x:v>69</x:v>
      </x:c>
      <x:c r="S319" s="17" t="b">
        <x:v>0</x:v>
      </x:c>
      <x:c r="T319" s="18"/>
      <x:c r="U319" s="18"/>
    </x:row>
    <x:row r="320" ht="22" customHeight="1">
      <x:c r="A320" s="4" t="str">
        <x:v>MM-TSFlib</x:v>
      </x:c>
      <x:c r="B320" s="4" t="str">
        <x:v>Health</x:v>
      </x:c>
      <x:c r="C320" s="4" t="n">
        <x:v>24</x:v>
      </x:c>
      <x:c r="D320" s="4" t="n">
        <x:v>2026</x:v>
      </x:c>
      <x:c r="E320" s="4" t="str">
        <x:v>no_variance_shrink</x:v>
      </x:c>
      <x:c r="F320" s="9" t="n">
        <x:v>0.25</x:v>
      </x:c>
      <x:c r="G320" s="9" t="n">
        <x:v>1.278115049805624</x:v>
      </x:c>
      <x:c r="H320" s="9" t="n">
        <x:v>0.799567180335351</x:v>
      </x:c>
      <x:c r="I320" s="9" t="n">
        <x:v>1.237962541554102</x:v>
      </x:c>
      <x:c r="J320" s="9" t="n">
        <x:v>0.789039259207213</x:v>
      </x:c>
      <x:c r="K320" s="9" t="n">
        <x:v>1.198008508015656</x:v>
      </x:c>
      <x:c r="L320" s="9" t="n">
        <x:v>0.801689776575785</x:v>
      </x:c>
      <x:c r="M320" s="9" t="n">
        <x:v>-3.141540994891601</x:v>
      </x:c>
      <x:c r="N320" s="9" t="n">
        <x:v>-1.316702509440382</x:v>
      </x:c>
      <x:c r="O320" s="9" t="n">
        <x:v>0.746766209602356</x:v>
      </x:c>
      <x:c r="P320" s="9" t="n">
        <x:v>0.345666587352753</x:v>
      </x:c>
      <x:c r="Q320" s="9" t="n">
        <x:v>253</x:v>
      </x:c>
      <x:c r="R320" s="9" t="n">
        <x:v>69</x:v>
      </x:c>
      <x:c r="S320" s="17" t="b">
        <x:v>1</x:v>
      </x:c>
      <x:c r="T320" s="18"/>
      <x:c r="U320" s="18"/>
    </x:row>
    <x:row r="321" ht="22" customHeight="1">
      <x:c r="A321" s="4" t="str">
        <x:v>SpecTF</x:v>
      </x:c>
      <x:c r="B321" s="4" t="str">
        <x:v>Health</x:v>
      </x:c>
      <x:c r="C321" s="4" t="n">
        <x:v>24</x:v>
      </x:c>
      <x:c r="D321" s="4" t="n">
        <x:v>2026</x:v>
      </x:c>
      <x:c r="E321" s="4" t="str">
        <x:v>no_variance_shrink</x:v>
      </x:c>
      <x:c r="F321" s="9" t="n">
        <x:v>0</x:v>
      </x:c>
      <x:c r="G321" s="9" t="n">
        <x:v>1.808168518161464</x:v>
      </x:c>
      <x:c r="H321" s="9" t="n">
        <x:v>0.91779143712086</x:v>
      </x:c>
      <x:c r="I321" s="9" t="n">
        <x:v>1.808168518161464</x:v>
      </x:c>
      <x:c r="J321" s="9" t="n">
        <x:v>0.91779143712086</x:v>
      </x:c>
      <x:c r="K321" s="9" t="n">
        <x:v>1.916261508182698</x:v>
      </x:c>
      <x:c r="L321" s="9" t="n">
        <x:v>0.95791116182348</x:v>
      </x:c>
      <x:c r="M321" s="9" t="n">
        <x:v>0</x:v>
      </x:c>
      <x:c r="N321" s="9" t="n">
        <x:v>0</x:v>
      </x:c>
      <x:c r="O321" s="9" t="n">
        <x:v>0.746766209602356</x:v>
      </x:c>
      <x:c r="P321" s="9" t="n">
        <x:v>0.318780869245529</x:v>
      </x:c>
      <x:c r="Q321" s="9" t="n">
        <x:v>253</x:v>
      </x:c>
      <x:c r="R321" s="9" t="n">
        <x:v>69</x:v>
      </x:c>
      <x:c r="S321" s="17" t="b">
        <x:v>0</x:v>
      </x:c>
      <x:c r="T321" s="18"/>
      <x:c r="U321" s="18"/>
    </x:row>
    <x:row r="322" ht="22" customHeight="1">
      <x:c r="A322" s="4" t="str">
        <x:v>CFA</x:v>
      </x:c>
      <x:c r="B322" s="4" t="str">
        <x:v>Health</x:v>
      </x:c>
      <x:c r="C322" s="4" t="n">
        <x:v>24</x:v>
      </x:c>
      <x:c r="D322" s="4" t="n">
        <x:v>2026</x:v>
      </x:c>
      <x:c r="E322" s="4" t="str">
        <x:v>no_variance_shrink</x:v>
      </x:c>
      <x:c r="F322" s="9" t="n">
        <x:v>0</x:v>
      </x:c>
      <x:c r="G322" s="9" t="n">
        <x:v>2.247770665460558</x:v>
      </x:c>
      <x:c r="H322" s="9" t="n">
        <x:v>0.927362742171293</x:v>
      </x:c>
      <x:c r="I322" s="9" t="n">
        <x:v>2.247770665460558</x:v>
      </x:c>
      <x:c r="J322" s="9" t="n">
        <x:v>0.927362742171293</x:v>
      </x:c>
      <x:c r="K322" s="9" t="n">
        <x:v>2.360347330796754</x:v>
      </x:c>
      <x:c r="L322" s="9" t="n">
        <x:v>0.995410105642529</x:v>
      </x:c>
      <x:c r="M322" s="9" t="n">
        <x:v>0</x:v>
      </x:c>
      <x:c r="N322" s="9" t="n">
        <x:v>0</x:v>
      </x:c>
      <x:c r="O322" s="9" t="n">
        <x:v>0.746766209602356</x:v>
      </x:c>
      <x:c r="P322" s="9" t="n">
        <x:v>0.31007108092308</x:v>
      </x:c>
      <x:c r="Q322" s="9" t="n">
        <x:v>253</x:v>
      </x:c>
      <x:c r="R322" s="9" t="n">
        <x:v>69</x:v>
      </x:c>
      <x:c r="S322" s="17" t="b">
        <x:v>0</x:v>
      </x:c>
      <x:c r="T322" s="18"/>
      <x:c r="U322" s="18"/>
    </x:row>
    <x:row r="323" ht="22" customHeight="1">
      <x:c r="A323" s="4" t="str">
        <x:v>Aurora</x:v>
      </x:c>
      <x:c r="B323" s="4" t="str">
        <x:v>Health</x:v>
      </x:c>
      <x:c r="C323" s="4" t="n">
        <x:v>24</x:v>
      </x:c>
      <x:c r="D323" s="4" t="n">
        <x:v>2026</x:v>
      </x:c>
      <x:c r="E323" s="4" t="str">
        <x:v>no_variance_shrink</x:v>
      </x:c>
      <x:c r="F323" s="9" t="n">
        <x:v>1</x:v>
      </x:c>
      <x:c r="G323" s="9" t="n">
        <x:v>3.68080986261969</x:v>
      </x:c>
      <x:c r="H323" s="9" t="n">
        <x:v>1.37220746561938</x:v>
      </x:c>
      <x:c r="I323" s="9" t="n">
        <x:v>3.216270864552196</x:v>
      </x:c>
      <x:c r="J323" s="9" t="n">
        <x:v>1.261008699125445</x:v>
      </x:c>
      <x:c r="K323" s="9" t="n">
        <x:v>3.216270864552196</x:v>
      </x:c>
      <x:c r="L323" s="9" t="n">
        <x:v>1.261008699125445</x:v>
      </x:c>
      <x:c r="M323" s="9" t="n">
        <x:v>-12.62056491385496</x:v>
      </x:c>
      <x:c r="N323" s="9" t="n">
        <x:v>-8.10364097849754</x:v>
      </x:c>
      <x:c r="O323" s="9" t="n">
        <x:v>0.746766209602356</x:v>
      </x:c>
      <x:c r="P323" s="9" t="n">
        <x:v>0.38470983505249</x:v>
      </x:c>
      <x:c r="Q323" s="9" t="n">
        <x:v>253</x:v>
      </x:c>
      <x:c r="R323" s="9" t="n">
        <x:v>69</x:v>
      </x:c>
      <x:c r="S323" s="17" t="b">
        <x:v>1</x:v>
      </x:c>
      <x:c r="T323" s="18"/>
      <x:c r="U323" s="18"/>
    </x:row>
    <x:row r="324" ht="22" customHeight="1">
      <x:c r="A324" s="4" t="str">
        <x:v>TaTS</x:v>
      </x:c>
      <x:c r="B324" s="4" t="str">
        <x:v>Health</x:v>
      </x:c>
      <x:c r="C324" s="4" t="n">
        <x:v>24</x:v>
      </x:c>
      <x:c r="D324" s="4" t="n">
        <x:v>2027</x:v>
      </x:c>
      <x:c r="E324" s="4" t="str">
        <x:v>no_variance_shrink</x:v>
      </x:c>
      <x:c r="F324" s="9" t="n">
        <x:v>0</x:v>
      </x:c>
      <x:c r="G324" s="9" t="n">
        <x:v>1.958839970567639</x:v>
      </x:c>
      <x:c r="H324" s="9" t="n">
        <x:v>0.859414017407803</x:v>
      </x:c>
      <x:c r="I324" s="9" t="n">
        <x:v>1.958839970567639</x:v>
      </x:c>
      <x:c r="J324" s="9" t="n">
        <x:v>0.859414017407803</x:v>
      </x:c>
      <x:c r="K324" s="9" t="n">
        <x:v>1.937324385361421</x:v>
      </x:c>
      <x:c r="L324" s="9" t="n">
        <x:v>0.856116849541889</x:v>
      </x:c>
      <x:c r="M324" s="9" t="n">
        <x:v>0</x:v>
      </x:c>
      <x:c r="N324" s="9" t="n">
        <x:v>0</x:v>
      </x:c>
      <x:c r="O324" s="9" t="n">
        <x:v>0.743936896324158</x:v>
      </x:c>
      <x:c r="P324" s="9" t="n">
        <x:v>0.256884127855301</x:v>
      </x:c>
      <x:c r="Q324" s="9" t="n">
        <x:v>253</x:v>
      </x:c>
      <x:c r="R324" s="9" t="n">
        <x:v>59</x:v>
      </x:c>
      <x:c r="S324" s="17" t="b">
        <x:v>0</x:v>
      </x:c>
      <x:c r="T324" s="18"/>
      <x:c r="U324" s="18"/>
    </x:row>
    <x:row r="325" ht="22" customHeight="1">
      <x:c r="A325" s="4" t="str">
        <x:v>MM-TSFlib</x:v>
      </x:c>
      <x:c r="B325" s="4" t="str">
        <x:v>Health</x:v>
      </x:c>
      <x:c r="C325" s="4" t="n">
        <x:v>24</x:v>
      </x:c>
      <x:c r="D325" s="4" t="n">
        <x:v>2027</x:v>
      </x:c>
      <x:c r="E325" s="4" t="str">
        <x:v>no_variance_shrink</x:v>
      </x:c>
      <x:c r="F325" s="9" t="n">
        <x:v>0.5</x:v>
      </x:c>
      <x:c r="G325" s="9" t="n">
        <x:v>1.278115049805624</x:v>
      </x:c>
      <x:c r="H325" s="9" t="n">
        <x:v>0.799567180335351</x:v>
      </x:c>
      <x:c r="I325" s="9" t="n">
        <x:v>1.213432988594024</x:v>
      </x:c>
      <x:c r="J325" s="9" t="n">
        <x:v>0.780813912060217</x:v>
      </x:c>
      <x:c r="K325" s="9" t="n">
        <x:v>1.179810154019727</x:v>
      </x:c>
      <x:c r="L325" s="9" t="n">
        <x:v>0.777399799731869</x:v>
      </x:c>
      <x:c r="M325" s="9" t="n">
        <x:v>-5.060738563514855</x:v>
      </x:c>
      <x:c r="N325" s="9" t="n">
        <x:v>-2.345427468304573</x:v>
      </x:c>
      <x:c r="O325" s="9" t="n">
        <x:v>0.743936896324158</x:v>
      </x:c>
      <x:c r="P325" s="9" t="n">
        <x:v>0.280179768800735</x:v>
      </x:c>
      <x:c r="Q325" s="9" t="n">
        <x:v>253</x:v>
      </x:c>
      <x:c r="R325" s="9" t="n">
        <x:v>59</x:v>
      </x:c>
      <x:c r="S325" s="17" t="b">
        <x:v>1</x:v>
      </x:c>
      <x:c r="T325" s="18"/>
      <x:c r="U325" s="18"/>
    </x:row>
    <x:row r="326" ht="22" customHeight="1">
      <x:c r="A326" s="4" t="str">
        <x:v>SpecTF</x:v>
      </x:c>
      <x:c r="B326" s="4" t="str">
        <x:v>Health</x:v>
      </x:c>
      <x:c r="C326" s="4" t="n">
        <x:v>24</x:v>
      </x:c>
      <x:c r="D326" s="4" t="n">
        <x:v>2027</x:v>
      </x:c>
      <x:c r="E326" s="4" t="str">
        <x:v>no_variance_shrink</x:v>
      </x:c>
      <x:c r="F326" s="9" t="n">
        <x:v>0.25</x:v>
      </x:c>
      <x:c r="G326" s="9" t="n">
        <x:v>1.808168518161464</x:v>
      </x:c>
      <x:c r="H326" s="9" t="n">
        <x:v>0.91779143712086</x:v>
      </x:c>
      <x:c r="I326" s="9" t="n">
        <x:v>1.790274692732599</x:v>
      </x:c>
      <x:c r="J326" s="9" t="n">
        <x:v>0.908355288163051</x:v>
      </x:c>
      <x:c r="K326" s="9" t="n">
        <x:v>1.774491153451595</x:v>
      </x:c>
      <x:c r="L326" s="9" t="n">
        <x:v>0.894917557013024</x:v>
      </x:c>
      <x:c r="M326" s="9" t="n">
        <x:v>-0.989610495323678</x:v>
      </x:c>
      <x:c r="N326" s="9" t="n">
        <x:v>-1.028136521671052</x:v>
      </x:c>
      <x:c r="O326" s="9" t="n">
        <x:v>0.743936896324158</x:v>
      </x:c>
      <x:c r="P326" s="9" t="n">
        <x:v>0.220606595277786</x:v>
      </x:c>
      <x:c r="Q326" s="9" t="n">
        <x:v>253</x:v>
      </x:c>
      <x:c r="R326" s="9" t="n">
        <x:v>59</x:v>
      </x:c>
      <x:c r="S326" s="17" t="b">
        <x:v>1</x:v>
      </x:c>
      <x:c r="T326" s="18"/>
      <x:c r="U326" s="18"/>
    </x:row>
    <x:row r="327" ht="22" customHeight="1">
      <x:c r="A327" s="4" t="str">
        <x:v>CFA</x:v>
      </x:c>
      <x:c r="B327" s="4" t="str">
        <x:v>Health</x:v>
      </x:c>
      <x:c r="C327" s="4" t="n">
        <x:v>24</x:v>
      </x:c>
      <x:c r="D327" s="4" t="n">
        <x:v>2027</x:v>
      </x:c>
      <x:c r="E327" s="4" t="str">
        <x:v>no_variance_shrink</x:v>
      </x:c>
      <x:c r="F327" s="9" t="n">
        <x:v>0.25</x:v>
      </x:c>
      <x:c r="G327" s="9" t="n">
        <x:v>2.247770665460558</x:v>
      </x:c>
      <x:c r="H327" s="9" t="n">
        <x:v>0.927362742171293</x:v>
      </x:c>
      <x:c r="I327" s="9" t="n">
        <x:v>2.235188591137741</x:v>
      </x:c>
      <x:c r="J327" s="9" t="n">
        <x:v>0.923362401551612</x:v>
      </x:c>
      <x:c r="K327" s="9" t="n">
        <x:v>2.233142357217121</x:v>
      </x:c>
      <x:c r="L327" s="9" t="n">
        <x:v>0.924571293320588</x:v>
      </x:c>
      <x:c r="M327" s="9" t="n">
        <x:v>-0.5597579199762</x:v>
      </x:c>
      <x:c r="N327" s="9" t="n">
        <x:v>-0.431367407570649</x:v>
      </x:c>
      <x:c r="O327" s="9" t="n">
        <x:v>0.743936896324158</x:v>
      </x:c>
      <x:c r="P327" s="9" t="n">
        <x:v>0.234970510005951</x:v>
      </x:c>
      <x:c r="Q327" s="9" t="n">
        <x:v>253</x:v>
      </x:c>
      <x:c r="R327" s="9" t="n">
        <x:v>59</x:v>
      </x:c>
      <x:c r="S327" s="17" t="b">
        <x:v>1</x:v>
      </x:c>
      <x:c r="T327" s="18"/>
      <x:c r="U327" s="18"/>
    </x:row>
    <x:row r="328" ht="22" customHeight="1">
      <x:c r="A328" s="4" t="str">
        <x:v>Aurora</x:v>
      </x:c>
      <x:c r="B328" s="4" t="str">
        <x:v>Health</x:v>
      </x:c>
      <x:c r="C328" s="4" t="n">
        <x:v>24</x:v>
      </x:c>
      <x:c r="D328" s="4" t="n">
        <x:v>2027</x:v>
      </x:c>
      <x:c r="E328" s="4" t="str">
        <x:v>no_variance_shrink</x:v>
      </x:c>
      <x:c r="F328" s="9" t="n">
        <x:v>1</x:v>
      </x:c>
      <x:c r="G328" s="9" t="n">
        <x:v>3.68080986261969</x:v>
      </x:c>
      <x:c r="H328" s="9" t="n">
        <x:v>1.37220746561938</x:v>
      </x:c>
      <x:c r="I328" s="9" t="n">
        <x:v>2.999657461719902</x:v>
      </x:c>
      <x:c r="J328" s="9" t="n">
        <x:v>1.226007563144463</x:v>
      </x:c>
      <x:c r="K328" s="9" t="n">
        <x:v>2.999657461719902</x:v>
      </x:c>
      <x:c r="L328" s="9" t="n">
        <x:v>1.226007563144463</x:v>
      </x:c>
      <x:c r="M328" s="9" t="n">
        <x:v>-18.50550357999208</x:v>
      </x:c>
      <x:c r="N328" s="9" t="n">
        <x:v>-10.65435847989107</x:v>
      </x:c>
      <x:c r="O328" s="9" t="n">
        <x:v>0.743936896324158</x:v>
      </x:c>
      <x:c r="P328" s="9" t="n">
        <x:v>0.336828738451004</x:v>
      </x:c>
      <x:c r="Q328" s="9" t="n">
        <x:v>253</x:v>
      </x:c>
      <x:c r="R328" s="9" t="n">
        <x:v>59</x:v>
      </x:c>
      <x:c r="S328" s="17" t="b">
        <x:v>1</x:v>
      </x:c>
      <x:c r="T328" s="18"/>
      <x:c r="U328" s="18"/>
    </x:row>
    <x:row r="329" ht="22" customHeight="1">
      <x:c r="A329" s="4" t="str">
        <x:v>TaTS</x:v>
      </x:c>
      <x:c r="B329" s="4" t="str">
        <x:v>Health</x:v>
      </x:c>
      <x:c r="C329" s="4" t="n">
        <x:v>24</x:v>
      </x:c>
      <x:c r="D329" s="4" t="n">
        <x:v>2028</x:v>
      </x:c>
      <x:c r="E329" s="4" t="str">
        <x:v>no_variance_shrink</x:v>
      </x:c>
      <x:c r="F329" s="9" t="n">
        <x:v>0</x:v>
      </x:c>
      <x:c r="G329" s="9" t="n">
        <x:v>1.958839970567639</x:v>
      </x:c>
      <x:c r="H329" s="9" t="n">
        <x:v>0.859414017407803</x:v>
      </x:c>
      <x:c r="I329" s="9" t="n">
        <x:v>1.958839970567639</x:v>
      </x:c>
      <x:c r="J329" s="9" t="n">
        <x:v>0.859414017407803</x:v>
      </x:c>
      <x:c r="K329" s="9" t="n">
        <x:v>1.940653300993021</x:v>
      </x:c>
      <x:c r="L329" s="9" t="n">
        <x:v>0.871222440526498</x:v>
      </x:c>
      <x:c r="M329" s="9" t="n">
        <x:v>0</x:v>
      </x:c>
      <x:c r="N329" s="9" t="n">
        <x:v>0</x:v>
      </x:c>
      <x:c r="O329" s="9" t="n">
        <x:v>0.323678106069565</x:v>
      </x:c>
      <x:c r="P329" s="9" t="n">
        <x:v>0.324556082487106</x:v>
      </x:c>
      <x:c r="Q329" s="9" t="n">
        <x:v>253</x:v>
      </x:c>
      <x:c r="R329" s="9" t="n">
        <x:v>73</x:v>
      </x:c>
      <x:c r="S329" s="17" t="b">
        <x:v>0</x:v>
      </x:c>
      <x:c r="T329" s="18"/>
      <x:c r="U329" s="18"/>
    </x:row>
    <x:row r="330" ht="22" customHeight="1">
      <x:c r="A330" s="4" t="str">
        <x:v>MM-TSFlib</x:v>
      </x:c>
      <x:c r="B330" s="4" t="str">
        <x:v>Health</x:v>
      </x:c>
      <x:c r="C330" s="4" t="n">
        <x:v>24</x:v>
      </x:c>
      <x:c r="D330" s="4" t="n">
        <x:v>2028</x:v>
      </x:c>
      <x:c r="E330" s="4" t="str">
        <x:v>no_variance_shrink</x:v>
      </x:c>
      <x:c r="F330" s="9" t="n">
        <x:v>0.5</x:v>
      </x:c>
      <x:c r="G330" s="9" t="n">
        <x:v>1.278115049805624</x:v>
      </x:c>
      <x:c r="H330" s="9" t="n">
        <x:v>0.799567180335351</x:v>
      </x:c>
      <x:c r="I330" s="9" t="n">
        <x:v>1.212628678298716</x:v>
      </x:c>
      <x:c r="J330" s="9" t="n">
        <x:v>0.782700734889639</x:v>
      </x:c>
      <x:c r="K330" s="9" t="n">
        <x:v>1.199133279355135</x:v>
      </x:c>
      <x:c r="L330" s="9" t="n">
        <x:v>0.794631967136486</x:v>
      </x:c>
      <x:c r="M330" s="9" t="n">
        <x:v>-5.123667976280166</x:v>
      </x:c>
      <x:c r="N330" s="9" t="n">
        <x:v>-2.10944694336217</x:v>
      </x:c>
      <x:c r="O330" s="9" t="n">
        <x:v>0.323678106069565</x:v>
      </x:c>
      <x:c r="P330" s="9" t="n">
        <x:v>0.344371825456619</x:v>
      </x:c>
      <x:c r="Q330" s="9" t="n">
        <x:v>253</x:v>
      </x:c>
      <x:c r="R330" s="9" t="n">
        <x:v>73</x:v>
      </x:c>
      <x:c r="S330" s="17" t="b">
        <x:v>1</x:v>
      </x:c>
      <x:c r="T330" s="18"/>
      <x:c r="U330" s="18"/>
    </x:row>
    <x:row r="331" ht="22" customHeight="1">
      <x:c r="A331" s="4" t="str">
        <x:v>SpecTF</x:v>
      </x:c>
      <x:c r="B331" s="4" t="str">
        <x:v>Health</x:v>
      </x:c>
      <x:c r="C331" s="4" t="n">
        <x:v>24</x:v>
      </x:c>
      <x:c r="D331" s="4" t="n">
        <x:v>2028</x:v>
      </x:c>
      <x:c r="E331" s="4" t="str">
        <x:v>no_variance_shrink</x:v>
      </x:c>
      <x:c r="F331" s="9" t="n">
        <x:v>0</x:v>
      </x:c>
      <x:c r="G331" s="9" t="n">
        <x:v>1.808168518161464</x:v>
      </x:c>
      <x:c r="H331" s="9" t="n">
        <x:v>0.91779143712086</x:v>
      </x:c>
      <x:c r="I331" s="9" t="n">
        <x:v>1.808168518161464</x:v>
      </x:c>
      <x:c r="J331" s="9" t="n">
        <x:v>0.91779143712086</x:v>
      </x:c>
      <x:c r="K331" s="9" t="n">
        <x:v>1.83301877311782</x:v>
      </x:c>
      <x:c r="L331" s="9" t="n">
        <x:v>0.922092726972901</x:v>
      </x:c>
      <x:c r="M331" s="9" t="n">
        <x:v>0</x:v>
      </x:c>
      <x:c r="N331" s="9" t="n">
        <x:v>0</x:v>
      </x:c>
      <x:c r="O331" s="9" t="n">
        <x:v>0.323678106069565</x:v>
      </x:c>
      <x:c r="P331" s="9" t="n">
        <x:v>0.296071529388428</x:v>
      </x:c>
      <x:c r="Q331" s="9" t="n">
        <x:v>253</x:v>
      </x:c>
      <x:c r="R331" s="9" t="n">
        <x:v>73</x:v>
      </x:c>
      <x:c r="S331" s="17" t="b">
        <x:v>0</x:v>
      </x:c>
      <x:c r="T331" s="18"/>
      <x:c r="U331" s="18"/>
    </x:row>
    <x:row r="332" ht="22" customHeight="1">
      <x:c r="A332" s="4" t="str">
        <x:v>CFA</x:v>
      </x:c>
      <x:c r="B332" s="4" t="str">
        <x:v>Health</x:v>
      </x:c>
      <x:c r="C332" s="4" t="n">
        <x:v>24</x:v>
      </x:c>
      <x:c r="D332" s="4" t="n">
        <x:v>2028</x:v>
      </x:c>
      <x:c r="E332" s="4" t="str">
        <x:v>no_variance_shrink</x:v>
      </x:c>
      <x:c r="F332" s="9" t="n">
        <x:v>0.5</x:v>
      </x:c>
      <x:c r="G332" s="9" t="n">
        <x:v>2.247770665460558</x:v>
      </x:c>
      <x:c r="H332" s="9" t="n">
        <x:v>0.927362742171293</x:v>
      </x:c>
      <x:c r="I332" s="9" t="n">
        <x:v>2.195027176424469</x:v>
      </x:c>
      <x:c r="J332" s="9" t="n">
        <x:v>0.929144597513722</x:v>
      </x:c>
      <x:c r="K332" s="9" t="n">
        <x:v>2.185995702911273</x:v>
      </x:c>
      <x:c r="L332" s="9" t="n">
        <x:v>0.943873949197986</x:v>
      </x:c>
      <x:c r="M332" s="9" t="n">
        <x:v>-2.346479996671813</x:v>
      </x:c>
      <x:c r="N332" s="9" t="n">
        <x:v>0.192142218077196</x:v>
      </x:c>
      <x:c r="O332" s="9" t="n">
        <x:v>0.323678106069565</x:v>
      </x:c>
      <x:c r="P332" s="9" t="n">
        <x:v>0.305130779743195</x:v>
      </x:c>
      <x:c r="Q332" s="9" t="n">
        <x:v>253</x:v>
      </x:c>
      <x:c r="R332" s="9" t="n">
        <x:v>73</x:v>
      </x:c>
      <x:c r="S332" s="17" t="b">
        <x:v>1</x:v>
      </x:c>
      <x:c r="T332" s="18"/>
      <x:c r="U332" s="18"/>
    </x:row>
    <x:row r="333" ht="22" customHeight="1">
      <x:c r="A333" s="4" t="str">
        <x:v>Aurora</x:v>
      </x:c>
      <x:c r="B333" s="4" t="str">
        <x:v>Health</x:v>
      </x:c>
      <x:c r="C333" s="4" t="n">
        <x:v>24</x:v>
      </x:c>
      <x:c r="D333" s="4" t="n">
        <x:v>2028</x:v>
      </x:c>
      <x:c r="E333" s="4" t="str">
        <x:v>no_variance_shrink</x:v>
      </x:c>
      <x:c r="F333" s="9" t="n">
        <x:v>1</x:v>
      </x:c>
      <x:c r="G333" s="9" t="n">
        <x:v>3.68080986261969</x:v>
      </x:c>
      <x:c r="H333" s="9" t="n">
        <x:v>1.37220746561938</x:v>
      </x:c>
      <x:c r="I333" s="9" t="n">
        <x:v>2.855767795826583</x:v>
      </x:c>
      <x:c r="J333" s="9" t="n">
        <x:v>1.193544009835248</x:v>
      </x:c>
      <x:c r="K333" s="9" t="n">
        <x:v>2.855767795826583</x:v>
      </x:c>
      <x:c r="L333" s="9" t="n">
        <x:v>1.193544009835248</x:v>
      </x:c>
      <x:c r="M333" s="9" t="n">
        <x:v>-22.4146885491638</x:v>
      </x:c>
      <x:c r="N333" s="9" t="n">
        <x:v>-13.020148939612984</x:v>
      </x:c>
      <x:c r="O333" s="9" t="n">
        <x:v>0.323678106069565</x:v>
      </x:c>
      <x:c r="P333" s="9" t="n">
        <x:v>0.397058933973312</x:v>
      </x:c>
      <x:c r="Q333" s="9" t="n">
        <x:v>253</x:v>
      </x:c>
      <x:c r="R333" s="9" t="n">
        <x:v>73</x:v>
      </x:c>
      <x:c r="S333" s="17" t="b">
        <x:v>1</x:v>
      </x:c>
      <x:c r="T333" s="18"/>
      <x:c r="U333" s="18"/>
    </x:row>
    <x:row r="334" ht="22" customHeight="1">
      <x:c r="A334" s="4" t="str">
        <x:v>TaTS</x:v>
      </x:c>
      <x:c r="B334" s="4" t="str">
        <x:v>Health</x:v>
      </x:c>
      <x:c r="C334" s="4" t="n">
        <x:v>36</x:v>
      </x:c>
      <x:c r="D334" s="4" t="n">
        <x:v>2026</x:v>
      </x:c>
      <x:c r="E334" s="4" t="str">
        <x:v>no_variance_shrink</x:v>
      </x:c>
      <x:c r="F334" s="9" t="n">
        <x:v>1</x:v>
      </x:c>
      <x:c r="G334" s="9" t="n">
        <x:v>2.663799519826998</x:v>
      </x:c>
      <x:c r="H334" s="9" t="n">
        <x:v>0.972468803476764</x:v>
      </x:c>
      <x:c r="I334" s="9" t="n">
        <x:v>2.69847759053685</x:v>
      </x:c>
      <x:c r="J334" s="9" t="n">
        <x:v>0.964145383561298</x:v>
      </x:c>
      <x:c r="K334" s="9" t="n">
        <x:v>2.69847759053685</x:v>
      </x:c>
      <x:c r="L334" s="9" t="n">
        <x:v>0.964145383561298</x:v>
      </x:c>
      <x:c r="M334" s="9" t="n">
        <x:v>1.301827350434515</x:v>
      </x:c>
      <x:c r="N334" s="9" t="n">
        <x:v>-0.855906110890958</x:v>
      </x:c>
      <x:c r="O334" s="9" t="n">
        <x:v>0.436226963996887</x:v>
      </x:c>
      <x:c r="P334" s="9" t="n">
        <x:v>0.090786188840866</x:v>
      </x:c>
      <x:c r="Q334" s="9" t="n">
        <x:v>241</x:v>
      </x:c>
      <x:c r="R334" s="9" t="n">
        <x:v>10</x:v>
      </x:c>
      <x:c r="S334" s="17" t="b">
        <x:v>1</x:v>
      </x:c>
      <x:c r="T334" s="18"/>
      <x:c r="U334" s="18"/>
    </x:row>
    <x:row r="335" ht="22" customHeight="1">
      <x:c r="A335" s="4" t="str">
        <x:v>MM-TSFlib</x:v>
      </x:c>
      <x:c r="B335" s="4" t="str">
        <x:v>Health</x:v>
      </x:c>
      <x:c r="C335" s="4" t="n">
        <x:v>36</x:v>
      </x:c>
      <x:c r="D335" s="4" t="n">
        <x:v>2026</x:v>
      </x:c>
      <x:c r="E335" s="4" t="str">
        <x:v>no_variance_shrink</x:v>
      </x:c>
      <x:c r="F335" s="9" t="n">
        <x:v>0</x:v>
      </x:c>
      <x:c r="G335" s="9" t="n">
        <x:v>1.341688466227077</x:v>
      </x:c>
      <x:c r="H335" s="9" t="n">
        <x:v>0.795799969871826</x:v>
      </x:c>
      <x:c r="I335" s="9" t="n">
        <x:v>1.341688466227077</x:v>
      </x:c>
      <x:c r="J335" s="9" t="n">
        <x:v>0.795799969871826</x:v>
      </x:c>
      <x:c r="K335" s="9" t="n">
        <x:v>1.321777525384916</x:v>
      </x:c>
      <x:c r="L335" s="9" t="n">
        <x:v>0.81084383946057</x:v>
      </x:c>
      <x:c r="M335" s="9" t="n">
        <x:v>0</x:v>
      </x:c>
      <x:c r="N335" s="9" t="n">
        <x:v>0</x:v>
      </x:c>
      <x:c r="O335" s="9" t="n">
        <x:v>0.436226963996887</x:v>
      </x:c>
      <x:c r="P335" s="9" t="n">
        <x:v>0.090230569243431</x:v>
      </x:c>
      <x:c r="Q335" s="9" t="n">
        <x:v>241</x:v>
      </x:c>
      <x:c r="R335" s="9" t="n">
        <x:v>10</x:v>
      </x:c>
      <x:c r="S335" s="17" t="b">
        <x:v>0</x:v>
      </x:c>
      <x:c r="T335" s="18"/>
      <x:c r="U335" s="18"/>
    </x:row>
    <x:row r="336" ht="22" customHeight="1">
      <x:c r="A336" s="4" t="str">
        <x:v>SpecTF</x:v>
      </x:c>
      <x:c r="B336" s="4" t="str">
        <x:v>Health</x:v>
      </x:c>
      <x:c r="C336" s="4" t="n">
        <x:v>36</x:v>
      </x:c>
      <x:c r="D336" s="4" t="n">
        <x:v>2026</x:v>
      </x:c>
      <x:c r="E336" s="4" t="str">
        <x:v>no_variance_shrink</x:v>
      </x:c>
      <x:c r="F336" s="9" t="n">
        <x:v>0</x:v>
      </x:c>
      <x:c r="G336" s="9" t="n">
        <x:v>1.976011821818161</x:v>
      </x:c>
      <x:c r="H336" s="9" t="n">
        <x:v>0.970901385387978</x:v>
      </x:c>
      <x:c r="I336" s="9" t="n">
        <x:v>1.976011821818161</x:v>
      </x:c>
      <x:c r="J336" s="9" t="n">
        <x:v>0.970901385387978</x:v>
      </x:c>
      <x:c r="K336" s="9" t="n">
        <x:v>2.00928220753986</x:v>
      </x:c>
      <x:c r="L336" s="9" t="n">
        <x:v>0.983285936487993</x:v>
      </x:c>
      <x:c r="M336" s="9" t="n">
        <x:v>0</x:v>
      </x:c>
      <x:c r="N336" s="9" t="n">
        <x:v>0</x:v>
      </x:c>
      <x:c r="O336" s="9" t="n">
        <x:v>0.436226963996887</x:v>
      </x:c>
      <x:c r="P336" s="9" t="n">
        <x:v>0.092018932104111</x:v>
      </x:c>
      <x:c r="Q336" s="9" t="n">
        <x:v>241</x:v>
      </x:c>
      <x:c r="R336" s="9" t="n">
        <x:v>10</x:v>
      </x:c>
      <x:c r="S336" s="17" t="b">
        <x:v>0</x:v>
      </x:c>
      <x:c r="T336" s="18"/>
      <x:c r="U336" s="18"/>
    </x:row>
    <x:row r="337" ht="22" customHeight="1">
      <x:c r="A337" s="4" t="str">
        <x:v>CFA</x:v>
      </x:c>
      <x:c r="B337" s="4" t="str">
        <x:v>Health</x:v>
      </x:c>
      <x:c r="C337" s="4" t="n">
        <x:v>36</x:v>
      </x:c>
      <x:c r="D337" s="4" t="n">
        <x:v>2026</x:v>
      </x:c>
      <x:c r="E337" s="4" t="str">
        <x:v>no_variance_shrink</x:v>
      </x:c>
      <x:c r="F337" s="9" t="n">
        <x:v>0</x:v>
      </x:c>
      <x:c r="G337" s="9" t="n">
        <x:v>3.261546938360099</x:v>
      </x:c>
      <x:c r="H337" s="9" t="n">
        <x:v>1.060514746655882</x:v>
      </x:c>
      <x:c r="I337" s="9" t="n">
        <x:v>3.261546938360099</x:v>
      </x:c>
      <x:c r="J337" s="9" t="n">
        <x:v>1.060514746655882</x:v>
      </x:c>
      <x:c r="K337" s="9" t="n">
        <x:v>3.332300102743686</x:v>
      </x:c>
      <x:c r="L337" s="9" t="n">
        <x:v>1.075116990504741</x:v>
      </x:c>
      <x:c r="M337" s="9" t="n">
        <x:v>0</x:v>
      </x:c>
      <x:c r="N337" s="9" t="n">
        <x:v>0</x:v>
      </x:c>
      <x:c r="O337" s="9" t="n">
        <x:v>0.436226963996887</x:v>
      </x:c>
      <x:c r="P337" s="9" t="n">
        <x:v>0.091264747083187</x:v>
      </x:c>
      <x:c r="Q337" s="9" t="n">
        <x:v>241</x:v>
      </x:c>
      <x:c r="R337" s="9" t="n">
        <x:v>10</x:v>
      </x:c>
      <x:c r="S337" s="17" t="b">
        <x:v>0</x:v>
      </x:c>
      <x:c r="T337" s="18"/>
      <x:c r="U337" s="18"/>
    </x:row>
    <x:row r="338" ht="22" customHeight="1">
      <x:c r="A338" s="4" t="str">
        <x:v>Aurora</x:v>
      </x:c>
      <x:c r="B338" s="4" t="str">
        <x:v>Health</x:v>
      </x:c>
      <x:c r="C338" s="4" t="n">
        <x:v>36</x:v>
      </x:c>
      <x:c r="D338" s="4" t="n">
        <x:v>2026</x:v>
      </x:c>
      <x:c r="E338" s="4" t="str">
        <x:v>no_variance_shrink</x:v>
      </x:c>
      <x:c r="F338" s="9" t="n">
        <x:v>0</x:v>
      </x:c>
      <x:c r="G338" s="9" t="n">
        <x:v>3.214042558483849</x:v>
      </x:c>
      <x:c r="H338" s="9" t="n">
        <x:v>1.274412076642278</x:v>
      </x:c>
      <x:c r="I338" s="9" t="n">
        <x:v>3.214042558483849</x:v>
      </x:c>
      <x:c r="J338" s="9" t="n">
        <x:v>1.274412076642278</x:v>
      </x:c>
      <x:c r="K338" s="9" t="n">
        <x:v>3.243625019456844</x:v>
      </x:c>
      <x:c r="L338" s="9" t="n">
        <x:v>1.283758436796965</x:v>
      </x:c>
      <x:c r="M338" s="9" t="n">
        <x:v>0</x:v>
      </x:c>
      <x:c r="N338" s="9" t="n">
        <x:v>0</x:v>
      </x:c>
      <x:c r="O338" s="9" t="n">
        <x:v>0.436226963996887</x:v>
      </x:c>
      <x:c r="P338" s="9" t="n">
        <x:v>0.093245588243008</x:v>
      </x:c>
      <x:c r="Q338" s="9" t="n">
        <x:v>241</x:v>
      </x:c>
      <x:c r="R338" s="9" t="n">
        <x:v>10</x:v>
      </x:c>
      <x:c r="S338" s="17" t="b">
        <x:v>0</x:v>
      </x:c>
      <x:c r="T338" s="18"/>
      <x:c r="U338" s="18"/>
    </x:row>
    <x:row r="339" ht="22" customHeight="1">
      <x:c r="A339" s="4" t="str">
        <x:v>TaTS</x:v>
      </x:c>
      <x:c r="B339" s="4" t="str">
        <x:v>Health</x:v>
      </x:c>
      <x:c r="C339" s="4" t="n">
        <x:v>36</x:v>
      </x:c>
      <x:c r="D339" s="4" t="n">
        <x:v>2027</x:v>
      </x:c>
      <x:c r="E339" s="4" t="str">
        <x:v>no_variance_shrink</x:v>
      </x:c>
      <x:c r="F339" s="9" t="n">
        <x:v>1</x:v>
      </x:c>
      <x:c r="G339" s="9" t="n">
        <x:v>2.663799519826998</x:v>
      </x:c>
      <x:c r="H339" s="9" t="n">
        <x:v>0.972468803476764</x:v>
      </x:c>
      <x:c r="I339" s="9" t="n">
        <x:v>2.689540487613292</x:v>
      </x:c>
      <x:c r="J339" s="9" t="n">
        <x:v>0.968932768183766</x:v>
      </x:c>
      <x:c r="K339" s="9" t="n">
        <x:v>2.689540487613292</x:v>
      </x:c>
      <x:c r="L339" s="9" t="n">
        <x:v>0.968932768183766</x:v>
      </x:c>
      <x:c r="M339" s="9" t="n">
        <x:v>0.966325265647816</x:v>
      </x:c>
      <x:c r="N339" s="9" t="n">
        <x:v>-0.363614265090684</x:v>
      </x:c>
      <x:c r="O339" s="9" t="n">
        <x:v>0.451621115207672</x:v>
      </x:c>
      <x:c r="P339" s="9" t="n">
        <x:v>0.073674134910107</x:v>
      </x:c>
      <x:c r="Q339" s="9" t="n">
        <x:v>241</x:v>
      </x:c>
      <x:c r="R339" s="9" t="n">
        <x:v>12</x:v>
      </x:c>
      <x:c r="S339" s="17" t="b">
        <x:v>1</x:v>
      </x:c>
      <x:c r="T339" s="18"/>
      <x:c r="U339" s="18"/>
    </x:row>
    <x:row r="340" ht="22" customHeight="1">
      <x:c r="A340" s="4" t="str">
        <x:v>MM-TSFlib</x:v>
      </x:c>
      <x:c r="B340" s="4" t="str">
        <x:v>Health</x:v>
      </x:c>
      <x:c r="C340" s="4" t="n">
        <x:v>36</x:v>
      </x:c>
      <x:c r="D340" s="4" t="n">
        <x:v>2027</x:v>
      </x:c>
      <x:c r="E340" s="4" t="str">
        <x:v>no_variance_shrink</x:v>
      </x:c>
      <x:c r="F340" s="9" t="n">
        <x:v>0</x:v>
      </x:c>
      <x:c r="G340" s="9" t="n">
        <x:v>1.341688466227077</x:v>
      </x:c>
      <x:c r="H340" s="9" t="n">
        <x:v>0.795799969871826</x:v>
      </x:c>
      <x:c r="I340" s="9" t="n">
        <x:v>1.341688466227077</x:v>
      </x:c>
      <x:c r="J340" s="9" t="n">
        <x:v>0.795799969871826</x:v>
      </x:c>
      <x:c r="K340" s="9" t="n">
        <x:v>1.315706173493109</x:v>
      </x:c>
      <x:c r="L340" s="9" t="n">
        <x:v>0.800583808512929</x:v>
      </x:c>
      <x:c r="M340" s="9" t="n">
        <x:v>0</x:v>
      </x:c>
      <x:c r="N340" s="9" t="n">
        <x:v>0</x:v>
      </x:c>
      <x:c r="O340" s="9" t="n">
        <x:v>0.451621115207672</x:v>
      </x:c>
      <x:c r="P340" s="9" t="n">
        <x:v>0.072381064295769</x:v>
      </x:c>
      <x:c r="Q340" s="9" t="n">
        <x:v>241</x:v>
      </x:c>
      <x:c r="R340" s="9" t="n">
        <x:v>12</x:v>
      </x:c>
      <x:c r="S340" s="17" t="b">
        <x:v>0</x:v>
      </x:c>
      <x:c r="T340" s="18"/>
      <x:c r="U340" s="18"/>
    </x:row>
    <x:row r="341" ht="22" customHeight="1">
      <x:c r="A341" s="4" t="str">
        <x:v>SpecTF</x:v>
      </x:c>
      <x:c r="B341" s="4" t="str">
        <x:v>Health</x:v>
      </x:c>
      <x:c r="C341" s="4" t="n">
        <x:v>36</x:v>
      </x:c>
      <x:c r="D341" s="4" t="n">
        <x:v>2027</x:v>
      </x:c>
      <x:c r="E341" s="4" t="str">
        <x:v>no_variance_shrink</x:v>
      </x:c>
      <x:c r="F341" s="9" t="n">
        <x:v>0</x:v>
      </x:c>
      <x:c r="G341" s="9" t="n">
        <x:v>1.976011821818161</x:v>
      </x:c>
      <x:c r="H341" s="9" t="n">
        <x:v>0.970901385387978</x:v>
      </x:c>
      <x:c r="I341" s="9" t="n">
        <x:v>1.976011821818161</x:v>
      </x:c>
      <x:c r="J341" s="9" t="n">
        <x:v>0.970901385387978</x:v>
      </x:c>
      <x:c r="K341" s="9" t="n">
        <x:v>1.993786343450117</x:v>
      </x:c>
      <x:c r="L341" s="9" t="n">
        <x:v>0.978304893869782</x:v>
      </x:c>
      <x:c r="M341" s="9" t="n">
        <x:v>0</x:v>
      </x:c>
      <x:c r="N341" s="9" t="n">
        <x:v>0</x:v>
      </x:c>
      <x:c r="O341" s="9" t="n">
        <x:v>0.451621115207672</x:v>
      </x:c>
      <x:c r="P341" s="9" t="n">
        <x:v>0.075387023389339</x:v>
      </x:c>
      <x:c r="Q341" s="9" t="n">
        <x:v>241</x:v>
      </x:c>
      <x:c r="R341" s="9" t="n">
        <x:v>12</x:v>
      </x:c>
      <x:c r="S341" s="17" t="b">
        <x:v>0</x:v>
      </x:c>
      <x:c r="T341" s="18"/>
      <x:c r="U341" s="18"/>
    </x:row>
    <x:row r="342" ht="22" customHeight="1">
      <x:c r="A342" s="4" t="str">
        <x:v>CFA</x:v>
      </x:c>
      <x:c r="B342" s="4" t="str">
        <x:v>Health</x:v>
      </x:c>
      <x:c r="C342" s="4" t="n">
        <x:v>36</x:v>
      </x:c>
      <x:c r="D342" s="4" t="n">
        <x:v>2027</x:v>
      </x:c>
      <x:c r="E342" s="4" t="str">
        <x:v>no_variance_shrink</x:v>
      </x:c>
      <x:c r="F342" s="9" t="n">
        <x:v>0</x:v>
      </x:c>
      <x:c r="G342" s="9" t="n">
        <x:v>3.261546938360099</x:v>
      </x:c>
      <x:c r="H342" s="9" t="n">
        <x:v>1.060514746655882</x:v>
      </x:c>
      <x:c r="I342" s="9" t="n">
        <x:v>3.261546938360099</x:v>
      </x:c>
      <x:c r="J342" s="9" t="n">
        <x:v>1.060514746655882</x:v>
      </x:c>
      <x:c r="K342" s="9" t="n">
        <x:v>3.310248451191806</x:v>
      </x:c>
      <x:c r="L342" s="9" t="n">
        <x:v>1.068885628832356</x:v>
      </x:c>
      <x:c r="M342" s="9" t="n">
        <x:v>0</x:v>
      </x:c>
      <x:c r="N342" s="9" t="n">
        <x:v>0</x:v>
      </x:c>
      <x:c r="O342" s="9" t="n">
        <x:v>0.451621115207672</x:v>
      </x:c>
      <x:c r="P342" s="9" t="n">
        <x:v>0.074072144925594</x:v>
      </x:c>
      <x:c r="Q342" s="9" t="n">
        <x:v>241</x:v>
      </x:c>
      <x:c r="R342" s="9" t="n">
        <x:v>12</x:v>
      </x:c>
      <x:c r="S342" s="17" t="b">
        <x:v>0</x:v>
      </x:c>
      <x:c r="T342" s="18"/>
      <x:c r="U342" s="18"/>
    </x:row>
    <x:row r="343" ht="22" customHeight="1">
      <x:c r="A343" s="4" t="str">
        <x:v>Aurora</x:v>
      </x:c>
      <x:c r="B343" s="4" t="str">
        <x:v>Health</x:v>
      </x:c>
      <x:c r="C343" s="4" t="n">
        <x:v>36</x:v>
      </x:c>
      <x:c r="D343" s="4" t="n">
        <x:v>2027</x:v>
      </x:c>
      <x:c r="E343" s="4" t="str">
        <x:v>no_variance_shrink</x:v>
      </x:c>
      <x:c r="F343" s="9" t="n">
        <x:v>0</x:v>
      </x:c>
      <x:c r="G343" s="9" t="n">
        <x:v>3.214042558483849</x:v>
      </x:c>
      <x:c r="H343" s="9" t="n">
        <x:v>1.274412076642278</x:v>
      </x:c>
      <x:c r="I343" s="9" t="n">
        <x:v>3.214042558483849</x:v>
      </x:c>
      <x:c r="J343" s="9" t="n">
        <x:v>1.274412076642278</x:v>
      </x:c>
      <x:c r="K343" s="9" t="n">
        <x:v>3.227327257531157</x:v>
      </x:c>
      <x:c r="L343" s="9" t="n">
        <x:v>1.276708289440653</x:v>
      </x:c>
      <x:c r="M343" s="9" t="n">
        <x:v>0</x:v>
      </x:c>
      <x:c r="N343" s="9" t="n">
        <x:v>0</x:v>
      </x:c>
      <x:c r="O343" s="9" t="n">
        <x:v>0.451621115207672</x:v>
      </x:c>
      <x:c r="P343" s="9" t="n">
        <x:v>0.076751634478569</x:v>
      </x:c>
      <x:c r="Q343" s="9" t="n">
        <x:v>241</x:v>
      </x:c>
      <x:c r="R343" s="9" t="n">
        <x:v>12</x:v>
      </x:c>
      <x:c r="S343" s="17" t="b">
        <x:v>0</x:v>
      </x:c>
      <x:c r="T343" s="18"/>
      <x:c r="U343" s="18"/>
    </x:row>
    <x:row r="344" ht="22" customHeight="1">
      <x:c r="A344" s="4" t="str">
        <x:v>TaTS</x:v>
      </x:c>
      <x:c r="B344" s="4" t="str">
        <x:v>Health</x:v>
      </x:c>
      <x:c r="C344" s="4" t="n">
        <x:v>36</x:v>
      </x:c>
      <x:c r="D344" s="4" t="n">
        <x:v>2028</x:v>
      </x:c>
      <x:c r="E344" s="4" t="str">
        <x:v>no_variance_shrink</x:v>
      </x:c>
      <x:c r="F344" s="9" t="n">
        <x:v>1</x:v>
      </x:c>
      <x:c r="G344" s="9" t="n">
        <x:v>2.663799519826998</x:v>
      </x:c>
      <x:c r="H344" s="9" t="n">
        <x:v>0.972468803476764</x:v>
      </x:c>
      <x:c r="I344" s="9" t="n">
        <x:v>2.722742673715845</x:v>
      </x:c>
      <x:c r="J344" s="9" t="n">
        <x:v>0.972814295657941</x:v>
      </x:c>
      <x:c r="K344" s="9" t="n">
        <x:v>2.722742673715845</x:v>
      </x:c>
      <x:c r="L344" s="9" t="n">
        <x:v>0.972814295657941</x:v>
      </x:c>
      <x:c r="M344" s="9" t="n">
        <x:v>2.212747372695478</x:v>
      </x:c>
      <x:c r="N344" s="9" t="n">
        <x:v>0.035527327965878</x:v>
      </x:c>
      <x:c r="O344" s="9" t="n">
        <x:v>0.494621992111206</x:v>
      </x:c>
      <x:c r="P344" s="9" t="n">
        <x:v>0.101001024246216</x:v>
      </x:c>
      <x:c r="Q344" s="9" t="n">
        <x:v>241</x:v>
      </x:c>
      <x:c r="R344" s="9" t="n">
        <x:v>13</x:v>
      </x:c>
      <x:c r="S344" s="17" t="b">
        <x:v>1</x:v>
      </x:c>
      <x:c r="T344" s="18"/>
      <x:c r="U344" s="18"/>
    </x:row>
    <x:row r="345" ht="22" customHeight="1">
      <x:c r="A345" s="4" t="str">
        <x:v>MM-TSFlib</x:v>
      </x:c>
      <x:c r="B345" s="4" t="str">
        <x:v>Health</x:v>
      </x:c>
      <x:c r="C345" s="4" t="n">
        <x:v>36</x:v>
      </x:c>
      <x:c r="D345" s="4" t="n">
        <x:v>2028</x:v>
      </x:c>
      <x:c r="E345" s="4" t="str">
        <x:v>no_variance_shrink</x:v>
      </x:c>
      <x:c r="F345" s="9" t="n">
        <x:v>0</x:v>
      </x:c>
      <x:c r="G345" s="9" t="n">
        <x:v>1.341688466227077</x:v>
      </x:c>
      <x:c r="H345" s="9" t="n">
        <x:v>0.795799969871826</x:v>
      </x:c>
      <x:c r="I345" s="9" t="n">
        <x:v>1.341688466227077</x:v>
      </x:c>
      <x:c r="J345" s="9" t="n">
        <x:v>0.795799969871826</x:v>
      </x:c>
      <x:c r="K345" s="9" t="n">
        <x:v>1.316056106643477</x:v>
      </x:c>
      <x:c r="L345" s="9" t="n">
        <x:v>0.809857983172982</x:v>
      </x:c>
      <x:c r="M345" s="9" t="n">
        <x:v>0</x:v>
      </x:c>
      <x:c r="N345" s="9" t="n">
        <x:v>0</x:v>
      </x:c>
      <x:c r="O345" s="9" t="n">
        <x:v>0.494621992111206</x:v>
      </x:c>
      <x:c r="P345" s="9" t="n">
        <x:v>0.098371736705303</x:v>
      </x:c>
      <x:c r="Q345" s="9" t="n">
        <x:v>241</x:v>
      </x:c>
      <x:c r="R345" s="9" t="n">
        <x:v>13</x:v>
      </x:c>
      <x:c r="S345" s="17" t="b">
        <x:v>0</x:v>
      </x:c>
      <x:c r="T345" s="18"/>
      <x:c r="U345" s="18"/>
    </x:row>
    <x:row r="346" ht="22" customHeight="1">
      <x:c r="A346" s="4" t="str">
        <x:v>SpecTF</x:v>
      </x:c>
      <x:c r="B346" s="4" t="str">
        <x:v>Health</x:v>
      </x:c>
      <x:c r="C346" s="4" t="n">
        <x:v>36</x:v>
      </x:c>
      <x:c r="D346" s="4" t="n">
        <x:v>2028</x:v>
      </x:c>
      <x:c r="E346" s="4" t="str">
        <x:v>no_variance_shrink</x:v>
      </x:c>
      <x:c r="F346" s="9" t="n">
        <x:v>0</x:v>
      </x:c>
      <x:c r="G346" s="9" t="n">
        <x:v>1.976011821818161</x:v>
      </x:c>
      <x:c r="H346" s="9" t="n">
        <x:v>0.970901385387978</x:v>
      </x:c>
      <x:c r="I346" s="9" t="n">
        <x:v>1.976011821818161</x:v>
      </x:c>
      <x:c r="J346" s="9" t="n">
        <x:v>0.970901385387978</x:v>
      </x:c>
      <x:c r="K346" s="9" t="n">
        <x:v>2.010016119044932</x:v>
      </x:c>
      <x:c r="L346" s="9" t="n">
        <x:v>0.983999021160584</x:v>
      </x:c>
      <x:c r="M346" s="9" t="n">
        <x:v>0</x:v>
      </x:c>
      <x:c r="N346" s="9" t="n">
        <x:v>0</x:v>
      </x:c>
      <x:c r="O346" s="9" t="n">
        <x:v>0.494621992111206</x:v>
      </x:c>
      <x:c r="P346" s="9" t="n">
        <x:v>0.100742973387241</x:v>
      </x:c>
      <x:c r="Q346" s="9" t="n">
        <x:v>241</x:v>
      </x:c>
      <x:c r="R346" s="9" t="n">
        <x:v>13</x:v>
      </x:c>
      <x:c r="S346" s="17" t="b">
        <x:v>0</x:v>
      </x:c>
      <x:c r="T346" s="18"/>
      <x:c r="U346" s="18"/>
    </x:row>
    <x:row r="347" ht="22" customHeight="1">
      <x:c r="A347" s="4" t="str">
        <x:v>CFA</x:v>
      </x:c>
      <x:c r="B347" s="4" t="str">
        <x:v>Health</x:v>
      </x:c>
      <x:c r="C347" s="4" t="n">
        <x:v>36</x:v>
      </x:c>
      <x:c r="D347" s="4" t="n">
        <x:v>2028</x:v>
      </x:c>
      <x:c r="E347" s="4" t="str">
        <x:v>no_variance_shrink</x:v>
      </x:c>
      <x:c r="F347" s="9" t="n">
        <x:v>0</x:v>
      </x:c>
      <x:c r="G347" s="9" t="n">
        <x:v>3.261546938360099</x:v>
      </x:c>
      <x:c r="H347" s="9" t="n">
        <x:v>1.060514746655882</x:v>
      </x:c>
      <x:c r="I347" s="9" t="n">
        <x:v>3.261546938360099</x:v>
      </x:c>
      <x:c r="J347" s="9" t="n">
        <x:v>1.060514746655882</x:v>
      </x:c>
      <x:c r="K347" s="9" t="n">
        <x:v>3.356703597249678</x:v>
      </x:c>
      <x:c r="L347" s="9" t="n">
        <x:v>1.078920940074058</x:v>
      </x:c>
      <x:c r="M347" s="9" t="n">
        <x:v>0</x:v>
      </x:c>
      <x:c r="N347" s="9" t="n">
        <x:v>0</x:v>
      </x:c>
      <x:c r="O347" s="9" t="n">
        <x:v>0.494621992111206</x:v>
      </x:c>
      <x:c r="P347" s="9" t="n">
        <x:v>0.100217893719673</x:v>
      </x:c>
      <x:c r="Q347" s="9" t="n">
        <x:v>241</x:v>
      </x:c>
      <x:c r="R347" s="9" t="n">
        <x:v>13</x:v>
      </x:c>
      <x:c r="S347" s="17" t="b">
        <x:v>0</x:v>
      </x:c>
      <x:c r="T347" s="18"/>
      <x:c r="U347" s="18"/>
    </x:row>
    <x:row r="348" ht="22" customHeight="1">
      <x:c r="A348" s="4" t="str">
        <x:v>Aurora</x:v>
      </x:c>
      <x:c r="B348" s="4" t="str">
        <x:v>Health</x:v>
      </x:c>
      <x:c r="C348" s="4" t="n">
        <x:v>36</x:v>
      </x:c>
      <x:c r="D348" s="4" t="n">
        <x:v>2028</x:v>
      </x:c>
      <x:c r="E348" s="4" t="str">
        <x:v>no_variance_shrink</x:v>
      </x:c>
      <x:c r="F348" s="9" t="n">
        <x:v>0</x:v>
      </x:c>
      <x:c r="G348" s="9" t="n">
        <x:v>3.214042558483849</x:v>
      </x:c>
      <x:c r="H348" s="9" t="n">
        <x:v>1.274412076642278</x:v>
      </x:c>
      <x:c r="I348" s="9" t="n">
        <x:v>3.214042558483849</x:v>
      </x:c>
      <x:c r="J348" s="9" t="n">
        <x:v>1.274412076642278</x:v>
      </x:c>
      <x:c r="K348" s="9" t="n">
        <x:v>3.25204411941798</x:v>
      </x:c>
      <x:c r="L348" s="9" t="n">
        <x:v>1.28200990312231</x:v>
      </x:c>
      <x:c r="M348" s="9" t="n">
        <x:v>0</x:v>
      </x:c>
      <x:c r="N348" s="9" t="n">
        <x:v>0</x:v>
      </x:c>
      <x:c r="O348" s="9" t="n">
        <x:v>0.494621992111206</x:v>
      </x:c>
      <x:c r="P348" s="9" t="n">
        <x:v>0.103075832128525</x:v>
      </x:c>
      <x:c r="Q348" s="9" t="n">
        <x:v>241</x:v>
      </x:c>
      <x:c r="R348" s="9" t="n">
        <x:v>13</x:v>
      </x:c>
      <x:c r="S348" s="17" t="b">
        <x:v>0</x:v>
      </x:c>
      <x:c r="T348" s="18"/>
      <x:c r="U348" s="18"/>
    </x:row>
    <x:row r="349" ht="22" customHeight="1">
      <x:c r="A349" s="4" t="str">
        <x:v>TaTS</x:v>
      </x:c>
      <x:c r="B349" s="4" t="str">
        <x:v>Health</x:v>
      </x:c>
      <x:c r="C349" s="4" t="n">
        <x:v>48</x:v>
      </x:c>
      <x:c r="D349" s="4" t="n">
        <x:v>2026</x:v>
      </x:c>
      <x:c r="E349" s="4" t="str">
        <x:v>no_variance_shrink</x:v>
      </x:c>
      <x:c r="F349" s="9" t="n">
        <x:v>0.25</x:v>
      </x:c>
      <x:c r="G349" s="9" t="n">
        <x:v>2.4391529485784</x:v>
      </x:c>
      <x:c r="H349" s="9" t="n">
        <x:v>0.984852159167982</x:v>
      </x:c>
      <x:c r="I349" s="9" t="n">
        <x:v>2.429447793435128</x:v>
      </x:c>
      <x:c r="J349" s="9" t="n">
        <x:v>0.971223234629646</x:v>
      </x:c>
      <x:c r="K349" s="9" t="n">
        <x:v>2.474012581712683</x:v>
      </x:c>
      <x:c r="L349" s="9" t="n">
        <x:v>0.963452404565688</x:v>
      </x:c>
      <x:c r="M349" s="9" t="n">
        <x:v>-0.397890388502631</x:v>
      </x:c>
      <x:c r="N349" s="9" t="n">
        <x:v>-1.383854867095014</x:v>
      </x:c>
      <x:c r="O349" s="9" t="n">
        <x:v>0.450632274150848</x:v>
      </x:c>
      <x:c r="P349" s="9" t="n">
        <x:v>0.256409734487534</x:v>
      </x:c>
      <x:c r="Q349" s="9" t="n">
        <x:v>229</x:v>
      </x:c>
      <x:c r="R349" s="9" t="n">
        <x:v>38</x:v>
      </x:c>
      <x:c r="S349" s="17" t="b">
        <x:v>1</x:v>
      </x:c>
      <x:c r="T349" s="18"/>
      <x:c r="U349" s="18"/>
    </x:row>
    <x:row r="350" ht="22" customHeight="1">
      <x:c r="A350" s="4" t="str">
        <x:v>MM-TSFlib</x:v>
      </x:c>
      <x:c r="B350" s="4" t="str">
        <x:v>Health</x:v>
      </x:c>
      <x:c r="C350" s="4" t="n">
        <x:v>48</x:v>
      </x:c>
      <x:c r="D350" s="4" t="n">
        <x:v>2026</x:v>
      </x:c>
      <x:c r="E350" s="4" t="str">
        <x:v>no_variance_shrink</x:v>
      </x:c>
      <x:c r="F350" s="9" t="n">
        <x:v>0.5</x:v>
      </x:c>
      <x:c r="G350" s="9" t="n">
        <x:v>1.52068206965631</x:v>
      </x:c>
      <x:c r="H350" s="9" t="n">
        <x:v>0.862871678006136</x:v>
      </x:c>
      <x:c r="I350" s="9" t="n">
        <x:v>1.420855226225054</x:v>
      </x:c>
      <x:c r="J350" s="9" t="n">
        <x:v>0.832460967704662</x:v>
      </x:c>
      <x:c r="K350" s="9" t="n">
        <x:v>1.375537697147824</x:v>
      </x:c>
      <x:c r="L350" s="9" t="n">
        <x:v>0.837446230280482</x:v>
      </x:c>
      <x:c r="M350" s="9" t="n">
        <x:v>-6.564609751321537</x:v>
      </x:c>
      <x:c r="N350" s="9" t="n">
        <x:v>-3.524360698886819</x:v>
      </x:c>
      <x:c r="O350" s="9" t="n">
        <x:v>0.450632274150848</x:v>
      </x:c>
      <x:c r="P350" s="9" t="n">
        <x:v>0.26729154586792</x:v>
      </x:c>
      <x:c r="Q350" s="9" t="n">
        <x:v>229</x:v>
      </x:c>
      <x:c r="R350" s="9" t="n">
        <x:v>38</x:v>
      </x:c>
      <x:c r="S350" s="17" t="b">
        <x:v>1</x:v>
      </x:c>
      <x:c r="T350" s="18"/>
      <x:c r="U350" s="18"/>
    </x:row>
    <x:row r="351" ht="22" customHeight="1">
      <x:c r="A351" s="4" t="str">
        <x:v>SpecTF</x:v>
      </x:c>
      <x:c r="B351" s="4" t="str">
        <x:v>Health</x:v>
      </x:c>
      <x:c r="C351" s="4" t="n">
        <x:v>48</x:v>
      </x:c>
      <x:c r="D351" s="4" t="n">
        <x:v>2026</x:v>
      </x:c>
      <x:c r="E351" s="4" t="str">
        <x:v>no_variance_shrink</x:v>
      </x:c>
      <x:c r="F351" s="9" t="n">
        <x:v>0</x:v>
      </x:c>
      <x:c r="G351" s="9" t="n">
        <x:v>1.818200980463249</x:v>
      </x:c>
      <x:c r="H351" s="9" t="n">
        <x:v>0.911405826718897</x:v>
      </x:c>
      <x:c r="I351" s="9" t="n">
        <x:v>1.818200980463249</x:v>
      </x:c>
      <x:c r="J351" s="9" t="n">
        <x:v>0.911405826718897</x:v>
      </x:c>
      <x:c r="K351" s="9" t="n">
        <x:v>2.00206555269503</x:v>
      </x:c>
      <x:c r="L351" s="9" t="n">
        <x:v>0.960780942088018</x:v>
      </x:c>
      <x:c r="M351" s="9" t="n">
        <x:v>0</x:v>
      </x:c>
      <x:c r="N351" s="9" t="n">
        <x:v>0</x:v>
      </x:c>
      <x:c r="O351" s="9" t="n">
        <x:v>0.450632274150848</x:v>
      </x:c>
      <x:c r="P351" s="9" t="n">
        <x:v>0.255201727151871</x:v>
      </x:c>
      <x:c r="Q351" s="9" t="n">
        <x:v>229</x:v>
      </x:c>
      <x:c r="R351" s="9" t="n">
        <x:v>38</x:v>
      </x:c>
      <x:c r="S351" s="17" t="b">
        <x:v>0</x:v>
      </x:c>
      <x:c r="T351" s="18"/>
      <x:c r="U351" s="18"/>
    </x:row>
    <x:row r="352" ht="22" customHeight="1">
      <x:c r="A352" s="4" t="str">
        <x:v>CFA</x:v>
      </x:c>
      <x:c r="B352" s="4" t="str">
        <x:v>Health</x:v>
      </x:c>
      <x:c r="C352" s="4" t="n">
        <x:v>48</x:v>
      </x:c>
      <x:c r="D352" s="4" t="n">
        <x:v>2026</x:v>
      </x:c>
      <x:c r="E352" s="4" t="str">
        <x:v>no_variance_shrink</x:v>
      </x:c>
      <x:c r="F352" s="9" t="n">
        <x:v>0</x:v>
      </x:c>
      <x:c r="G352" s="9" t="n">
        <x:v>2.486236831301244</x:v>
      </x:c>
      <x:c r="H352" s="9" t="n">
        <x:v>1.019632222485641</x:v>
      </x:c>
      <x:c r="I352" s="9" t="n">
        <x:v>2.486236831301244</x:v>
      </x:c>
      <x:c r="J352" s="9" t="n">
        <x:v>1.019632222485641</x:v>
      </x:c>
      <x:c r="K352" s="9" t="n">
        <x:v>2.748134843455658</x:v>
      </x:c>
      <x:c r="L352" s="9" t="n">
        <x:v>1.082128303535235</x:v>
      </x:c>
      <x:c r="M352" s="9" t="n">
        <x:v>0</x:v>
      </x:c>
      <x:c r="N352" s="9" t="n">
        <x:v>0</x:v>
      </x:c>
      <x:c r="O352" s="9" t="n">
        <x:v>0.450632274150848</x:v>
      </x:c>
      <x:c r="P352" s="9" t="n">
        <x:v>0.256119608879089</x:v>
      </x:c>
      <x:c r="Q352" s="9" t="n">
        <x:v>229</x:v>
      </x:c>
      <x:c r="R352" s="9" t="n">
        <x:v>38</x:v>
      </x:c>
      <x:c r="S352" s="17" t="b">
        <x:v>0</x:v>
      </x:c>
      <x:c r="T352" s="18"/>
      <x:c r="U352" s="18"/>
    </x:row>
    <x:row r="353" ht="22" customHeight="1">
      <x:c r="A353" s="4" t="str">
        <x:v>Aurora</x:v>
      </x:c>
      <x:c r="B353" s="4" t="str">
        <x:v>Health</x:v>
      </x:c>
      <x:c r="C353" s="4" t="n">
        <x:v>48</x:v>
      </x:c>
      <x:c r="D353" s="4" t="n">
        <x:v>2026</x:v>
      </x:c>
      <x:c r="E353" s="4" t="str">
        <x:v>no_variance_shrink</x:v>
      </x:c>
      <x:c r="F353" s="9" t="n">
        <x:v>0</x:v>
      </x:c>
      <x:c r="G353" s="9" t="n">
        <x:v>3.04441356828496</x:v>
      </x:c>
      <x:c r="H353" s="9" t="n">
        <x:v>1.239428678270174</x:v>
      </x:c>
      <x:c r="I353" s="9" t="n">
        <x:v>3.04441356828496</x:v>
      </x:c>
      <x:c r="J353" s="9" t="n">
        <x:v>1.239428678270174</x:v>
      </x:c>
      <x:c r="K353" s="9" t="n">
        <x:v>3.078489530203162</x:v>
      </x:c>
      <x:c r="L353" s="9" t="n">
        <x:v>1.250705727761341</x:v>
      </x:c>
      <x:c r="M353" s="9" t="n">
        <x:v>0</x:v>
      </x:c>
      <x:c r="N353" s="9" t="n">
        <x:v>0</x:v>
      </x:c>
      <x:c r="O353" s="9" t="n">
        <x:v>0.450632274150848</x:v>
      </x:c>
      <x:c r="P353" s="9" t="n">
        <x:v>0.289798527956009</x:v>
      </x:c>
      <x:c r="Q353" s="9" t="n">
        <x:v>229</x:v>
      </x:c>
      <x:c r="R353" s="9" t="n">
        <x:v>38</x:v>
      </x:c>
      <x:c r="S353" s="17" t="b">
        <x:v>0</x:v>
      </x:c>
      <x:c r="T353" s="18"/>
      <x:c r="U353" s="18"/>
    </x:row>
    <x:row r="354" ht="22" customHeight="1">
      <x:c r="A354" s="4" t="str">
        <x:v>TaTS</x:v>
      </x:c>
      <x:c r="B354" s="4" t="str">
        <x:v>Health</x:v>
      </x:c>
      <x:c r="C354" s="4" t="n">
        <x:v>48</x:v>
      </x:c>
      <x:c r="D354" s="4" t="n">
        <x:v>2027</x:v>
      </x:c>
      <x:c r="E354" s="4" t="str">
        <x:v>no_variance_shrink</x:v>
      </x:c>
      <x:c r="F354" s="9" t="n">
        <x:v>1</x:v>
      </x:c>
      <x:c r="G354" s="9" t="n">
        <x:v>2.4391529485784</x:v>
      </x:c>
      <x:c r="H354" s="9" t="n">
        <x:v>0.984852159167982</x:v>
      </x:c>
      <x:c r="I354" s="9" t="n">
        <x:v>2.439152948581924</x:v>
      </x:c>
      <x:c r="J354" s="9" t="n">
        <x:v>0.984852159153271</x:v>
      </x:c>
      <x:c r="K354" s="9" t="n">
        <x:v>2.439152948581924</x:v>
      </x:c>
      <x:c r="L354" s="9" t="n">
        <x:v>0.984852159153271</x:v>
      </x:c>
      <x:c r="M354" s="9" t="n">
        <x:v>1.44462e-10</x:v>
      </x:c>
      <x:c r="N354" s="9" t="n">
        <x:v>-1.493772e-9</x:v>
      </x:c>
      <x:c r="O354" s="9" t="n">
        <x:v>0.47433939576149</x:v>
      </x:c>
      <x:c r="P354" s="9" t="n">
        <x:v>3.57534e-10</x:v>
      </x:c>
      <x:c r="Q354" s="9" t="n">
        <x:v>229</x:v>
      </x:c>
      <x:c r="R354" s="9" t="n">
        <x:v>0</x:v>
      </x:c>
      <x:c r="S354" s="17" t="b">
        <x:v>0</x:v>
      </x:c>
      <x:c r="T354" s="18"/>
      <x:c r="U354" s="18"/>
    </x:row>
    <x:row r="355" ht="22" customHeight="1">
      <x:c r="A355" s="4" t="str">
        <x:v>MM-TSFlib</x:v>
      </x:c>
      <x:c r="B355" s="4" t="str">
        <x:v>Health</x:v>
      </x:c>
      <x:c r="C355" s="4" t="n">
        <x:v>48</x:v>
      </x:c>
      <x:c r="D355" s="4" t="n">
        <x:v>2027</x:v>
      </x:c>
      <x:c r="E355" s="4" t="str">
        <x:v>no_variance_shrink</x:v>
      </x:c>
      <x:c r="F355" s="9" t="n">
        <x:v>1</x:v>
      </x:c>
      <x:c r="G355" s="9" t="n">
        <x:v>1.52068206965631</x:v>
      </x:c>
      <x:c r="H355" s="9" t="n">
        <x:v>0.862871678006136</x:v>
      </x:c>
      <x:c r="I355" s="9" t="n">
        <x:v>1.520682069598977</x:v>
      </x:c>
      <x:c r="J355" s="9" t="n">
        <x:v>0.862871677984154</x:v>
      </x:c>
      <x:c r="K355" s="9" t="n">
        <x:v>1.520682069598977</x:v>
      </x:c>
      <x:c r="L355" s="9" t="n">
        <x:v>0.862871677984154</x:v>
      </x:c>
      <x:c r="M355" s="9" t="n">
        <x:v>-3.770229e-9</x:v>
      </x:c>
      <x:c r="N355" s="9" t="n">
        <x:v>-2.547529e-9</x:v>
      </x:c>
      <x:c r="O355" s="9" t="n">
        <x:v>0.47433939576149</x:v>
      </x:c>
      <x:c r="P355" s="9" t="n">
        <x:v>6.61557e-10</x:v>
      </x:c>
      <x:c r="Q355" s="9" t="n">
        <x:v>229</x:v>
      </x:c>
      <x:c r="R355" s="9" t="n">
        <x:v>0</x:v>
      </x:c>
      <x:c r="S355" s="17" t="b">
        <x:v>0</x:v>
      </x:c>
      <x:c r="T355" s="18"/>
      <x:c r="U355" s="18"/>
    </x:row>
    <x:row r="356" ht="22" customHeight="1">
      <x:c r="A356" s="4" t="str">
        <x:v>SpecTF</x:v>
      </x:c>
      <x:c r="B356" s="4" t="str">
        <x:v>Health</x:v>
      </x:c>
      <x:c r="C356" s="4" t="n">
        <x:v>48</x:v>
      </x:c>
      <x:c r="D356" s="4" t="n">
        <x:v>2027</x:v>
      </x:c>
      <x:c r="E356" s="4" t="str">
        <x:v>no_variance_shrink</x:v>
      </x:c>
      <x:c r="F356" s="9" t="n">
        <x:v>0</x:v>
      </x:c>
      <x:c r="G356" s="9" t="n">
        <x:v>1.818200980463249</x:v>
      </x:c>
      <x:c r="H356" s="9" t="n">
        <x:v>0.911405826718897</x:v>
      </x:c>
      <x:c r="I356" s="9" t="n">
        <x:v>1.818200980463249</x:v>
      </x:c>
      <x:c r="J356" s="9" t="n">
        <x:v>0.911405826718897</x:v>
      </x:c>
      <x:c r="K356" s="9" t="n">
        <x:v>1.818200980449111</x:v>
      </x:c>
      <x:c r="L356" s="9" t="n">
        <x:v>0.911405826704676</x:v>
      </x:c>
      <x:c r="M356" s="9" t="n">
        <x:v>0</x:v>
      </x:c>
      <x:c r="N356" s="9" t="n">
        <x:v>0</x:v>
      </x:c>
      <x:c r="O356" s="9" t="n">
        <x:v>0.47433939576149</x:v>
      </x:c>
      <x:c r="P356" s="9" t="n">
        <x:v>3.33421e-10</x:v>
      </x:c>
      <x:c r="Q356" s="9" t="n">
        <x:v>229</x:v>
      </x:c>
      <x:c r="R356" s="9" t="n">
        <x:v>0</x:v>
      </x:c>
      <x:c r="S356" s="17" t="b">
        <x:v>0</x:v>
      </x:c>
      <x:c r="T356" s="18"/>
      <x:c r="U356" s="18"/>
    </x:row>
    <x:row r="357" ht="22" customHeight="1">
      <x:c r="A357" s="4" t="str">
        <x:v>CFA</x:v>
      </x:c>
      <x:c r="B357" s="4" t="str">
        <x:v>Health</x:v>
      </x:c>
      <x:c r="C357" s="4" t="n">
        <x:v>48</x:v>
      </x:c>
      <x:c r="D357" s="4" t="n">
        <x:v>2027</x:v>
      </x:c>
      <x:c r="E357" s="4" t="str">
        <x:v>no_variance_shrink</x:v>
      </x:c>
      <x:c r="F357" s="9" t="n">
        <x:v>1</x:v>
      </x:c>
      <x:c r="G357" s="9" t="n">
        <x:v>2.486236831301244</x:v>
      </x:c>
      <x:c r="H357" s="9" t="n">
        <x:v>1.019632222485641</x:v>
      </x:c>
      <x:c r="I357" s="9" t="n">
        <x:v>2.486236831356045</x:v>
      </x:c>
      <x:c r="J357" s="9" t="n">
        <x:v>1.019632222521786</x:v>
      </x:c>
      <x:c r="K357" s="9" t="n">
        <x:v>2.486236831356045</x:v>
      </x:c>
      <x:c r="L357" s="9" t="n">
        <x:v>1.019632222521786</x:v>
      </x:c>
      <x:c r="M357" s="9" t="n">
        <x:v>2.204148e-9</x:v>
      </x:c>
      <x:c r="N357" s="9" t="n">
        <x:v>3.544876e-9</x:v>
      </x:c>
      <x:c r="O357" s="9" t="n">
        <x:v>0.47433939576149</x:v>
      </x:c>
      <x:c r="P357" s="9" t="n">
        <x:v>2.9866e-10</x:v>
      </x:c>
      <x:c r="Q357" s="9" t="n">
        <x:v>229</x:v>
      </x:c>
      <x:c r="R357" s="9" t="n">
        <x:v>0</x:v>
      </x:c>
      <x:c r="S357" s="17" t="b">
        <x:v>0</x:v>
      </x:c>
      <x:c r="T357" s="18"/>
      <x:c r="U357" s="18"/>
    </x:row>
    <x:row r="358" ht="22" customHeight="1">
      <x:c r="A358" s="4" t="str">
        <x:v>Aurora</x:v>
      </x:c>
      <x:c r="B358" s="4" t="str">
        <x:v>Health</x:v>
      </x:c>
      <x:c r="C358" s="4" t="n">
        <x:v>48</x:v>
      </x:c>
      <x:c r="D358" s="4" t="n">
        <x:v>2027</x:v>
      </x:c>
      <x:c r="E358" s="4" t="str">
        <x:v>no_variance_shrink</x:v>
      </x:c>
      <x:c r="F358" s="9" t="n">
        <x:v>1</x:v>
      </x:c>
      <x:c r="G358" s="9" t="n">
        <x:v>3.04441356828496</x:v>
      </x:c>
      <x:c r="H358" s="9" t="n">
        <x:v>1.239428678270174</x:v>
      </x:c>
      <x:c r="I358" s="9" t="n">
        <x:v>3.044413568209686</x:v>
      </x:c>
      <x:c r="J358" s="9" t="n">
        <x:v>1.239428678230953</x:v>
      </x:c>
      <x:c r="K358" s="9" t="n">
        <x:v>3.044413568209686</x:v>
      </x:c>
      <x:c r="L358" s="9" t="n">
        <x:v>1.239428678230953</x:v>
      </x:c>
      <x:c r="M358" s="9" t="n">
        <x:v>-2.472533e-9</x:v>
      </x:c>
      <x:c r="N358" s="9" t="n">
        <x:v>-3.164424e-9</x:v>
      </x:c>
      <x:c r="O358" s="9" t="n">
        <x:v>0.47433939576149</x:v>
      </x:c>
      <x:c r="P358" s="9" t="n">
        <x:v>2.75037e-10</x:v>
      </x:c>
      <x:c r="Q358" s="9" t="n">
        <x:v>229</x:v>
      </x:c>
      <x:c r="R358" s="9" t="n">
        <x:v>0</x:v>
      </x:c>
      <x:c r="S358" s="17" t="b">
        <x:v>0</x:v>
      </x:c>
      <x:c r="T358" s="18"/>
      <x:c r="U358" s="18"/>
    </x:row>
    <x:row r="359" ht="22" customHeight="1">
      <x:c r="A359" s="4" t="str">
        <x:v>TaTS</x:v>
      </x:c>
      <x:c r="B359" s="4" t="str">
        <x:v>Health</x:v>
      </x:c>
      <x:c r="C359" s="4" t="n">
        <x:v>48</x:v>
      </x:c>
      <x:c r="D359" s="4" t="n">
        <x:v>2028</x:v>
      </x:c>
      <x:c r="E359" s="4" t="str">
        <x:v>no_variance_shrink</x:v>
      </x:c>
      <x:c r="F359" s="9" t="n">
        <x:v>1</x:v>
      </x:c>
      <x:c r="G359" s="9" t="n">
        <x:v>2.4391529485784</x:v>
      </x:c>
      <x:c r="H359" s="9" t="n">
        <x:v>0.984852159167982</x:v>
      </x:c>
      <x:c r="I359" s="9" t="n">
        <x:v>2.438497533529566</x:v>
      </x:c>
      <x:c r="J359" s="9" t="n">
        <x:v>0.984276135822263</x:v>
      </x:c>
      <x:c r="K359" s="9" t="n">
        <x:v>2.438497533529566</x:v>
      </x:c>
      <x:c r="L359" s="9" t="n">
        <x:v>0.984276135822263</x:v>
      </x:c>
      <x:c r="M359" s="9" t="n">
        <x:v>-0.026870600681927</x:v>
      </x:c>
      <x:c r="N359" s="9" t="n">
        <x:v>-0.05848830612365</x:v>
      </x:c>
      <x:c r="O359" s="9" t="n">
        <x:v>0.482709735631943</x:v>
      </x:c>
      <x:c r="P359" s="9" t="n">
        <x:v>0.004668709356338</x:v>
      </x:c>
      <x:c r="Q359" s="9" t="n">
        <x:v>229</x:v>
      </x:c>
      <x:c r="R359" s="9" t="n">
        <x:v>1</x:v>
      </x:c>
      <x:c r="S359" s="17" t="b">
        <x:v>1</x:v>
      </x:c>
      <x:c r="T359" s="18"/>
      <x:c r="U359" s="18"/>
    </x:row>
    <x:row r="360" ht="22" customHeight="1">
      <x:c r="A360" s="4" t="str">
        <x:v>MM-TSFlib</x:v>
      </x:c>
      <x:c r="B360" s="4" t="str">
        <x:v>Health</x:v>
      </x:c>
      <x:c r="C360" s="4" t="n">
        <x:v>48</x:v>
      </x:c>
      <x:c r="D360" s="4" t="n">
        <x:v>2028</x:v>
      </x:c>
      <x:c r="E360" s="4" t="str">
        <x:v>no_variance_shrink</x:v>
      </x:c>
      <x:c r="F360" s="9" t="n">
        <x:v>0</x:v>
      </x:c>
      <x:c r="G360" s="9" t="n">
        <x:v>1.52068206965631</x:v>
      </x:c>
      <x:c r="H360" s="9" t="n">
        <x:v>0.862871678006136</x:v>
      </x:c>
      <x:c r="I360" s="9" t="n">
        <x:v>1.52068206965631</x:v>
      </x:c>
      <x:c r="J360" s="9" t="n">
        <x:v>0.862871678006136</x:v>
      </x:c>
      <x:c r="K360" s="9" t="n">
        <x:v>1.517991911279746</x:v>
      </x:c>
      <x:c r="L360" s="9" t="n">
        <x:v>0.862056384714045</x:v>
      </x:c>
      <x:c r="M360" s="9" t="n">
        <x:v>0</x:v>
      </x:c>
      <x:c r="N360" s="9" t="n">
        <x:v>0</x:v>
      </x:c>
      <x:c r="O360" s="9" t="n">
        <x:v>0.482709735631943</x:v>
      </x:c>
      <x:c r="P360" s="9" t="n">
        <x:v>0.004648443311453</x:v>
      </x:c>
      <x:c r="Q360" s="9" t="n">
        <x:v>229</x:v>
      </x:c>
      <x:c r="R360" s="9" t="n">
        <x:v>1</x:v>
      </x:c>
      <x:c r="S360" s="17" t="b">
        <x:v>0</x:v>
      </x:c>
      <x:c r="T360" s="18"/>
      <x:c r="U360" s="18"/>
    </x:row>
    <x:row r="361" ht="22" customHeight="1">
      <x:c r="A361" s="4" t="str">
        <x:v>SpecTF</x:v>
      </x:c>
      <x:c r="B361" s="4" t="str">
        <x:v>Health</x:v>
      </x:c>
      <x:c r="C361" s="4" t="n">
        <x:v>48</x:v>
      </x:c>
      <x:c r="D361" s="4" t="n">
        <x:v>2028</x:v>
      </x:c>
      <x:c r="E361" s="4" t="str">
        <x:v>no_variance_shrink</x:v>
      </x:c>
      <x:c r="F361" s="9" t="n">
        <x:v>0</x:v>
      </x:c>
      <x:c r="G361" s="9" t="n">
        <x:v>1.818200980463249</x:v>
      </x:c>
      <x:c r="H361" s="9" t="n">
        <x:v>0.911405826718897</x:v>
      </x:c>
      <x:c r="I361" s="9" t="n">
        <x:v>1.818200980463249</x:v>
      </x:c>
      <x:c r="J361" s="9" t="n">
        <x:v>0.911405826718897</x:v>
      </x:c>
      <x:c r="K361" s="9" t="n">
        <x:v>1.820122421928524</x:v>
      </x:c>
      <x:c r="L361" s="9" t="n">
        <x:v>0.911829289612915</x:v>
      </x:c>
      <x:c r="M361" s="9" t="n">
        <x:v>0</x:v>
      </x:c>
      <x:c r="N361" s="9" t="n">
        <x:v>0</x:v>
      </x:c>
      <x:c r="O361" s="9" t="n">
        <x:v>0.482709735631943</x:v>
      </x:c>
      <x:c r="P361" s="9" t="n">
        <x:v>0.004771322011948</x:v>
      </x:c>
      <x:c r="Q361" s="9" t="n">
        <x:v>229</x:v>
      </x:c>
      <x:c r="R361" s="9" t="n">
        <x:v>1</x:v>
      </x:c>
      <x:c r="S361" s="17" t="b">
        <x:v>0</x:v>
      </x:c>
      <x:c r="T361" s="18"/>
      <x:c r="U361" s="18"/>
    </x:row>
    <x:row r="362" ht="22" customHeight="1">
      <x:c r="A362" s="4" t="str">
        <x:v>CFA</x:v>
      </x:c>
      <x:c r="B362" s="4" t="str">
        <x:v>Health</x:v>
      </x:c>
      <x:c r="C362" s="4" t="n">
        <x:v>48</x:v>
      </x:c>
      <x:c r="D362" s="4" t="n">
        <x:v>2028</x:v>
      </x:c>
      <x:c r="E362" s="4" t="str">
        <x:v>no_variance_shrink</x:v>
      </x:c>
      <x:c r="F362" s="9" t="n">
        <x:v>0</x:v>
      </x:c>
      <x:c r="G362" s="9" t="n">
        <x:v>2.486236831301244</x:v>
      </x:c>
      <x:c r="H362" s="9" t="n">
        <x:v>1.019632222485641</x:v>
      </x:c>
      <x:c r="I362" s="9" t="n">
        <x:v>2.486236831301244</x:v>
      </x:c>
      <x:c r="J362" s="9" t="n">
        <x:v>1.019632222485641</x:v>
      </x:c>
      <x:c r="K362" s="9" t="n">
        <x:v>2.488126904113154</x:v>
      </x:c>
      <x:c r="L362" s="9" t="n">
        <x:v>1.01988140088839</x:v>
      </x:c>
      <x:c r="M362" s="9" t="n">
        <x:v>0</x:v>
      </x:c>
      <x:c r="N362" s="9" t="n">
        <x:v>0</x:v>
      </x:c>
      <x:c r="O362" s="9" t="n">
        <x:v>0.482709735631943</x:v>
      </x:c>
      <x:c r="P362" s="9" t="n">
        <x:v>0.004685200750828</x:v>
      </x:c>
      <x:c r="Q362" s="9" t="n">
        <x:v>229</x:v>
      </x:c>
      <x:c r="R362" s="9" t="n">
        <x:v>1</x:v>
      </x:c>
      <x:c r="S362" s="17" t="b">
        <x:v>0</x:v>
      </x:c>
      <x:c r="T362" s="18"/>
      <x:c r="U362" s="18"/>
    </x:row>
    <x:row r="363" ht="22" customHeight="1">
      <x:c r="A363" s="4" t="str">
        <x:v>Aurora</x:v>
      </x:c>
      <x:c r="B363" s="4" t="str">
        <x:v>Health</x:v>
      </x:c>
      <x:c r="C363" s="4" t="n">
        <x:v>48</x:v>
      </x:c>
      <x:c r="D363" s="4" t="n">
        <x:v>2028</x:v>
      </x:c>
      <x:c r="E363" s="4" t="str">
        <x:v>no_variance_shrink</x:v>
      </x:c>
      <x:c r="F363" s="9" t="n">
        <x:v>0</x:v>
      </x:c>
      <x:c r="G363" s="9" t="n">
        <x:v>3.04441356828496</x:v>
      </x:c>
      <x:c r="H363" s="9" t="n">
        <x:v>1.239428678270174</x:v>
      </x:c>
      <x:c r="I363" s="9" t="n">
        <x:v>3.04441356828496</x:v>
      </x:c>
      <x:c r="J363" s="9" t="n">
        <x:v>1.239428678270174</x:v>
      </x:c>
      <x:c r="K363" s="9" t="n">
        <x:v>3.044937796629788</x:v>
      </x:c>
      <x:c r="L363" s="9" t="n">
        <x:v>1.239471305465266</x:v>
      </x:c>
      <x:c r="M363" s="9" t="n">
        <x:v>0</x:v>
      </x:c>
      <x:c r="N363" s="9" t="n">
        <x:v>0</x:v>
      </x:c>
      <x:c r="O363" s="9" t="n">
        <x:v>0.482709735631943</x:v>
      </x:c>
      <x:c r="P363" s="9" t="n">
        <x:v>0.004808290861547</x:v>
      </x:c>
      <x:c r="Q363" s="9" t="n">
        <x:v>229</x:v>
      </x:c>
      <x:c r="R363" s="9" t="n">
        <x:v>1</x:v>
      </x:c>
      <x:c r="S363" s="17" t="b">
        <x:v>0</x:v>
      </x:c>
      <x:c r="T363" s="18"/>
      <x:c r="U363" s="18"/>
    </x:row>
    <x:row r="364" ht="22" customHeight="1">
      <x:c r="A364" s="4" t="str">
        <x:v>TaTS</x:v>
      </x:c>
      <x:c r="B364" s="4" t="str">
        <x:v>Security</x:v>
      </x:c>
      <x:c r="C364" s="4" t="n">
        <x:v>6</x:v>
      </x:c>
      <x:c r="D364" s="4" t="n">
        <x:v>2026</x:v>
      </x:c>
      <x:c r="E364" s="4" t="str">
        <x:v>no_variance_shrink</x:v>
      </x:c>
      <x:c r="F364" s="9" t="n">
        <x:v>0</x:v>
      </x:c>
      <x:c r="G364" s="9" t="n">
        <x:v>72.6991374139132</x:v>
      </x:c>
      <x:c r="H364" s="9" t="n">
        <x:v>4.382157450728693</x:v>
      </x:c>
      <x:c r="I364" s="9" t="n">
        <x:v>72.6991374139132</x:v>
      </x:c>
      <x:c r="J364" s="9" t="n">
        <x:v>4.382157450728693</x:v>
      </x:c>
      <x:c r="K364" s="9" t="n">
        <x:v>83.5285359813423</x:v>
      </x:c>
      <x:c r="L364" s="9" t="n">
        <x:v>5.392016325700729</x:v>
      </x:c>
      <x:c r="M364" s="9" t="n">
        <x:v>0</x:v>
      </x:c>
      <x:c r="N364" s="9" t="n">
        <x:v>0</x:v>
      </x:c>
      <x:c r="O364" s="9" t="n">
        <x:v>0.188906654715538</x:v>
      </x:c>
      <x:c r="P364" s="9" t="n">
        <x:v>0.366651505231857</x:v>
      </x:c>
      <x:c r="Q364" s="9" t="n">
        <x:v>54</x:v>
      </x:c>
      <x:c r="R364" s="9" t="n">
        <x:v>71</x:v>
      </x:c>
      <x:c r="S364" s="17" t="b">
        <x:v>0</x:v>
      </x:c>
      <x:c r="T364" s="18"/>
      <x:c r="U364" s="18"/>
    </x:row>
    <x:row r="365" ht="22" customHeight="1">
      <x:c r="A365" s="4" t="str">
        <x:v>MM-TSFlib</x:v>
      </x:c>
      <x:c r="B365" s="4" t="str">
        <x:v>Security</x:v>
      </x:c>
      <x:c r="C365" s="4" t="n">
        <x:v>6</x:v>
      </x:c>
      <x:c r="D365" s="4" t="n">
        <x:v>2026</x:v>
      </x:c>
      <x:c r="E365" s="4" t="str">
        <x:v>no_variance_shrink</x:v>
      </x:c>
      <x:c r="F365" s="9" t="n">
        <x:v>1</x:v>
      </x:c>
      <x:c r="G365" s="9" t="n">
        <x:v>93.2256797838897</x:v>
      </x:c>
      <x:c r="H365" s="9" t="n">
        <x:v>6.123006931733179</x:v>
      </x:c>
      <x:c r="I365" s="9" t="n">
        <x:v>75.900327403484</x:v>
      </x:c>
      <x:c r="J365" s="9" t="n">
        <x:v>4.508465481717944</x:v>
      </x:c>
      <x:c r="K365" s="9" t="n">
        <x:v>75.900327403484</x:v>
      </x:c>
      <x:c r="L365" s="9" t="n">
        <x:v>4.508465481717944</x:v>
      </x:c>
      <x:c r="M365" s="9" t="n">
        <x:v>-18.58431327137364</x:v>
      </x:c>
      <x:c r="N365" s="9" t="n">
        <x:v>-26.368440670019343</x:v>
      </x:c>
      <x:c r="O365" s="9" t="n">
        <x:v>0.188906654715538</x:v>
      </x:c>
      <x:c r="P365" s="9" t="n">
        <x:v>0.343706876039505</x:v>
      </x:c>
      <x:c r="Q365" s="9" t="n">
        <x:v>54</x:v>
      </x:c>
      <x:c r="R365" s="9" t="n">
        <x:v>71</x:v>
      </x:c>
      <x:c r="S365" s="17" t="b">
        <x:v>1</x:v>
      </x:c>
      <x:c r="T365" s="18"/>
      <x:c r="U365" s="18"/>
    </x:row>
    <x:row r="366" ht="22" customHeight="1">
      <x:c r="A366" s="4" t="str">
        <x:v>SpecTF</x:v>
      </x:c>
      <x:c r="B366" s="4" t="str">
        <x:v>Security</x:v>
      </x:c>
      <x:c r="C366" s="4" t="n">
        <x:v>6</x:v>
      </x:c>
      <x:c r="D366" s="4" t="n">
        <x:v>2026</x:v>
      </x:c>
      <x:c r="E366" s="4" t="str">
        <x:v>no_variance_shrink</x:v>
      </x:c>
      <x:c r="F366" s="9" t="n">
        <x:v>0</x:v>
      </x:c>
      <x:c r="G366" s="9" t="n">
        <x:v>67.14183396997961</x:v>
      </x:c>
      <x:c r="H366" s="9" t="n">
        <x:v>3.852669790137076</x:v>
      </x:c>
      <x:c r="I366" s="9" t="n">
        <x:v>67.14183396997961</x:v>
      </x:c>
      <x:c r="J366" s="9" t="n">
        <x:v>3.852669790137076</x:v>
      </x:c>
      <x:c r="K366" s="9" t="n">
        <x:v>78.0297230283896</x:v>
      </x:c>
      <x:c r="L366" s="9" t="n">
        <x:v>5.064100559412812</x:v>
      </x:c>
      <x:c r="M366" s="9" t="n">
        <x:v>0</x:v>
      </x:c>
      <x:c r="N366" s="9" t="n">
        <x:v>0</x:v>
      </x:c>
      <x:c r="O366" s="9" t="n">
        <x:v>0.188906654715538</x:v>
      </x:c>
      <x:c r="P366" s="9" t="n">
        <x:v>0.367510944604874</x:v>
      </x:c>
      <x:c r="Q366" s="9" t="n">
        <x:v>54</x:v>
      </x:c>
      <x:c r="R366" s="9" t="n">
        <x:v>71</x:v>
      </x:c>
      <x:c r="S366" s="17" t="b">
        <x:v>0</x:v>
      </x:c>
      <x:c r="T366" s="18"/>
      <x:c r="U366" s="18"/>
    </x:row>
    <x:row r="367" ht="22" customHeight="1">
      <x:c r="A367" s="4" t="str">
        <x:v>CFA</x:v>
      </x:c>
      <x:c r="B367" s="4" t="str">
        <x:v>Security</x:v>
      </x:c>
      <x:c r="C367" s="4" t="n">
        <x:v>6</x:v>
      </x:c>
      <x:c r="D367" s="4" t="n">
        <x:v>2026</x:v>
      </x:c>
      <x:c r="E367" s="4" t="str">
        <x:v>no_variance_shrink</x:v>
      </x:c>
      <x:c r="F367" s="9" t="n">
        <x:v>0</x:v>
      </x:c>
      <x:c r="G367" s="9" t="n">
        <x:v>73.16995799985796</x:v>
      </x:c>
      <x:c r="H367" s="9" t="n">
        <x:v>4.528802161625253</x:v>
      </x:c>
      <x:c r="I367" s="9" t="n">
        <x:v>73.16995799985796</x:v>
      </x:c>
      <x:c r="J367" s="9" t="n">
        <x:v>4.528802161625253</x:v>
      </x:c>
      <x:c r="K367" s="9" t="n">
        <x:v>92.75740052344555</x:v>
      </x:c>
      <x:c r="L367" s="9" t="n">
        <x:v>6.027324939885372</x:v>
      </x:c>
      <x:c r="M367" s="9" t="n">
        <x:v>0</x:v>
      </x:c>
      <x:c r="N367" s="9" t="n">
        <x:v>0</x:v>
      </x:c>
      <x:c r="O367" s="9" t="n">
        <x:v>0.188906654715538</x:v>
      </x:c>
      <x:c r="P367" s="9" t="n">
        <x:v>0.375720977783203</x:v>
      </x:c>
      <x:c r="Q367" s="9" t="n">
        <x:v>54</x:v>
      </x:c>
      <x:c r="R367" s="9" t="n">
        <x:v>71</x:v>
      </x:c>
      <x:c r="S367" s="17" t="b">
        <x:v>0</x:v>
      </x:c>
      <x:c r="T367" s="18"/>
      <x:c r="U367" s="18"/>
    </x:row>
    <x:row r="368" ht="22" customHeight="1">
      <x:c r="A368" s="4" t="str">
        <x:v>Aurora</x:v>
      </x:c>
      <x:c r="B368" s="4" t="str">
        <x:v>Security</x:v>
      </x:c>
      <x:c r="C368" s="4" t="n">
        <x:v>6</x:v>
      </x:c>
      <x:c r="D368" s="4" t="n">
        <x:v>2026</x:v>
      </x:c>
      <x:c r="E368" s="4" t="str">
        <x:v>no_variance_shrink</x:v>
      </x:c>
      <x:c r="F368" s="9" t="n">
        <x:v>0.75</x:v>
      </x:c>
      <x:c r="G368" s="9" t="n">
        <x:v>77.16228360015839</x:v>
      </x:c>
      <x:c r="H368" s="9" t="n">
        <x:v>4.235003895715546</x:v>
      </x:c>
      <x:c r="I368" s="9" t="n">
        <x:v>80.87598664415366</x:v>
      </x:c>
      <x:c r="J368" s="9" t="n">
        <x:v>4.74389552539157</x:v>
      </x:c>
      <x:c r="K368" s="9" t="n">
        <x:v>84.48515436084902</x:v>
      </x:c>
      <x:c r="L368" s="9" t="n">
        <x:v>5.0379467502863</x:v>
      </x:c>
      <x:c r="M368" s="9" t="n">
        <x:v>4.812847508815366</x:v>
      </x:c>
      <x:c r="N368" s="9" t="n">
        <x:v>12.016320225604948</x:v>
      </x:c>
      <x:c r="O368" s="9" t="n">
        <x:v>0.188906654715538</x:v>
      </x:c>
      <x:c r="P368" s="9" t="n">
        <x:v>0.373164445161819</x:v>
      </x:c>
      <x:c r="Q368" s="9" t="n">
        <x:v>54</x:v>
      </x:c>
      <x:c r="R368" s="9" t="n">
        <x:v>71</x:v>
      </x:c>
      <x:c r="S368" s="17" t="b">
        <x:v>1</x:v>
      </x:c>
      <x:c r="T368" s="18"/>
      <x:c r="U368" s="18"/>
    </x:row>
    <x:row r="369" ht="22" customHeight="1">
      <x:c r="A369" s="4" t="str">
        <x:v>TaTS</x:v>
      </x:c>
      <x:c r="B369" s="4" t="str">
        <x:v>Security</x:v>
      </x:c>
      <x:c r="C369" s="4" t="n">
        <x:v>6</x:v>
      </x:c>
      <x:c r="D369" s="4" t="n">
        <x:v>2027</x:v>
      </x:c>
      <x:c r="E369" s="4" t="str">
        <x:v>no_variance_shrink</x:v>
      </x:c>
      <x:c r="F369" s="9" t="n">
        <x:v>0</x:v>
      </x:c>
      <x:c r="G369" s="9" t="n">
        <x:v>72.6991374139132</x:v>
      </x:c>
      <x:c r="H369" s="9" t="n">
        <x:v>4.382157450728693</x:v>
      </x:c>
      <x:c r="I369" s="9" t="n">
        <x:v>72.6991374139132</x:v>
      </x:c>
      <x:c r="J369" s="9" t="n">
        <x:v>4.382157450728693</x:v>
      </x:c>
      <x:c r="K369" s="9" t="n">
        <x:v>83.78396031660644</x:v>
      </x:c>
      <x:c r="L369" s="9" t="n">
        <x:v>5.438048890829201</x:v>
      </x:c>
      <x:c r="M369" s="9" t="n">
        <x:v>0</x:v>
      </x:c>
      <x:c r="N369" s="9" t="n">
        <x:v>0</x:v>
      </x:c>
      <x:c r="O369" s="9" t="n">
        <x:v>0.937785029411316</x:v>
      </x:c>
      <x:c r="P369" s="9" t="n">
        <x:v>0.42284569144249</x:v>
      </x:c>
      <x:c r="Q369" s="9" t="n">
        <x:v>54</x:v>
      </x:c>
      <x:c r="R369" s="9" t="n">
        <x:v>77</x:v>
      </x:c>
      <x:c r="S369" s="17" t="b">
        <x:v>0</x:v>
      </x:c>
      <x:c r="T369" s="18"/>
      <x:c r="U369" s="18"/>
    </x:row>
    <x:row r="370" ht="22" customHeight="1">
      <x:c r="A370" s="4" t="str">
        <x:v>MM-TSFlib</x:v>
      </x:c>
      <x:c r="B370" s="4" t="str">
        <x:v>Security</x:v>
      </x:c>
      <x:c r="C370" s="4" t="n">
        <x:v>6</x:v>
      </x:c>
      <x:c r="D370" s="4" t="n">
        <x:v>2027</x:v>
      </x:c>
      <x:c r="E370" s="4" t="str">
        <x:v>no_variance_shrink</x:v>
      </x:c>
      <x:c r="F370" s="9" t="n">
        <x:v>1</x:v>
      </x:c>
      <x:c r="G370" s="9" t="n">
        <x:v>93.2256797838897</x:v>
      </x:c>
      <x:c r="H370" s="9" t="n">
        <x:v>6.123006931733179</x:v>
      </x:c>
      <x:c r="I370" s="9" t="n">
        <x:v>73.48615692360751</x:v>
      </x:c>
      <x:c r="J370" s="9" t="n">
        <x:v>4.289845314040711</x:v>
      </x:c>
      <x:c r="K370" s="9" t="n">
        <x:v>73.48615692360751</x:v>
      </x:c>
      <x:c r="L370" s="9" t="n">
        <x:v>4.289845314040711</x:v>
      </x:c>
      <x:c r="M370" s="9" t="n">
        <x:v>-21.17391142230467</x:v>
      </x:c>
      <x:c r="N370" s="9" t="n">
        <x:v>-29.93891135729243</x:v>
      </x:c>
      <x:c r="O370" s="9" t="n">
        <x:v>0.937785029411316</x:v>
      </x:c>
      <x:c r="P370" s="9" t="n">
        <x:v>0.422554522752762</x:v>
      </x:c>
      <x:c r="Q370" s="9" t="n">
        <x:v>54</x:v>
      </x:c>
      <x:c r="R370" s="9" t="n">
        <x:v>77</x:v>
      </x:c>
      <x:c r="S370" s="17" t="b">
        <x:v>1</x:v>
      </x:c>
      <x:c r="T370" s="18"/>
      <x:c r="U370" s="18"/>
    </x:row>
    <x:row r="371" ht="22" customHeight="1">
      <x:c r="A371" s="4" t="str">
        <x:v>SpecTF</x:v>
      </x:c>
      <x:c r="B371" s="4" t="str">
        <x:v>Security</x:v>
      </x:c>
      <x:c r="C371" s="4" t="n">
        <x:v>6</x:v>
      </x:c>
      <x:c r="D371" s="4" t="n">
        <x:v>2027</x:v>
      </x:c>
      <x:c r="E371" s="4" t="str">
        <x:v>no_variance_shrink</x:v>
      </x:c>
      <x:c r="F371" s="9" t="n">
        <x:v>0</x:v>
      </x:c>
      <x:c r="G371" s="9" t="n">
        <x:v>67.14183396997961</x:v>
      </x:c>
      <x:c r="H371" s="9" t="n">
        <x:v>3.852669790137076</x:v>
      </x:c>
      <x:c r="I371" s="9" t="n">
        <x:v>67.14183396997961</x:v>
      </x:c>
      <x:c r="J371" s="9" t="n">
        <x:v>3.852669790137076</x:v>
      </x:c>
      <x:c r="K371" s="9" t="n">
        <x:v>78.8482465335306</x:v>
      </x:c>
      <x:c r="L371" s="9" t="n">
        <x:v>5.136811996893497</x:v>
      </x:c>
      <x:c r="M371" s="9" t="n">
        <x:v>0</x:v>
      </x:c>
      <x:c r="N371" s="9" t="n">
        <x:v>0</x:v>
      </x:c>
      <x:c r="O371" s="9" t="n">
        <x:v>0.937785029411316</x:v>
      </x:c>
      <x:c r="P371" s="9" t="n">
        <x:v>0.403588056564331</x:v>
      </x:c>
      <x:c r="Q371" s="9" t="n">
        <x:v>54</x:v>
      </x:c>
      <x:c r="R371" s="9" t="n">
        <x:v>77</x:v>
      </x:c>
      <x:c r="S371" s="17" t="b">
        <x:v>0</x:v>
      </x:c>
      <x:c r="T371" s="18"/>
      <x:c r="U371" s="18"/>
    </x:row>
    <x:row r="372" ht="22" customHeight="1">
      <x:c r="A372" s="4" t="str">
        <x:v>CFA</x:v>
      </x:c>
      <x:c r="B372" s="4" t="str">
        <x:v>Security</x:v>
      </x:c>
      <x:c r="C372" s="4" t="n">
        <x:v>6</x:v>
      </x:c>
      <x:c r="D372" s="4" t="n">
        <x:v>2027</x:v>
      </x:c>
      <x:c r="E372" s="4" t="str">
        <x:v>no_variance_shrink</x:v>
      </x:c>
      <x:c r="F372" s="9" t="n">
        <x:v>0</x:v>
      </x:c>
      <x:c r="G372" s="9" t="n">
        <x:v>73.16995799985796</x:v>
      </x:c>
      <x:c r="H372" s="9" t="n">
        <x:v>4.528802161625253</x:v>
      </x:c>
      <x:c r="I372" s="9" t="n">
        <x:v>73.16995799985796</x:v>
      </x:c>
      <x:c r="J372" s="9" t="n">
        <x:v>4.528802161625253</x:v>
      </x:c>
      <x:c r="K372" s="9" t="n">
        <x:v>93.1357590613776</x:v>
      </x:c>
      <x:c r="L372" s="9" t="n">
        <x:v>6.050998651804862</x:v>
      </x:c>
      <x:c r="M372" s="9" t="n">
        <x:v>0</x:v>
      </x:c>
      <x:c r="N372" s="9" t="n">
        <x:v>0</x:v>
      </x:c>
      <x:c r="O372" s="9" t="n">
        <x:v>0.937785029411316</x:v>
      </x:c>
      <x:c r="P372" s="9" t="n">
        <x:v>0.409557342529297</x:v>
      </x:c>
      <x:c r="Q372" s="9" t="n">
        <x:v>54</x:v>
      </x:c>
      <x:c r="R372" s="9" t="n">
        <x:v>77</x:v>
      </x:c>
      <x:c r="S372" s="17" t="b">
        <x:v>0</x:v>
      </x:c>
      <x:c r="T372" s="18"/>
      <x:c r="U372" s="18"/>
    </x:row>
    <x:row r="373" ht="22" customHeight="1">
      <x:c r="A373" s="4" t="str">
        <x:v>Aurora</x:v>
      </x:c>
      <x:c r="B373" s="4" t="str">
        <x:v>Security</x:v>
      </x:c>
      <x:c r="C373" s="4" t="n">
        <x:v>6</x:v>
      </x:c>
      <x:c r="D373" s="4" t="n">
        <x:v>2027</x:v>
      </x:c>
      <x:c r="E373" s="4" t="str">
        <x:v>no_variance_shrink</x:v>
      </x:c>
      <x:c r="F373" s="9" t="n">
        <x:v>0.5</x:v>
      </x:c>
      <x:c r="G373" s="9" t="n">
        <x:v>77.16228360015839</x:v>
      </x:c>
      <x:c r="H373" s="9" t="n">
        <x:v>4.235003895715546</x:v>
      </x:c>
      <x:c r="I373" s="9" t="n">
        <x:v>78.28927881307317</x:v>
      </x:c>
      <x:c r="J373" s="9" t="n">
        <x:v>4.506707824332594</x:v>
      </x:c>
      <x:c r="K373" s="9" t="n">
        <x:v>84.53681387442168</x:v>
      </x:c>
      <x:c r="L373" s="9" t="n">
        <x:v>5.067832653747043</x:v>
      </x:c>
      <x:c r="M373" s="9" t="n">
        <x:v>1.460551917766817</x:v>
      </x:c>
      <x:c r="N373" s="9" t="n">
        <x:v>6.415671279356427</x:v>
      </x:c>
      <x:c r="O373" s="9" t="n">
        <x:v>0.937785029411316</x:v>
      </x:c>
      <x:c r="P373" s="9" t="n">
        <x:v>0.407445013523102</x:v>
      </x:c>
      <x:c r="Q373" s="9" t="n">
        <x:v>54</x:v>
      </x:c>
      <x:c r="R373" s="9" t="n">
        <x:v>77</x:v>
      </x:c>
      <x:c r="S373" s="17" t="b">
        <x:v>1</x:v>
      </x:c>
      <x:c r="T373" s="18"/>
      <x:c r="U373" s="18"/>
    </x:row>
    <x:row r="374" ht="22" customHeight="1">
      <x:c r="A374" s="4" t="str">
        <x:v>TaTS</x:v>
      </x:c>
      <x:c r="B374" s="4" t="str">
        <x:v>Security</x:v>
      </x:c>
      <x:c r="C374" s="4" t="n">
        <x:v>6</x:v>
      </x:c>
      <x:c r="D374" s="4" t="n">
        <x:v>2028</x:v>
      </x:c>
      <x:c r="E374" s="4" t="str">
        <x:v>no_variance_shrink</x:v>
      </x:c>
      <x:c r="F374" s="9" t="n">
        <x:v>0</x:v>
      </x:c>
      <x:c r="G374" s="9" t="n">
        <x:v>72.6991374139132</x:v>
      </x:c>
      <x:c r="H374" s="9" t="n">
        <x:v>4.382157450728693</x:v>
      </x:c>
      <x:c r="I374" s="9" t="n">
        <x:v>72.6991374139132</x:v>
      </x:c>
      <x:c r="J374" s="9" t="n">
        <x:v>4.382157450728693</x:v>
      </x:c>
      <x:c r="K374" s="9" t="n">
        <x:v>83.92524964748735</x:v>
      </x:c>
      <x:c r="L374" s="9" t="n">
        <x:v>5.444080151321458</x:v>
      </x:c>
      <x:c r="M374" s="9" t="n">
        <x:v>0</x:v>
      </x:c>
      <x:c r="N374" s="9" t="n">
        <x:v>0</x:v>
      </x:c>
      <x:c r="O374" s="9" t="n">
        <x:v>0.504956960678101</x:v>
      </x:c>
      <x:c r="P374" s="9" t="n">
        <x:v>0.391085475683212</x:v>
      </x:c>
      <x:c r="Q374" s="9" t="n">
        <x:v>54</x:v>
      </x:c>
      <x:c r="R374" s="9" t="n">
        <x:v>71</x:v>
      </x:c>
      <x:c r="S374" s="17" t="b">
        <x:v>0</x:v>
      </x:c>
      <x:c r="T374" s="18"/>
      <x:c r="U374" s="18"/>
    </x:row>
    <x:row r="375" ht="22" customHeight="1">
      <x:c r="A375" s="4" t="str">
        <x:v>MM-TSFlib</x:v>
      </x:c>
      <x:c r="B375" s="4" t="str">
        <x:v>Security</x:v>
      </x:c>
      <x:c r="C375" s="4" t="n">
        <x:v>6</x:v>
      </x:c>
      <x:c r="D375" s="4" t="n">
        <x:v>2028</x:v>
      </x:c>
      <x:c r="E375" s="4" t="str">
        <x:v>no_variance_shrink</x:v>
      </x:c>
      <x:c r="F375" s="9" t="n">
        <x:v>1</x:v>
      </x:c>
      <x:c r="G375" s="9" t="n">
        <x:v>93.2256797838897</x:v>
      </x:c>
      <x:c r="H375" s="9" t="n">
        <x:v>6.123006931733179</x:v>
      </x:c>
      <x:c r="I375" s="9" t="n">
        <x:v>74.29992573993725</x:v>
      </x:c>
      <x:c r="J375" s="9" t="n">
        <x:v>4.370370642008996</x:v>
      </x:c>
      <x:c r="K375" s="9" t="n">
        <x:v>74.29992573993725</x:v>
      </x:c>
      <x:c r="L375" s="9" t="n">
        <x:v>4.370370642008996</x:v>
      </x:c>
      <x:c r="M375" s="9" t="n">
        <x:v>-20.301009429832018</x:v>
      </x:c>
      <x:c r="N375" s="9" t="n">
        <x:v>-28.623784184220767</x:v>
      </x:c>
      <x:c r="O375" s="9" t="n">
        <x:v>0.504956960678101</x:v>
      </x:c>
      <x:c r="P375" s="9" t="n">
        <x:v>0.390153676271439</x:v>
      </x:c>
      <x:c r="Q375" s="9" t="n">
        <x:v>54</x:v>
      </x:c>
      <x:c r="R375" s="9" t="n">
        <x:v>71</x:v>
      </x:c>
      <x:c r="S375" s="17" t="b">
        <x:v>1</x:v>
      </x:c>
      <x:c r="T375" s="18"/>
      <x:c r="U375" s="18"/>
    </x:row>
    <x:row r="376" ht="22" customHeight="1">
      <x:c r="A376" s="4" t="str">
        <x:v>SpecTF</x:v>
      </x:c>
      <x:c r="B376" s="4" t="str">
        <x:v>Security</x:v>
      </x:c>
      <x:c r="C376" s="4" t="n">
        <x:v>6</x:v>
      </x:c>
      <x:c r="D376" s="4" t="n">
        <x:v>2028</x:v>
      </x:c>
      <x:c r="E376" s="4" t="str">
        <x:v>no_variance_shrink</x:v>
      </x:c>
      <x:c r="F376" s="9" t="n">
        <x:v>0</x:v>
      </x:c>
      <x:c r="G376" s="9" t="n">
        <x:v>67.14183396997961</x:v>
      </x:c>
      <x:c r="H376" s="9" t="n">
        <x:v>3.852669790137076</x:v>
      </x:c>
      <x:c r="I376" s="9" t="n">
        <x:v>67.14183396997961</x:v>
      </x:c>
      <x:c r="J376" s="9" t="n">
        <x:v>3.852669790137076</x:v>
      </x:c>
      <x:c r="K376" s="9" t="n">
        <x:v>78.61675087129576</x:v>
      </x:c>
      <x:c r="L376" s="9" t="n">
        <x:v>5.12780754068395</x:v>
      </x:c>
      <x:c r="M376" s="9" t="n">
        <x:v>0</x:v>
      </x:c>
      <x:c r="N376" s="9" t="n">
        <x:v>0</x:v>
      </x:c>
      <x:c r="O376" s="9" t="n">
        <x:v>0.504956960678101</x:v>
      </x:c>
      <x:c r="P376" s="9" t="n">
        <x:v>0.385105103254318</x:v>
      </x:c>
      <x:c r="Q376" s="9" t="n">
        <x:v>54</x:v>
      </x:c>
      <x:c r="R376" s="9" t="n">
        <x:v>71</x:v>
      </x:c>
      <x:c r="S376" s="17" t="b">
        <x:v>0</x:v>
      </x:c>
      <x:c r="T376" s="18"/>
      <x:c r="U376" s="18"/>
    </x:row>
    <x:row r="377" ht="22" customHeight="1">
      <x:c r="A377" s="4" t="str">
        <x:v>CFA</x:v>
      </x:c>
      <x:c r="B377" s="4" t="str">
        <x:v>Security</x:v>
      </x:c>
      <x:c r="C377" s="4" t="n">
        <x:v>6</x:v>
      </x:c>
      <x:c r="D377" s="4" t="n">
        <x:v>2028</x:v>
      </x:c>
      <x:c r="E377" s="4" t="str">
        <x:v>no_variance_shrink</x:v>
      </x:c>
      <x:c r="F377" s="9" t="n">
        <x:v>0</x:v>
      </x:c>
      <x:c r="G377" s="9" t="n">
        <x:v>73.16995799985796</x:v>
      </x:c>
      <x:c r="H377" s="9" t="n">
        <x:v>4.528802161625253</x:v>
      </x:c>
      <x:c r="I377" s="9" t="n">
        <x:v>73.16995799985796</x:v>
      </x:c>
      <x:c r="J377" s="9" t="n">
        <x:v>4.528802161625253</x:v>
      </x:c>
      <x:c r="K377" s="9" t="n">
        <x:v>93.15075650902</x:v>
      </x:c>
      <x:c r="L377" s="9" t="n">
        <x:v>6.044888886338514</x:v>
      </x:c>
      <x:c r="M377" s="9" t="n">
        <x:v>0</x:v>
      </x:c>
      <x:c r="N377" s="9" t="n">
        <x:v>0</x:v>
      </x:c>
      <x:c r="O377" s="9" t="n">
        <x:v>0.504956960678101</x:v>
      </x:c>
      <x:c r="P377" s="9" t="n">
        <x:v>0.389627009630203</x:v>
      </x:c>
      <x:c r="Q377" s="9" t="n">
        <x:v>54</x:v>
      </x:c>
      <x:c r="R377" s="9" t="n">
        <x:v>71</x:v>
      </x:c>
      <x:c r="S377" s="17" t="b">
        <x:v>0</x:v>
      </x:c>
      <x:c r="T377" s="18"/>
      <x:c r="U377" s="18"/>
    </x:row>
    <x:row r="378" ht="22" customHeight="1">
      <x:c r="A378" s="4" t="str">
        <x:v>Aurora</x:v>
      </x:c>
      <x:c r="B378" s="4" t="str">
        <x:v>Security</x:v>
      </x:c>
      <x:c r="C378" s="4" t="n">
        <x:v>6</x:v>
      </x:c>
      <x:c r="D378" s="4" t="n">
        <x:v>2028</x:v>
      </x:c>
      <x:c r="E378" s="4" t="str">
        <x:v>no_variance_shrink</x:v>
      </x:c>
      <x:c r="F378" s="9" t="n">
        <x:v>0.5</x:v>
      </x:c>
      <x:c r="G378" s="9" t="n">
        <x:v>77.16228360015839</x:v>
      </x:c>
      <x:c r="H378" s="9" t="n">
        <x:v>4.235003895715546</x:v>
      </x:c>
      <x:c r="I378" s="9" t="n">
        <x:v>78.64086900536456</x:v>
      </x:c>
      <x:c r="J378" s="9" t="n">
        <x:v>4.522597997486706</x:v>
      </x:c>
      <x:c r="K378" s="9" t="n">
        <x:v>85.08182101194929</x:v>
      </x:c>
      <x:c r="L378" s="9" t="n">
        <x:v>5.082646079019379</x:v>
      </x:c>
      <x:c r="M378" s="9" t="n">
        <x:v>1.916202237958564</x:v>
      </x:c>
      <x:c r="N378" s="9" t="n">
        <x:v>6.790881634420964</x:v>
      </x:c>
      <x:c r="O378" s="9" t="n">
        <x:v>0.504956960678101</x:v>
      </x:c>
      <x:c r="P378" s="9" t="n">
        <x:v>0.388849049806595</x:v>
      </x:c>
      <x:c r="Q378" s="9" t="n">
        <x:v>54</x:v>
      </x:c>
      <x:c r="R378" s="9" t="n">
        <x:v>71</x:v>
      </x:c>
      <x:c r="S378" s="17" t="b">
        <x:v>1</x:v>
      </x:c>
      <x:c r="T378" s="18"/>
      <x:c r="U378" s="18"/>
    </x:row>
    <x:row r="379" ht="22" customHeight="1">
      <x:c r="A379" s="4" t="str">
        <x:v>TaTS</x:v>
      </x:c>
      <x:c r="B379" s="4" t="str">
        <x:v>Security</x:v>
      </x:c>
      <x:c r="C379" s="4" t="n">
        <x:v>8</x:v>
      </x:c>
      <x:c r="D379" s="4" t="n">
        <x:v>2026</x:v>
      </x:c>
      <x:c r="E379" s="4" t="str">
        <x:v>no_variance_shrink</x:v>
      </x:c>
      <x:c r="F379" s="9" t="n">
        <x:v>0</x:v>
      </x:c>
      <x:c r="G379" s="9" t="n">
        <x:v>72.97911949508219</x:v>
      </x:c>
      <x:c r="H379" s="9" t="n">
        <x:v>4.433972100317567</x:v>
      </x:c>
      <x:c r="I379" s="9" t="n">
        <x:v>72.97911949508219</x:v>
      </x:c>
      <x:c r="J379" s="9" t="n">
        <x:v>4.433972100317567</x:v>
      </x:c>
      <x:c r="K379" s="9" t="n">
        <x:v>81.92953417883831</x:v>
      </x:c>
      <x:c r="L379" s="9" t="n">
        <x:v>5.102654767457772</x:v>
      </x:c>
      <x:c r="M379" s="9" t="n">
        <x:v>0</x:v>
      </x:c>
      <x:c r="N379" s="9" t="n">
        <x:v>0</x:v>
      </x:c>
      <x:c r="O379" s="9" t="n">
        <x:v>0.606470227241516</x:v>
      </x:c>
      <x:c r="P379" s="9" t="n">
        <x:v>0.259376615285873</x:v>
      </x:c>
      <x:c r="Q379" s="9" t="n">
        <x:v>52</x:v>
      </x:c>
      <x:c r="R379" s="9" t="n">
        <x:v>31</x:v>
      </x:c>
      <x:c r="S379" s="17" t="b">
        <x:v>0</x:v>
      </x:c>
      <x:c r="T379" s="18"/>
      <x:c r="U379" s="18"/>
    </x:row>
    <x:row r="380" ht="22" customHeight="1">
      <x:c r="A380" s="4" t="str">
        <x:v>MM-TSFlib</x:v>
      </x:c>
      <x:c r="B380" s="4" t="str">
        <x:v>Security</x:v>
      </x:c>
      <x:c r="C380" s="4" t="n">
        <x:v>8</x:v>
      </x:c>
      <x:c r="D380" s="4" t="n">
        <x:v>2026</x:v>
      </x:c>
      <x:c r="E380" s="4" t="str">
        <x:v>no_variance_shrink</x:v>
      </x:c>
      <x:c r="F380" s="9" t="n">
        <x:v>0.75</x:v>
      </x:c>
      <x:c r="G380" s="9" t="n">
        <x:v>96.53889005739344</x:v>
      </x:c>
      <x:c r="H380" s="9" t="n">
        <x:v>6.252864701323023</x:v>
      </x:c>
      <x:c r="I380" s="9" t="n">
        <x:v>92.40977520241232</x:v>
      </x:c>
      <x:c r="J380" s="9" t="n">
        <x:v>5.700638258594643</x:v>
      </x:c>
      <x:c r="K380" s="9" t="n">
        <x:v>92.15777681787436</x:v>
      </x:c>
      <x:c r="L380" s="9" t="n">
        <x:v>5.600735439357008</x:v>
      </x:c>
      <x:c r="M380" s="9" t="n">
        <x:v>-4.277151780516975</x:v>
      </x:c>
      <x:c r="N380" s="9" t="n">
        <x:v>-8.831575111668998</x:v>
      </x:c>
      <x:c r="O380" s="9" t="n">
        <x:v>0.606470227241516</x:v>
      </x:c>
      <x:c r="P380" s="9" t="n">
        <x:v>0.252986907958984</x:v>
      </x:c>
      <x:c r="Q380" s="9" t="n">
        <x:v>52</x:v>
      </x:c>
      <x:c r="R380" s="9" t="n">
        <x:v>31</x:v>
      </x:c>
      <x:c r="S380" s="17" t="b">
        <x:v>1</x:v>
      </x:c>
      <x:c r="T380" s="18"/>
      <x:c r="U380" s="18"/>
    </x:row>
    <x:row r="381" ht="22" customHeight="1">
      <x:c r="A381" s="4" t="str">
        <x:v>SpecTF</x:v>
      </x:c>
      <x:c r="B381" s="4" t="str">
        <x:v>Security</x:v>
      </x:c>
      <x:c r="C381" s="4" t="n">
        <x:v>8</x:v>
      </x:c>
      <x:c r="D381" s="4" t="n">
        <x:v>2026</x:v>
      </x:c>
      <x:c r="E381" s="4" t="str">
        <x:v>no_variance_shrink</x:v>
      </x:c>
      <x:c r="F381" s="9" t="n">
        <x:v>0</x:v>
      </x:c>
      <x:c r="G381" s="9" t="n">
        <x:v>70.6990198622295</x:v>
      </x:c>
      <x:c r="H381" s="9" t="n">
        <x:v>4.002957388563887</x:v>
      </x:c>
      <x:c r="I381" s="9" t="n">
        <x:v>70.6990198622295</x:v>
      </x:c>
      <x:c r="J381" s="9" t="n">
        <x:v>4.002957388563887</x:v>
      </x:c>
      <x:c r="K381" s="9" t="n">
        <x:v>76.95355029798742</x:v>
      </x:c>
      <x:c r="L381" s="9" t="n">
        <x:v>4.603702267437116</x:v>
      </x:c>
      <x:c r="M381" s="9" t="n">
        <x:v>0</x:v>
      </x:c>
      <x:c r="N381" s="9" t="n">
        <x:v>0</x:v>
      </x:c>
      <x:c r="O381" s="9" t="n">
        <x:v>0.606470227241516</x:v>
      </x:c>
      <x:c r="P381" s="9" t="n">
        <x:v>0.269753396511078</x:v>
      </x:c>
      <x:c r="Q381" s="9" t="n">
        <x:v>52</x:v>
      </x:c>
      <x:c r="R381" s="9" t="n">
        <x:v>31</x:v>
      </x:c>
      <x:c r="S381" s="17" t="b">
        <x:v>0</x:v>
      </x:c>
      <x:c r="T381" s="18"/>
      <x:c r="U381" s="18"/>
    </x:row>
    <x:row r="382" ht="22" customHeight="1">
      <x:c r="A382" s="4" t="str">
        <x:v>CFA</x:v>
      </x:c>
      <x:c r="B382" s="4" t="str">
        <x:v>Security</x:v>
      </x:c>
      <x:c r="C382" s="4" t="n">
        <x:v>8</x:v>
      </x:c>
      <x:c r="D382" s="4" t="n">
        <x:v>2026</x:v>
      </x:c>
      <x:c r="E382" s="4" t="str">
        <x:v>no_variance_shrink</x:v>
      </x:c>
      <x:c r="F382" s="9" t="n">
        <x:v>0</x:v>
      </x:c>
      <x:c r="G382" s="9" t="n">
        <x:v>91.43265867362122</x:v>
      </x:c>
      <x:c r="H382" s="9" t="n">
        <x:v>5.660050303552103</x:v>
      </x:c>
      <x:c r="I382" s="9" t="n">
        <x:v>91.43265867362122</x:v>
      </x:c>
      <x:c r="J382" s="9" t="n">
        <x:v>5.660050303552103</x:v>
      </x:c>
      <x:c r="K382" s="9" t="n">
        <x:v>105.22083169129216</x:v>
      </x:c>
      <x:c r="L382" s="9" t="n">
        <x:v>6.363893629967396</x:v>
      </x:c>
      <x:c r="M382" s="9" t="n">
        <x:v>0</x:v>
      </x:c>
      <x:c r="N382" s="9" t="n">
        <x:v>0</x:v>
      </x:c>
      <x:c r="O382" s="9" t="n">
        <x:v>0.606470227241516</x:v>
      </x:c>
      <x:c r="P382" s="9" t="n">
        <x:v>0.255695164203644</x:v>
      </x:c>
      <x:c r="Q382" s="9" t="n">
        <x:v>52</x:v>
      </x:c>
      <x:c r="R382" s="9" t="n">
        <x:v>31</x:v>
      </x:c>
      <x:c r="S382" s="17" t="b">
        <x:v>0</x:v>
      </x:c>
      <x:c r="T382" s="18"/>
      <x:c r="U382" s="18"/>
    </x:row>
    <x:row r="383" ht="22" customHeight="1">
      <x:c r="A383" s="4" t="str">
        <x:v>Aurora</x:v>
      </x:c>
      <x:c r="B383" s="4" t="str">
        <x:v>Security</x:v>
      </x:c>
      <x:c r="C383" s="4" t="n">
        <x:v>8</x:v>
      </x:c>
      <x:c r="D383" s="4" t="n">
        <x:v>2026</x:v>
      </x:c>
      <x:c r="E383" s="4" t="str">
        <x:v>no_variance_shrink</x:v>
      </x:c>
      <x:c r="F383" s="9" t="n">
        <x:v>0.5</x:v>
      </x:c>
      <x:c r="G383" s="9" t="n">
        <x:v>81.18467338330083</x:v>
      </x:c>
      <x:c r="H383" s="9" t="n">
        <x:v>4.406378367935899</x:v>
      </x:c>
      <x:c r="I383" s="9" t="n">
        <x:v>83.15020366606191</x:v>
      </x:c>
      <x:c r="J383" s="9" t="n">
        <x:v>4.58285575118498</x:v>
      </x:c>
      <x:c r="K383" s="9" t="n">
        <x:v>87.4954308324412</x:v>
      </x:c>
      <x:c r="L383" s="9" t="n">
        <x:v>4.942896592128538</x:v>
      </x:c>
      <x:c r="M383" s="9" t="n">
        <x:v>2.421060775204609</x:v>
      </x:c>
      <x:c r="N383" s="9" t="n">
        <x:v>4.005043791365304</x:v>
      </x:c>
      <x:c r="O383" s="9" t="n">
        <x:v>0.606470227241516</x:v>
      </x:c>
      <x:c r="P383" s="9" t="n">
        <x:v>0.264976978302002</x:v>
      </x:c>
      <x:c r="Q383" s="9" t="n">
        <x:v>52</x:v>
      </x:c>
      <x:c r="R383" s="9" t="n">
        <x:v>31</x:v>
      </x:c>
      <x:c r="S383" s="17" t="b">
        <x:v>1</x:v>
      </x:c>
      <x:c r="T383" s="18"/>
      <x:c r="U383" s="18"/>
    </x:row>
    <x:row r="384" ht="22" customHeight="1">
      <x:c r="A384" s="4" t="str">
        <x:v>TaTS</x:v>
      </x:c>
      <x:c r="B384" s="4" t="str">
        <x:v>Security</x:v>
      </x:c>
      <x:c r="C384" s="4" t="n">
        <x:v>8</x:v>
      </x:c>
      <x:c r="D384" s="4" t="n">
        <x:v>2027</x:v>
      </x:c>
      <x:c r="E384" s="4" t="str">
        <x:v>no_variance_shrink</x:v>
      </x:c>
      <x:c r="F384" s="9" t="n">
        <x:v>0</x:v>
      </x:c>
      <x:c r="G384" s="9" t="n">
        <x:v>72.97911949508219</x:v>
      </x:c>
      <x:c r="H384" s="9" t="n">
        <x:v>4.433972100317567</x:v>
      </x:c>
      <x:c r="I384" s="9" t="n">
        <x:v>72.97911949508219</x:v>
      </x:c>
      <x:c r="J384" s="9" t="n">
        <x:v>4.433972100317567</x:v>
      </x:c>
      <x:c r="K384" s="9" t="n">
        <x:v>72.97911949412645</x:v>
      </x:c>
      <x:c r="L384" s="9" t="n">
        <x:v>4.433972100245928</x:v>
      </x:c>
      <x:c r="M384" s="9" t="n">
        <x:v>0</x:v>
      </x:c>
      <x:c r="N384" s="9" t="n">
        <x:v>0</x:v>
      </x:c>
      <x:c r="O384" s="9" t="n">
        <x:v>0.481077134609222</x:v>
      </x:c>
      <x:c r="P384" s="9" t="n">
        <x:v>6.574e-12</x:v>
      </x:c>
      <x:c r="Q384" s="9" t="n">
        <x:v>52</x:v>
      </x:c>
      <x:c r="R384" s="9" t="n">
        <x:v>0</x:v>
      </x:c>
      <x:c r="S384" s="17" t="b">
        <x:v>0</x:v>
      </x:c>
      <x:c r="T384" s="18"/>
      <x:c r="U384" s="18"/>
    </x:row>
    <x:row r="385" ht="22" customHeight="1">
      <x:c r="A385" s="4" t="str">
        <x:v>MM-TSFlib</x:v>
      </x:c>
      <x:c r="B385" s="4" t="str">
        <x:v>Security</x:v>
      </x:c>
      <x:c r="C385" s="4" t="n">
        <x:v>8</x:v>
      </x:c>
      <x:c r="D385" s="4" t="n">
        <x:v>2027</x:v>
      </x:c>
      <x:c r="E385" s="4" t="str">
        <x:v>no_variance_shrink</x:v>
      </x:c>
      <x:c r="F385" s="9" t="n">
        <x:v>0.75</x:v>
      </x:c>
      <x:c r="G385" s="9" t="n">
        <x:v>96.53889005739344</x:v>
      </x:c>
      <x:c r="H385" s="9" t="n">
        <x:v>6.252864701323023</x:v>
      </x:c>
      <x:c r="I385" s="9" t="n">
        <x:v>96.53888995746124</x:v>
      </x:c>
      <x:c r="J385" s="9" t="n">
        <x:v>6.252864691997484</x:v>
      </x:c>
      <x:c r="K385" s="9" t="n">
        <x:v>96.53888994424744</x:v>
      </x:c>
      <x:c r="L385" s="9" t="n">
        <x:v>6.252864690665424</x:v>
      </x:c>
      <x:c r="M385" s="9" t="n">
        <x:v>-1.03514974e-7</x:v>
      </x:c>
      <x:c r="N385" s="9" t="n">
        <x:v>-1.49140278e-7</x:v>
      </x:c>
      <x:c r="O385" s="9" t="n">
        <x:v>0.481077134609222</x:v>
      </x:c>
      <x:c r="P385" s="9" t="n">
        <x:v>1.336711e-9</x:v>
      </x:c>
      <x:c r="Q385" s="9" t="n">
        <x:v>52</x:v>
      </x:c>
      <x:c r="R385" s="9" t="n">
        <x:v>0</x:v>
      </x:c>
      <x:c r="S385" s="17" t="b">
        <x:v>0</x:v>
      </x:c>
      <x:c r="T385" s="18"/>
      <x:c r="U385" s="18"/>
    </x:row>
    <x:row r="386" ht="22" customHeight="1">
      <x:c r="A386" s="4" t="str">
        <x:v>SpecTF</x:v>
      </x:c>
      <x:c r="B386" s="4" t="str">
        <x:v>Security</x:v>
      </x:c>
      <x:c r="C386" s="4" t="n">
        <x:v>8</x:v>
      </x:c>
      <x:c r="D386" s="4" t="n">
        <x:v>2027</x:v>
      </x:c>
      <x:c r="E386" s="4" t="str">
        <x:v>no_variance_shrink</x:v>
      </x:c>
      <x:c r="F386" s="9" t="n">
        <x:v>0</x:v>
      </x:c>
      <x:c r="G386" s="9" t="n">
        <x:v>70.6990198622295</x:v>
      </x:c>
      <x:c r="H386" s="9" t="n">
        <x:v>4.002957388563887</x:v>
      </x:c>
      <x:c r="I386" s="9" t="n">
        <x:v>70.6990198622295</x:v>
      </x:c>
      <x:c r="J386" s="9" t="n">
        <x:v>4.002957388563887</x:v>
      </x:c>
      <x:c r="K386" s="9" t="n">
        <x:v>70.6990198622295</x:v>
      </x:c>
      <x:c r="L386" s="9" t="n">
        <x:v>4.002957388563887</x:v>
      </x:c>
      <x:c r="M386" s="9" t="n">
        <x:v>0</x:v>
      </x:c>
      <x:c r="N386" s="9" t="n">
        <x:v>0</x:v>
      </x:c>
      <x:c r="O386" s="9" t="n">
        <x:v>0.481077134609222</x:v>
      </x:c>
      <x:c r="P386" s="9" t="n">
        <x:v>0</x:v>
      </x:c>
      <x:c r="Q386" s="9" t="n">
        <x:v>52</x:v>
      </x:c>
      <x:c r="R386" s="9" t="n">
        <x:v>0</x:v>
      </x:c>
      <x:c r="S386" s="17" t="b">
        <x:v>0</x:v>
      </x:c>
      <x:c r="T386" s="18"/>
      <x:c r="U386" s="18"/>
    </x:row>
    <x:row r="387" ht="22" customHeight="1">
      <x:c r="A387" s="4" t="str">
        <x:v>CFA</x:v>
      </x:c>
      <x:c r="B387" s="4" t="str">
        <x:v>Security</x:v>
      </x:c>
      <x:c r="C387" s="4" t="n">
        <x:v>8</x:v>
      </x:c>
      <x:c r="D387" s="4" t="n">
        <x:v>2027</x:v>
      </x:c>
      <x:c r="E387" s="4" t="str">
        <x:v>no_variance_shrink</x:v>
      </x:c>
      <x:c r="F387" s="9" t="n">
        <x:v>0</x:v>
      </x:c>
      <x:c r="G387" s="9" t="n">
        <x:v>91.43265867362122</x:v>
      </x:c>
      <x:c r="H387" s="9" t="n">
        <x:v>5.660050303552103</x:v>
      </x:c>
      <x:c r="I387" s="9" t="n">
        <x:v>91.43265867362122</x:v>
      </x:c>
      <x:c r="J387" s="9" t="n">
        <x:v>5.660050303552103</x:v>
      </x:c>
      <x:c r="K387" s="9" t="n">
        <x:v>91.43265866864262</x:v>
      </x:c>
      <x:c r="L387" s="9" t="n">
        <x:v>5.660050302978982</x:v>
      </x:c>
      <x:c r="M387" s="9" t="n">
        <x:v>0</x:v>
      </x:c>
      <x:c r="N387" s="9" t="n">
        <x:v>0</x:v>
      </x:c>
      <x:c r="O387" s="9" t="n">
        <x:v>0.481077134609222</x:v>
      </x:c>
      <x:c r="P387" s="9" t="n">
        <x:v>5.4149e-11</x:v>
      </x:c>
      <x:c r="Q387" s="9" t="n">
        <x:v>52</x:v>
      </x:c>
      <x:c r="R387" s="9" t="n">
        <x:v>0</x:v>
      </x:c>
      <x:c r="S387" s="17" t="b">
        <x:v>0</x:v>
      </x:c>
      <x:c r="T387" s="18"/>
      <x:c r="U387" s="18"/>
    </x:row>
    <x:row r="388" ht="22" customHeight="1">
      <x:c r="A388" s="4" t="str">
        <x:v>Aurora</x:v>
      </x:c>
      <x:c r="B388" s="4" t="str">
        <x:v>Security</x:v>
      </x:c>
      <x:c r="C388" s="4" t="n">
        <x:v>8</x:v>
      </x:c>
      <x:c r="D388" s="4" t="n">
        <x:v>2027</x:v>
      </x:c>
      <x:c r="E388" s="4" t="str">
        <x:v>no_variance_shrink</x:v>
      </x:c>
      <x:c r="F388" s="9" t="n">
        <x:v>1</x:v>
      </x:c>
      <x:c r="G388" s="9" t="n">
        <x:v>81.18467338330083</x:v>
      </x:c>
      <x:c r="H388" s="9" t="n">
        <x:v>4.406378367935899</x:v>
      </x:c>
      <x:c r="I388" s="9" t="n">
        <x:v>81.18467338173471</x:v>
      </x:c>
      <x:c r="J388" s="9" t="n">
        <x:v>4.406378367362777</x:v>
      </x:c>
      <x:c r="K388" s="9" t="n">
        <x:v>81.18467338173471</x:v>
      </x:c>
      <x:c r="L388" s="9" t="n">
        <x:v>4.406378367362777</x:v>
      </x:c>
      <x:c r="M388" s="9" t="n">
        <x:v>-1.92909e-9</x:v>
      </x:c>
      <x:c r="N388" s="9" t="n">
        <x:v>-1.300664e-8</x:v>
      </x:c>
      <x:c r="O388" s="9" t="n">
        <x:v>0.481077134609222</x:v>
      </x:c>
      <x:c r="P388" s="9" t="n">
        <x:v>5.4042e-11</x:v>
      </x:c>
      <x:c r="Q388" s="9" t="n">
        <x:v>52</x:v>
      </x:c>
      <x:c r="R388" s="9" t="n">
        <x:v>0</x:v>
      </x:c>
      <x:c r="S388" s="17" t="b">
        <x:v>0</x:v>
      </x:c>
      <x:c r="T388" s="18"/>
      <x:c r="U388" s="18"/>
    </x:row>
    <x:row r="389" ht="22" customHeight="1">
      <x:c r="A389" s="4" t="str">
        <x:v>TaTS</x:v>
      </x:c>
      <x:c r="B389" s="4" t="str">
        <x:v>Security</x:v>
      </x:c>
      <x:c r="C389" s="4" t="n">
        <x:v>8</x:v>
      </x:c>
      <x:c r="D389" s="4" t="n">
        <x:v>2028</x:v>
      </x:c>
      <x:c r="E389" s="4" t="str">
        <x:v>no_variance_shrink</x:v>
      </x:c>
      <x:c r="F389" s="9" t="n">
        <x:v>0</x:v>
      </x:c>
      <x:c r="G389" s="9" t="n">
        <x:v>72.97911949508219</x:v>
      </x:c>
      <x:c r="H389" s="9" t="n">
        <x:v>4.433972100317567</x:v>
      </x:c>
      <x:c r="I389" s="9" t="n">
        <x:v>72.97911949508219</x:v>
      </x:c>
      <x:c r="J389" s="9" t="n">
        <x:v>4.433972100317567</x:v>
      </x:c>
      <x:c r="K389" s="9" t="n">
        <x:v>72.97911949412645</x:v>
      </x:c>
      <x:c r="L389" s="9" t="n">
        <x:v>4.433972100245928</x:v>
      </x:c>
      <x:c r="M389" s="9" t="n">
        <x:v>0</x:v>
      </x:c>
      <x:c r="N389" s="9" t="n">
        <x:v>0</x:v>
      </x:c>
      <x:c r="O389" s="9" t="n">
        <x:v>0.515046656131744</x:v>
      </x:c>
      <x:c r="P389" s="9" t="n">
        <x:v>6.574e-12</x:v>
      </x:c>
      <x:c r="Q389" s="9" t="n">
        <x:v>52</x:v>
      </x:c>
      <x:c r="R389" s="9" t="n">
        <x:v>0</x:v>
      </x:c>
      <x:c r="S389" s="17" t="b">
        <x:v>0</x:v>
      </x:c>
      <x:c r="T389" s="18"/>
      <x:c r="U389" s="18"/>
    </x:row>
    <x:row r="390" ht="22" customHeight="1">
      <x:c r="A390" s="4" t="str">
        <x:v>MM-TSFlib</x:v>
      </x:c>
      <x:c r="B390" s="4" t="str">
        <x:v>Security</x:v>
      </x:c>
      <x:c r="C390" s="4" t="n">
        <x:v>8</x:v>
      </x:c>
      <x:c r="D390" s="4" t="n">
        <x:v>2028</x:v>
      </x:c>
      <x:c r="E390" s="4" t="str">
        <x:v>no_variance_shrink</x:v>
      </x:c>
      <x:c r="F390" s="9" t="n">
        <x:v>0.75</x:v>
      </x:c>
      <x:c r="G390" s="9" t="n">
        <x:v>96.53889005739344</x:v>
      </x:c>
      <x:c r="H390" s="9" t="n">
        <x:v>6.252864701323023</x:v>
      </x:c>
      <x:c r="I390" s="9" t="n">
        <x:v>96.53888995746124</x:v>
      </x:c>
      <x:c r="J390" s="9" t="n">
        <x:v>6.252864691997484</x:v>
      </x:c>
      <x:c r="K390" s="9" t="n">
        <x:v>96.53888994424744</x:v>
      </x:c>
      <x:c r="L390" s="9" t="n">
        <x:v>6.252864690665424</x:v>
      </x:c>
      <x:c r="M390" s="9" t="n">
        <x:v>-1.03514974e-7</x:v>
      </x:c>
      <x:c r="N390" s="9" t="n">
        <x:v>-1.49140278e-7</x:v>
      </x:c>
      <x:c r="O390" s="9" t="n">
        <x:v>0.515046656131744</x:v>
      </x:c>
      <x:c r="P390" s="9" t="n">
        <x:v>1.336711e-9</x:v>
      </x:c>
      <x:c r="Q390" s="9" t="n">
        <x:v>52</x:v>
      </x:c>
      <x:c r="R390" s="9" t="n">
        <x:v>0</x:v>
      </x:c>
      <x:c r="S390" s="17" t="b">
        <x:v>0</x:v>
      </x:c>
      <x:c r="T390" s="18"/>
      <x:c r="U390" s="18"/>
    </x:row>
    <x:row r="391" ht="22" customHeight="1">
      <x:c r="A391" s="4" t="str">
        <x:v>SpecTF</x:v>
      </x:c>
      <x:c r="B391" s="4" t="str">
        <x:v>Security</x:v>
      </x:c>
      <x:c r="C391" s="4" t="n">
        <x:v>8</x:v>
      </x:c>
      <x:c r="D391" s="4" t="n">
        <x:v>2028</x:v>
      </x:c>
      <x:c r="E391" s="4" t="str">
        <x:v>no_variance_shrink</x:v>
      </x:c>
      <x:c r="F391" s="9" t="n">
        <x:v>0</x:v>
      </x:c>
      <x:c r="G391" s="9" t="n">
        <x:v>70.6990198622295</x:v>
      </x:c>
      <x:c r="H391" s="9" t="n">
        <x:v>4.002957388563887</x:v>
      </x:c>
      <x:c r="I391" s="9" t="n">
        <x:v>70.6990198622295</x:v>
      </x:c>
      <x:c r="J391" s="9" t="n">
        <x:v>4.002957388563887</x:v>
      </x:c>
      <x:c r="K391" s="9" t="n">
        <x:v>70.6990198622295</x:v>
      </x:c>
      <x:c r="L391" s="9" t="n">
        <x:v>4.002957388563887</x:v>
      </x:c>
      <x:c r="M391" s="9" t="n">
        <x:v>0</x:v>
      </x:c>
      <x:c r="N391" s="9" t="n">
        <x:v>0</x:v>
      </x:c>
      <x:c r="O391" s="9" t="n">
        <x:v>0.515046656131744</x:v>
      </x:c>
      <x:c r="P391" s="9" t="n">
        <x:v>0</x:v>
      </x:c>
      <x:c r="Q391" s="9" t="n">
        <x:v>52</x:v>
      </x:c>
      <x:c r="R391" s="9" t="n">
        <x:v>0</x:v>
      </x:c>
      <x:c r="S391" s="17" t="b">
        <x:v>0</x:v>
      </x:c>
      <x:c r="T391" s="18"/>
      <x:c r="U391" s="18"/>
    </x:row>
    <x:row r="392" ht="22" customHeight="1">
      <x:c r="A392" s="4" t="str">
        <x:v>CFA</x:v>
      </x:c>
      <x:c r="B392" s="4" t="str">
        <x:v>Security</x:v>
      </x:c>
      <x:c r="C392" s="4" t="n">
        <x:v>8</x:v>
      </x:c>
      <x:c r="D392" s="4" t="n">
        <x:v>2028</x:v>
      </x:c>
      <x:c r="E392" s="4" t="str">
        <x:v>no_variance_shrink</x:v>
      </x:c>
      <x:c r="F392" s="9" t="n">
        <x:v>0</x:v>
      </x:c>
      <x:c r="G392" s="9" t="n">
        <x:v>91.43265867362122</x:v>
      </x:c>
      <x:c r="H392" s="9" t="n">
        <x:v>5.660050303552103</x:v>
      </x:c>
      <x:c r="I392" s="9" t="n">
        <x:v>91.43265867362122</x:v>
      </x:c>
      <x:c r="J392" s="9" t="n">
        <x:v>5.660050303552103</x:v>
      </x:c>
      <x:c r="K392" s="9" t="n">
        <x:v>91.43265866864262</x:v>
      </x:c>
      <x:c r="L392" s="9" t="n">
        <x:v>5.660050302978982</x:v>
      </x:c>
      <x:c r="M392" s="9" t="n">
        <x:v>0</x:v>
      </x:c>
      <x:c r="N392" s="9" t="n">
        <x:v>0</x:v>
      </x:c>
      <x:c r="O392" s="9" t="n">
        <x:v>0.515046656131744</x:v>
      </x:c>
      <x:c r="P392" s="9" t="n">
        <x:v>5.4149e-11</x:v>
      </x:c>
      <x:c r="Q392" s="9" t="n">
        <x:v>52</x:v>
      </x:c>
      <x:c r="R392" s="9" t="n">
        <x:v>0</x:v>
      </x:c>
      <x:c r="S392" s="17" t="b">
        <x:v>0</x:v>
      </x:c>
      <x:c r="T392" s="18"/>
      <x:c r="U392" s="18"/>
    </x:row>
    <x:row r="393" ht="22" customHeight="1">
      <x:c r="A393" s="4" t="str">
        <x:v>Aurora</x:v>
      </x:c>
      <x:c r="B393" s="4" t="str">
        <x:v>Security</x:v>
      </x:c>
      <x:c r="C393" s="4" t="n">
        <x:v>8</x:v>
      </x:c>
      <x:c r="D393" s="4" t="n">
        <x:v>2028</x:v>
      </x:c>
      <x:c r="E393" s="4" t="str">
        <x:v>no_variance_shrink</x:v>
      </x:c>
      <x:c r="F393" s="9" t="n">
        <x:v>1</x:v>
      </x:c>
      <x:c r="G393" s="9" t="n">
        <x:v>81.18467338330083</x:v>
      </x:c>
      <x:c r="H393" s="9" t="n">
        <x:v>4.406378367935899</x:v>
      </x:c>
      <x:c r="I393" s="9" t="n">
        <x:v>81.18467338173471</x:v>
      </x:c>
      <x:c r="J393" s="9" t="n">
        <x:v>4.406378367362777</x:v>
      </x:c>
      <x:c r="K393" s="9" t="n">
        <x:v>81.18467338173471</x:v>
      </x:c>
      <x:c r="L393" s="9" t="n">
        <x:v>4.406378367362777</x:v>
      </x:c>
      <x:c r="M393" s="9" t="n">
        <x:v>-1.92909e-9</x:v>
      </x:c>
      <x:c r="N393" s="9" t="n">
        <x:v>-1.300664e-8</x:v>
      </x:c>
      <x:c r="O393" s="9" t="n">
        <x:v>0.515046656131744</x:v>
      </x:c>
      <x:c r="P393" s="9" t="n">
        <x:v>5.4042e-11</x:v>
      </x:c>
      <x:c r="Q393" s="9" t="n">
        <x:v>52</x:v>
      </x:c>
      <x:c r="R393" s="9" t="n">
        <x:v>0</x:v>
      </x:c>
      <x:c r="S393" s="17" t="b">
        <x:v>0</x:v>
      </x:c>
      <x:c r="T393" s="18"/>
      <x:c r="U393" s="18"/>
    </x:row>
    <x:row r="394" ht="22" customHeight="1">
      <x:c r="A394" s="4" t="str">
        <x:v>TaTS</x:v>
      </x:c>
      <x:c r="B394" s="4" t="str">
        <x:v>Security</x:v>
      </x:c>
      <x:c r="C394" s="4" t="n">
        <x:v>10</x:v>
      </x:c>
      <x:c r="D394" s="4" t="n">
        <x:v>2026</x:v>
      </x:c>
      <x:c r="E394" s="4" t="str">
        <x:v>no_variance_shrink</x:v>
      </x:c>
      <x:c r="F394" s="9" t="n">
        <x:v>0</x:v>
      </x:c>
      <x:c r="G394" s="9" t="n">
        <x:v>83.39170242577858</x:v>
      </x:c>
      <x:c r="H394" s="9" t="n">
        <x:v>4.783439267786219</x:v>
      </x:c>
      <x:c r="I394" s="9" t="n">
        <x:v>83.39170242577858</x:v>
      </x:c>
      <x:c r="J394" s="9" t="n">
        <x:v>4.783439267786219</x:v>
      </x:c>
      <x:c r="K394" s="9" t="n">
        <x:v>83.43354734874823</x:v>
      </x:c>
      <x:c r="L394" s="9" t="n">
        <x:v>4.786811036452651</x:v>
      </x:c>
      <x:c r="M394" s="9" t="n">
        <x:v>0</x:v>
      </x:c>
      <x:c r="N394" s="9" t="n">
        <x:v>0</x:v>
      </x:c>
      <x:c r="O394" s="9" t="n">
        <x:v>0.489725112915039</x:v>
      </x:c>
      <x:c r="P394" s="9" t="n">
        <x:v>0.003680447349325</x:v>
      </x:c>
      <x:c r="Q394" s="9" t="n">
        <x:v>50</x:v>
      </x:c>
      <x:c r="R394" s="9" t="n">
        <x:v>1</x:v>
      </x:c>
      <x:c r="S394" s="17" t="b">
        <x:v>0</x:v>
      </x:c>
      <x:c r="T394" s="18"/>
      <x:c r="U394" s="18"/>
    </x:row>
    <x:row r="395" ht="22" customHeight="1">
      <x:c r="A395" s="4" t="str">
        <x:v>MM-TSFlib</x:v>
      </x:c>
      <x:c r="B395" s="4" t="str">
        <x:v>Security</x:v>
      </x:c>
      <x:c r="C395" s="4" t="n">
        <x:v>10</x:v>
      </x:c>
      <x:c r="D395" s="4" t="n">
        <x:v>2026</x:v>
      </x:c>
      <x:c r="E395" s="4" t="str">
        <x:v>no_variance_shrink</x:v>
      </x:c>
      <x:c r="F395" s="9" t="n">
        <x:v>1</x:v>
      </x:c>
      <x:c r="G395" s="9" t="n">
        <x:v>97.48980175008192</x:v>
      </x:c>
      <x:c r="H395" s="9" t="n">
        <x:v>6.213066877869424</x:v>
      </x:c>
      <x:c r="I395" s="9" t="n">
        <x:v>97.2885901694284</x:v>
      </x:c>
      <x:c r="J395" s="9" t="n">
        <x:v>6.193887458514888</x:v>
      </x:c>
      <x:c r="K395" s="9" t="n">
        <x:v>97.2885901694284</x:v>
      </x:c>
      <x:c r="L395" s="9" t="n">
        <x:v>6.193887458514888</x:v>
      </x:c>
      <x:c r="M395" s="9" t="n">
        <x:v>-0.20639244007219</x:v>
      </x:c>
      <x:c r="N395" s="9" t="n">
        <x:v>-0.308694880186344</x:v>
      </x:c>
      <x:c r="O395" s="9" t="n">
        <x:v>0.489725112915039</x:v>
      </x:c>
      <x:c r="P395" s="9" t="n">
        <x:v>0.003759896848351</x:v>
      </x:c>
      <x:c r="Q395" s="9" t="n">
        <x:v>50</x:v>
      </x:c>
      <x:c r="R395" s="9" t="n">
        <x:v>1</x:v>
      </x:c>
      <x:c r="S395" s="17" t="b">
        <x:v>1</x:v>
      </x:c>
      <x:c r="T395" s="18"/>
      <x:c r="U395" s="18"/>
    </x:row>
    <x:row r="396" ht="22" customHeight="1">
      <x:c r="A396" s="4" t="str">
        <x:v>SpecTF</x:v>
      </x:c>
      <x:c r="B396" s="4" t="str">
        <x:v>Security</x:v>
      </x:c>
      <x:c r="C396" s="4" t="n">
        <x:v>10</x:v>
      </x:c>
      <x:c r="D396" s="4" t="n">
        <x:v>2026</x:v>
      </x:c>
      <x:c r="E396" s="4" t="str">
        <x:v>no_variance_shrink</x:v>
      </x:c>
      <x:c r="F396" s="9" t="n">
        <x:v>0</x:v>
      </x:c>
      <x:c r="G396" s="9" t="n">
        <x:v>73.9949897801101</x:v>
      </x:c>
      <x:c r="H396" s="9" t="n">
        <x:v>4.140486573921517</x:v>
      </x:c>
      <x:c r="I396" s="9" t="n">
        <x:v>73.9949897801101</x:v>
      </x:c>
      <x:c r="J396" s="9" t="n">
        <x:v>4.140486573921517</x:v>
      </x:c>
      <x:c r="K396" s="9" t="n">
        <x:v>74.02938825055574</x:v>
      </x:c>
      <x:c r="L396" s="9" t="n">
        <x:v>4.146716797338799</x:v>
      </x:c>
      <x:c r="M396" s="9" t="n">
        <x:v>0</x:v>
      </x:c>
      <x:c r="N396" s="9" t="n">
        <x:v>0</x:v>
      </x:c>
      <x:c r="O396" s="9" t="n">
        <x:v>0.489725112915039</x:v>
      </x:c>
      <x:c r="P396" s="9" t="n">
        <x:v>0.003614602610469</x:v>
      </x:c>
      <x:c r="Q396" s="9" t="n">
        <x:v>50</x:v>
      </x:c>
      <x:c r="R396" s="9" t="n">
        <x:v>1</x:v>
      </x:c>
      <x:c r="S396" s="17" t="b">
        <x:v>0</x:v>
      </x:c>
      <x:c r="T396" s="18"/>
      <x:c r="U396" s="18"/>
    </x:row>
    <x:row r="397" ht="22" customHeight="1">
      <x:c r="A397" s="4" t="str">
        <x:v>CFA</x:v>
      </x:c>
      <x:c r="B397" s="4" t="str">
        <x:v>Security</x:v>
      </x:c>
      <x:c r="C397" s="4" t="n">
        <x:v>10</x:v>
      </x:c>
      <x:c r="D397" s="4" t="n">
        <x:v>2026</x:v>
      </x:c>
      <x:c r="E397" s="4" t="str">
        <x:v>no_variance_shrink</x:v>
      </x:c>
      <x:c r="F397" s="9" t="n">
        <x:v>0</x:v>
      </x:c>
      <x:c r="G397" s="9" t="n">
        <x:v>81.72534727849892</x:v>
      </x:c>
      <x:c r="H397" s="9" t="n">
        <x:v>4.891687168585136</x:v>
      </x:c>
      <x:c r="I397" s="9" t="n">
        <x:v>81.72534727849892</x:v>
      </x:c>
      <x:c r="J397" s="9" t="n">
        <x:v>4.891687168585136</x:v>
      </x:c>
      <x:c r="K397" s="9" t="n">
        <x:v>81.77361109726166</x:v>
      </x:c>
      <x:c r="L397" s="9" t="n">
        <x:v>4.896908303307369</x:v>
      </x:c>
      <x:c r="M397" s="9" t="n">
        <x:v>0</x:v>
      </x:c>
      <x:c r="N397" s="9" t="n">
        <x:v>0</x:v>
      </x:c>
      <x:c r="O397" s="9" t="n">
        <x:v>0.489725112915039</x:v>
      </x:c>
      <x:c r="P397" s="9" t="n">
        <x:v>0.003583957906812</x:v>
      </x:c>
      <x:c r="Q397" s="9" t="n">
        <x:v>50</x:v>
      </x:c>
      <x:c r="R397" s="9" t="n">
        <x:v>1</x:v>
      </x:c>
      <x:c r="S397" s="17" t="b">
        <x:v>0</x:v>
      </x:c>
      <x:c r="T397" s="18"/>
      <x:c r="U397" s="18"/>
    </x:row>
    <x:row r="398" ht="22" customHeight="1">
      <x:c r="A398" s="4" t="str">
        <x:v>Aurora</x:v>
      </x:c>
      <x:c r="B398" s="4" t="str">
        <x:v>Security</x:v>
      </x:c>
      <x:c r="C398" s="4" t="n">
        <x:v>10</x:v>
      </x:c>
      <x:c r="D398" s="4" t="n">
        <x:v>2026</x:v>
      </x:c>
      <x:c r="E398" s="4" t="str">
        <x:v>no_variance_shrink</x:v>
      </x:c>
      <x:c r="F398" s="9" t="n">
        <x:v>1</x:v>
      </x:c>
      <x:c r="G398" s="9" t="n">
        <x:v>84.90057875764339</x:v>
      </x:c>
      <x:c r="H398" s="9" t="n">
        <x:v>4.551266480373219</x:v>
      </x:c>
      <x:c r="I398" s="9" t="n">
        <x:v>84.92796387450605</x:v>
      </x:c>
      <x:c r="J398" s="9" t="n">
        <x:v>4.554328685985878</x:v>
      </x:c>
      <x:c r="K398" s="9" t="n">
        <x:v>84.92796387450605</x:v>
      </x:c>
      <x:c r="L398" s="9" t="n">
        <x:v>4.554328685985878</x:v>
      </x:c>
      <x:c r="M398" s="9" t="n">
        <x:v>0.03225551258117</x:v>
      </x:c>
      <x:c r="N398" s="9" t="n">
        <x:v>0.06728249435326</x:v>
      </x:c>
      <x:c r="O398" s="9" t="n">
        <x:v>0.489725112915039</x:v>
      </x:c>
      <x:c r="P398" s="9" t="n">
        <x:v>0.003627194557339</x:v>
      </x:c>
      <x:c r="Q398" s="9" t="n">
        <x:v>50</x:v>
      </x:c>
      <x:c r="R398" s="9" t="n">
        <x:v>1</x:v>
      </x:c>
      <x:c r="S398" s="17" t="b">
        <x:v>1</x:v>
      </x:c>
      <x:c r="T398" s="18"/>
      <x:c r="U398" s="18"/>
    </x:row>
    <x:row r="399" ht="22" customHeight="1">
      <x:c r="A399" s="4" t="str">
        <x:v>TaTS</x:v>
      </x:c>
      <x:c r="B399" s="4" t="str">
        <x:v>Security</x:v>
      </x:c>
      <x:c r="C399" s="4" t="n">
        <x:v>10</x:v>
      </x:c>
      <x:c r="D399" s="4" t="n">
        <x:v>2027</x:v>
      </x:c>
      <x:c r="E399" s="4" t="str">
        <x:v>no_variance_shrink</x:v>
      </x:c>
      <x:c r="F399" s="9" t="n">
        <x:v>0.5</x:v>
      </x:c>
      <x:c r="G399" s="9" t="n">
        <x:v>83.39170242577858</x:v>
      </x:c>
      <x:c r="H399" s="9" t="n">
        <x:v>4.783439267786219</x:v>
      </x:c>
      <x:c r="I399" s="9" t="n">
        <x:v>83.3917024201534</x:v>
      </x:c>
      <x:c r="J399" s="9" t="n">
        <x:v>4.783439267581329</x:v>
      </x:c>
      <x:c r="K399" s="9" t="n">
        <x:v>83.39170241001034</x:v>
      </x:c>
      <x:c r="L399" s="9" t="n">
        <x:v>4.783439266839996</x:v>
      </x:c>
      <x:c r="M399" s="9" t="n">
        <x:v>-6.745493e-9</x:v>
      </x:c>
      <x:c r="N399" s="9" t="n">
        <x:v>-4.283329e-9</x:v>
      </x:c>
      <x:c r="O399" s="9" t="n">
        <x:v>0.481121480464935</x:v>
      </x:c>
      <x:c r="P399" s="9" t="n">
        <x:v>2.55387e-10</x:v>
      </x:c>
      <x:c r="Q399" s="9" t="n">
        <x:v>50</x:v>
      </x:c>
      <x:c r="R399" s="9" t="n">
        <x:v>0</x:v>
      </x:c>
      <x:c r="S399" s="17" t="b">
        <x:v>0</x:v>
      </x:c>
      <x:c r="T399" s="18"/>
      <x:c r="U399" s="18"/>
    </x:row>
    <x:row r="400" ht="22" customHeight="1">
      <x:c r="A400" s="4" t="str">
        <x:v>MM-TSFlib</x:v>
      </x:c>
      <x:c r="B400" s="4" t="str">
        <x:v>Security</x:v>
      </x:c>
      <x:c r="C400" s="4" t="n">
        <x:v>10</x:v>
      </x:c>
      <x:c r="D400" s="4" t="n">
        <x:v>2027</x:v>
      </x:c>
      <x:c r="E400" s="4" t="str">
        <x:v>no_variance_shrink</x:v>
      </x:c>
      <x:c r="F400" s="9" t="n">
        <x:v>0.75</x:v>
      </x:c>
      <x:c r="G400" s="9" t="n">
        <x:v>97.48980175008192</x:v>
      </x:c>
      <x:c r="H400" s="9" t="n">
        <x:v>6.213066877869424</x:v>
      </x:c>
      <x:c r="I400" s="9" t="n">
        <x:v>97.48980166407482</x:v>
      </x:c>
      <x:c r="J400" s="9" t="n">
        <x:v>6.213066871627001</x:v>
      </x:c>
      <x:c r="K400" s="9" t="n">
        <x:v>97.48980163536932</x:v>
      </x:c>
      <x:c r="L400" s="9" t="n">
        <x:v>6.213066869516624</x:v>
      </x:c>
      <x:c r="M400" s="9" t="n">
        <x:v>-8.8221641e-8</x:v>
      </x:c>
      <x:c r="N400" s="9" t="n">
        <x:v>-1.00472486e-7</x:v>
      </x:c>
      <x:c r="O400" s="9" t="n">
        <x:v>0.481121480464935</x:v>
      </x:c>
      <x:c r="P400" s="9" t="n">
        <x:v>2.797814e-9</x:v>
      </x:c>
      <x:c r="Q400" s="9" t="n">
        <x:v>50</x:v>
      </x:c>
      <x:c r="R400" s="9" t="n">
        <x:v>0</x:v>
      </x:c>
      <x:c r="S400" s="17" t="b">
        <x:v>0</x:v>
      </x:c>
      <x:c r="T400" s="18"/>
      <x:c r="U400" s="18"/>
    </x:row>
    <x:row r="401" ht="22" customHeight="1">
      <x:c r="A401" s="4" t="str">
        <x:v>SpecTF</x:v>
      </x:c>
      <x:c r="B401" s="4" t="str">
        <x:v>Security</x:v>
      </x:c>
      <x:c r="C401" s="4" t="n">
        <x:v>10</x:v>
      </x:c>
      <x:c r="D401" s="4" t="n">
        <x:v>2027</x:v>
      </x:c>
      <x:c r="E401" s="4" t="str">
        <x:v>no_variance_shrink</x:v>
      </x:c>
      <x:c r="F401" s="9" t="n">
        <x:v>0.5</x:v>
      </x:c>
      <x:c r="G401" s="9" t="n">
        <x:v>73.9949897801101</x:v>
      </x:c>
      <x:c r="H401" s="9" t="n">
        <x:v>4.140486573921517</x:v>
      </x:c>
      <x:c r="I401" s="9" t="n">
        <x:v>73.9949897801101</x:v>
      </x:c>
      <x:c r="J401" s="9" t="n">
        <x:v>4.140486573921517</x:v>
      </x:c>
      <x:c r="K401" s="9" t="n">
        <x:v>73.9949897801101</x:v>
      </x:c>
      <x:c r="L401" s="9" t="n">
        <x:v>4.140486573921517</x:v>
      </x:c>
      <x:c r="M401" s="9" t="n">
        <x:v>0</x:v>
      </x:c>
      <x:c r="N401" s="9" t="n">
        <x:v>0</x:v>
      </x:c>
      <x:c r="O401" s="9" t="n">
        <x:v>0.481121480464935</x:v>
      </x:c>
      <x:c r="P401" s="9" t="n">
        <x:v>0</x:v>
      </x:c>
      <x:c r="Q401" s="9" t="n">
        <x:v>50</x:v>
      </x:c>
      <x:c r="R401" s="9" t="n">
        <x:v>0</x:v>
      </x:c>
      <x:c r="S401" s="17" t="b">
        <x:v>0</x:v>
      </x:c>
      <x:c r="T401" s="18"/>
      <x:c r="U401" s="18"/>
    </x:row>
    <x:row r="402" ht="22" customHeight="1">
      <x:c r="A402" s="4" t="str">
        <x:v>CFA</x:v>
      </x:c>
      <x:c r="B402" s="4" t="str">
        <x:v>Security</x:v>
      </x:c>
      <x:c r="C402" s="4" t="n">
        <x:v>10</x:v>
      </x:c>
      <x:c r="D402" s="4" t="n">
        <x:v>2027</x:v>
      </x:c>
      <x:c r="E402" s="4" t="str">
        <x:v>no_variance_shrink</x:v>
      </x:c>
      <x:c r="F402" s="9" t="n">
        <x:v>1</x:v>
      </x:c>
      <x:c r="G402" s="9" t="n">
        <x:v>81.72534727849892</x:v>
      </x:c>
      <x:c r="H402" s="9" t="n">
        <x:v>4.891687168585136</x:v>
      </x:c>
      <x:c r="I402" s="9" t="n">
        <x:v>81.72534727362574</x:v>
      </x:c>
      <x:c r="J402" s="9" t="n">
        <x:v>4.891687168098055</x:v>
      </x:c>
      <x:c r="K402" s="9" t="n">
        <x:v>81.72534727362574</x:v>
      </x:c>
      <x:c r="L402" s="9" t="n">
        <x:v>4.891687168098055</x:v>
      </x:c>
      <x:c r="M402" s="9" t="n">
        <x:v>-5.962864e-9</x:v>
      </x:c>
      <x:c r="N402" s="9" t="n">
        <x:v>-9.957335e-9</x:v>
      </x:c>
      <x:c r="O402" s="9" t="n">
        <x:v>0.481121480464935</x:v>
      </x:c>
      <x:c r="P402" s="9" t="n">
        <x:v>9.0496e-11</x:v>
      </x:c>
      <x:c r="Q402" s="9" t="n">
        <x:v>50</x:v>
      </x:c>
      <x:c r="R402" s="9" t="n">
        <x:v>0</x:v>
      </x:c>
      <x:c r="S402" s="17" t="b">
        <x:v>0</x:v>
      </x:c>
      <x:c r="T402" s="18"/>
      <x:c r="U402" s="18"/>
    </x:row>
    <x:row r="403" ht="22" customHeight="1">
      <x:c r="A403" s="4" t="str">
        <x:v>Aurora</x:v>
      </x:c>
      <x:c r="B403" s="4" t="str">
        <x:v>Security</x:v>
      </x:c>
      <x:c r="C403" s="4" t="n">
        <x:v>10</x:v>
      </x:c>
      <x:c r="D403" s="4" t="n">
        <x:v>2027</x:v>
      </x:c>
      <x:c r="E403" s="4" t="str">
        <x:v>no_variance_shrink</x:v>
      </x:c>
      <x:c r="F403" s="9" t="n">
        <x:v>1</x:v>
      </x:c>
      <x:c r="G403" s="9" t="n">
        <x:v>84.90057875764339</x:v>
      </x:c>
      <x:c r="H403" s="9" t="n">
        <x:v>4.551266480373219</x:v>
      </x:c>
      <x:c r="I403" s="9" t="n">
        <x:v>84.90057874972389</x:v>
      </x:c>
      <x:c r="J403" s="9" t="n">
        <x:v>4.551266479836777</x:v>
      </x:c>
      <x:c r="K403" s="9" t="n">
        <x:v>84.90057874972389</x:v>
      </x:c>
      <x:c r="L403" s="9" t="n">
        <x:v>4.551266479836777</x:v>
      </x:c>
      <x:c r="M403" s="9" t="n">
        <x:v>-9.327961e-9</x:v>
      </x:c>
      <x:c r="N403" s="9" t="n">
        <x:v>-1.1786649e-8</x:v>
      </x:c>
      <x:c r="O403" s="9" t="n">
        <x:v>0.481121480464935</x:v>
      </x:c>
      <x:c r="P403" s="9" t="n">
        <x:v>5.0756e-11</x:v>
      </x:c>
      <x:c r="Q403" s="9" t="n">
        <x:v>50</x:v>
      </x:c>
      <x:c r="R403" s="9" t="n">
        <x:v>0</x:v>
      </x:c>
      <x:c r="S403" s="17" t="b">
        <x:v>0</x:v>
      </x:c>
      <x:c r="T403" s="18"/>
      <x:c r="U403" s="18"/>
    </x:row>
    <x:row r="404" ht="22" customHeight="1">
      <x:c r="A404" s="4" t="str">
        <x:v>TaTS</x:v>
      </x:c>
      <x:c r="B404" s="4" t="str">
        <x:v>Security</x:v>
      </x:c>
      <x:c r="C404" s="4" t="n">
        <x:v>10</x:v>
      </x:c>
      <x:c r="D404" s="4" t="n">
        <x:v>2028</x:v>
      </x:c>
      <x:c r="E404" s="4" t="str">
        <x:v>no_variance_shrink</x:v>
      </x:c>
      <x:c r="F404" s="9" t="n">
        <x:v>0.5</x:v>
      </x:c>
      <x:c r="G404" s="9" t="n">
        <x:v>83.39170242577858</x:v>
      </x:c>
      <x:c r="H404" s="9" t="n">
        <x:v>4.783439267786219</x:v>
      </x:c>
      <x:c r="I404" s="9" t="n">
        <x:v>83.3917024201534</x:v>
      </x:c>
      <x:c r="J404" s="9" t="n">
        <x:v>4.783439267581329</x:v>
      </x:c>
      <x:c r="K404" s="9" t="n">
        <x:v>83.39170241001034</x:v>
      </x:c>
      <x:c r="L404" s="9" t="n">
        <x:v>4.783439266839996</x:v>
      </x:c>
      <x:c r="M404" s="9" t="n">
        <x:v>-6.745493e-9</x:v>
      </x:c>
      <x:c r="N404" s="9" t="n">
        <x:v>-4.283329e-9</x:v>
      </x:c>
      <x:c r="O404" s="9" t="n">
        <x:v>0.51503449678421</x:v>
      </x:c>
      <x:c r="P404" s="9" t="n">
        <x:v>2.55387e-10</x:v>
      </x:c>
      <x:c r="Q404" s="9" t="n">
        <x:v>50</x:v>
      </x:c>
      <x:c r="R404" s="9" t="n">
        <x:v>0</x:v>
      </x:c>
      <x:c r="S404" s="17" t="b">
        <x:v>0</x:v>
      </x:c>
      <x:c r="T404" s="18"/>
      <x:c r="U404" s="18"/>
    </x:row>
    <x:row r="405" ht="22" customHeight="1">
      <x:c r="A405" s="4" t="str">
        <x:v>MM-TSFlib</x:v>
      </x:c>
      <x:c r="B405" s="4" t="str">
        <x:v>Security</x:v>
      </x:c>
      <x:c r="C405" s="4" t="n">
        <x:v>10</x:v>
      </x:c>
      <x:c r="D405" s="4" t="n">
        <x:v>2028</x:v>
      </x:c>
      <x:c r="E405" s="4" t="str">
        <x:v>no_variance_shrink</x:v>
      </x:c>
      <x:c r="F405" s="9" t="n">
        <x:v>0.75</x:v>
      </x:c>
      <x:c r="G405" s="9" t="n">
        <x:v>97.48980175008192</x:v>
      </x:c>
      <x:c r="H405" s="9" t="n">
        <x:v>6.213066877869424</x:v>
      </x:c>
      <x:c r="I405" s="9" t="n">
        <x:v>97.48980166407482</x:v>
      </x:c>
      <x:c r="J405" s="9" t="n">
        <x:v>6.213066871627001</x:v>
      </x:c>
      <x:c r="K405" s="9" t="n">
        <x:v>97.48980163536932</x:v>
      </x:c>
      <x:c r="L405" s="9" t="n">
        <x:v>6.213066869516624</x:v>
      </x:c>
      <x:c r="M405" s="9" t="n">
        <x:v>-8.8221641e-8</x:v>
      </x:c>
      <x:c r="N405" s="9" t="n">
        <x:v>-1.00472486e-7</x:v>
      </x:c>
      <x:c r="O405" s="9" t="n">
        <x:v>0.51503449678421</x:v>
      </x:c>
      <x:c r="P405" s="9" t="n">
        <x:v>2.797814e-9</x:v>
      </x:c>
      <x:c r="Q405" s="9" t="n">
        <x:v>50</x:v>
      </x:c>
      <x:c r="R405" s="9" t="n">
        <x:v>0</x:v>
      </x:c>
      <x:c r="S405" s="17" t="b">
        <x:v>0</x:v>
      </x:c>
      <x:c r="T405" s="18"/>
      <x:c r="U405" s="18"/>
    </x:row>
    <x:row r="406" ht="22" customHeight="1">
      <x:c r="A406" s="4" t="str">
        <x:v>SpecTF</x:v>
      </x:c>
      <x:c r="B406" s="4" t="str">
        <x:v>Security</x:v>
      </x:c>
      <x:c r="C406" s="4" t="n">
        <x:v>10</x:v>
      </x:c>
      <x:c r="D406" s="4" t="n">
        <x:v>2028</x:v>
      </x:c>
      <x:c r="E406" s="4" t="str">
        <x:v>no_variance_shrink</x:v>
      </x:c>
      <x:c r="F406" s="9" t="n">
        <x:v>0.5</x:v>
      </x:c>
      <x:c r="G406" s="9" t="n">
        <x:v>73.9949897801101</x:v>
      </x:c>
      <x:c r="H406" s="9" t="n">
        <x:v>4.140486573921517</x:v>
      </x:c>
      <x:c r="I406" s="9" t="n">
        <x:v>73.9949897801101</x:v>
      </x:c>
      <x:c r="J406" s="9" t="n">
        <x:v>4.140486573921517</x:v>
      </x:c>
      <x:c r="K406" s="9" t="n">
        <x:v>73.9949897801101</x:v>
      </x:c>
      <x:c r="L406" s="9" t="n">
        <x:v>4.140486573921517</x:v>
      </x:c>
      <x:c r="M406" s="9" t="n">
        <x:v>0</x:v>
      </x:c>
      <x:c r="N406" s="9" t="n">
        <x:v>0</x:v>
      </x:c>
      <x:c r="O406" s="9" t="n">
        <x:v>0.51503449678421</x:v>
      </x:c>
      <x:c r="P406" s="9" t="n">
        <x:v>0</x:v>
      </x:c>
      <x:c r="Q406" s="9" t="n">
        <x:v>50</x:v>
      </x:c>
      <x:c r="R406" s="9" t="n">
        <x:v>0</x:v>
      </x:c>
      <x:c r="S406" s="17" t="b">
        <x:v>0</x:v>
      </x:c>
      <x:c r="T406" s="18"/>
      <x:c r="U406" s="18"/>
    </x:row>
    <x:row r="407" ht="22" customHeight="1">
      <x:c r="A407" s="4" t="str">
        <x:v>CFA</x:v>
      </x:c>
      <x:c r="B407" s="4" t="str">
        <x:v>Security</x:v>
      </x:c>
      <x:c r="C407" s="4" t="n">
        <x:v>10</x:v>
      </x:c>
      <x:c r="D407" s="4" t="n">
        <x:v>2028</x:v>
      </x:c>
      <x:c r="E407" s="4" t="str">
        <x:v>no_variance_shrink</x:v>
      </x:c>
      <x:c r="F407" s="9" t="n">
        <x:v>1</x:v>
      </x:c>
      <x:c r="G407" s="9" t="n">
        <x:v>81.72534727849892</x:v>
      </x:c>
      <x:c r="H407" s="9" t="n">
        <x:v>4.891687168585136</x:v>
      </x:c>
      <x:c r="I407" s="9" t="n">
        <x:v>81.72534727362574</x:v>
      </x:c>
      <x:c r="J407" s="9" t="n">
        <x:v>4.891687168098055</x:v>
      </x:c>
      <x:c r="K407" s="9" t="n">
        <x:v>81.72534727362574</x:v>
      </x:c>
      <x:c r="L407" s="9" t="n">
        <x:v>4.891687168098055</x:v>
      </x:c>
      <x:c r="M407" s="9" t="n">
        <x:v>-5.962864e-9</x:v>
      </x:c>
      <x:c r="N407" s="9" t="n">
        <x:v>-9.957335e-9</x:v>
      </x:c>
      <x:c r="O407" s="9" t="n">
        <x:v>0.51503449678421</x:v>
      </x:c>
      <x:c r="P407" s="9" t="n">
        <x:v>9.0496e-11</x:v>
      </x:c>
      <x:c r="Q407" s="9" t="n">
        <x:v>50</x:v>
      </x:c>
      <x:c r="R407" s="9" t="n">
        <x:v>0</x:v>
      </x:c>
      <x:c r="S407" s="17" t="b">
        <x:v>0</x:v>
      </x:c>
      <x:c r="T407" s="18"/>
      <x:c r="U407" s="18"/>
    </x:row>
    <x:row r="408" ht="22" customHeight="1">
      <x:c r="A408" s="4" t="str">
        <x:v>Aurora</x:v>
      </x:c>
      <x:c r="B408" s="4" t="str">
        <x:v>Security</x:v>
      </x:c>
      <x:c r="C408" s="4" t="n">
        <x:v>10</x:v>
      </x:c>
      <x:c r="D408" s="4" t="n">
        <x:v>2028</x:v>
      </x:c>
      <x:c r="E408" s="4" t="str">
        <x:v>no_variance_shrink</x:v>
      </x:c>
      <x:c r="F408" s="9" t="n">
        <x:v>1</x:v>
      </x:c>
      <x:c r="G408" s="9" t="n">
        <x:v>84.90057875764339</x:v>
      </x:c>
      <x:c r="H408" s="9" t="n">
        <x:v>4.551266480373219</x:v>
      </x:c>
      <x:c r="I408" s="9" t="n">
        <x:v>84.90057874972389</x:v>
      </x:c>
      <x:c r="J408" s="9" t="n">
        <x:v>4.551266479836777</x:v>
      </x:c>
      <x:c r="K408" s="9" t="n">
        <x:v>84.90057874972389</x:v>
      </x:c>
      <x:c r="L408" s="9" t="n">
        <x:v>4.551266479836777</x:v>
      </x:c>
      <x:c r="M408" s="9" t="n">
        <x:v>-9.327961e-9</x:v>
      </x:c>
      <x:c r="N408" s="9" t="n">
        <x:v>-1.1786649e-8</x:v>
      </x:c>
      <x:c r="O408" s="9" t="n">
        <x:v>0.51503449678421</x:v>
      </x:c>
      <x:c r="P408" s="9" t="n">
        <x:v>5.0756e-11</x:v>
      </x:c>
      <x:c r="Q408" s="9" t="n">
        <x:v>50</x:v>
      </x:c>
      <x:c r="R408" s="9" t="n">
        <x:v>0</x:v>
      </x:c>
      <x:c r="S408" s="17" t="b">
        <x:v>0</x:v>
      </x:c>
      <x:c r="T408" s="18"/>
      <x:c r="U408" s="18"/>
    </x:row>
    <x:row r="409" ht="22" customHeight="1">
      <x:c r="A409" s="4" t="str">
        <x:v>TaTS</x:v>
      </x:c>
      <x:c r="B409" s="4" t="str">
        <x:v>Security</x:v>
      </x:c>
      <x:c r="C409" s="4" t="n">
        <x:v>12</x:v>
      </x:c>
      <x:c r="D409" s="4" t="n">
        <x:v>2026</x:v>
      </x:c>
      <x:c r="E409" s="4" t="str">
        <x:v>no_variance_shrink</x:v>
      </x:c>
      <x:c r="F409" s="9" t="n">
        <x:v>0</x:v>
      </x:c>
      <x:c r="G409" s="9" t="n">
        <x:v>80.98327342565297</x:v>
      </x:c>
      <x:c r="H409" s="9" t="n">
        <x:v>4.631983135304633</x:v>
      </x:c>
      <x:c r="I409" s="9" t="n">
        <x:v>80.98327342565297</x:v>
      </x:c>
      <x:c r="J409" s="9" t="n">
        <x:v>4.631983135304633</x:v>
      </x:c>
      <x:c r="K409" s="9" t="n">
        <x:v>81.12289055665082</x:v>
      </x:c>
      <x:c r="L409" s="9" t="n">
        <x:v>4.644063692567418</x:v>
      </x:c>
      <x:c r="M409" s="9" t="n">
        <x:v>0</x:v>
      </x:c>
      <x:c r="N409" s="9" t="n">
        <x:v>0</x:v>
      </x:c>
      <x:c r="O409" s="9" t="n">
        <x:v>0.480308145284653</x:v>
      </x:c>
      <x:c r="P409" s="9" t="n">
        <x:v>0.005963382776827</x:v>
      </x:c>
      <x:c r="Q409" s="9" t="n">
        <x:v>48</x:v>
      </x:c>
      <x:c r="R409" s="9" t="n">
        <x:v>2</x:v>
      </x:c>
      <x:c r="S409" s="17" t="b">
        <x:v>0</x:v>
      </x:c>
      <x:c r="T409" s="18"/>
      <x:c r="U409" s="18"/>
    </x:row>
    <x:row r="410" ht="22" customHeight="1">
      <x:c r="A410" s="4" t="str">
        <x:v>MM-TSFlib</x:v>
      </x:c>
      <x:c r="B410" s="4" t="str">
        <x:v>Security</x:v>
      </x:c>
      <x:c r="C410" s="4" t="n">
        <x:v>12</x:v>
      </x:c>
      <x:c r="D410" s="4" t="n">
        <x:v>2026</x:v>
      </x:c>
      <x:c r="E410" s="4" t="str">
        <x:v>no_variance_shrink</x:v>
      </x:c>
      <x:c r="F410" s="9" t="n">
        <x:v>1</x:v>
      </x:c>
      <x:c r="G410" s="9" t="n">
        <x:v>96.64963786673496</x:v>
      </x:c>
      <x:c r="H410" s="9" t="n">
        <x:v>5.996091651229411</x:v>
      </x:c>
      <x:c r="I410" s="9" t="n">
        <x:v>96.37340189957978</x:v>
      </x:c>
      <x:c r="J410" s="9" t="n">
        <x:v>5.96982465088028</x:v>
      </x:c>
      <x:c r="K410" s="9" t="n">
        <x:v>96.37340189957978</x:v>
      </x:c>
      <x:c r="L410" s="9" t="n">
        <x:v>5.96982465088028</x:v>
      </x:c>
      <x:c r="M410" s="9" t="n">
        <x:v>-0.285811693920757</x:v>
      </x:c>
      <x:c r="N410" s="9" t="n">
        <x:v>-0.438068693358706</x:v>
      </x:c>
      <x:c r="O410" s="9" t="n">
        <x:v>0.480308145284653</x:v>
      </x:c>
      <x:c r="P410" s="9" t="n">
        <x:v>0.006213915999979</x:v>
      </x:c>
      <x:c r="Q410" s="9" t="n">
        <x:v>48</x:v>
      </x:c>
      <x:c r="R410" s="9" t="n">
        <x:v>2</x:v>
      </x:c>
      <x:c r="S410" s="17" t="b">
        <x:v>1</x:v>
      </x:c>
      <x:c r="T410" s="18"/>
      <x:c r="U410" s="18"/>
    </x:row>
    <x:row r="411" ht="22" customHeight="1">
      <x:c r="A411" s="4" t="str">
        <x:v>SpecTF</x:v>
      </x:c>
      <x:c r="B411" s="4" t="str">
        <x:v>Security</x:v>
      </x:c>
      <x:c r="C411" s="4" t="n">
        <x:v>12</x:v>
      </x:c>
      <x:c r="D411" s="4" t="n">
        <x:v>2026</x:v>
      </x:c>
      <x:c r="E411" s="4" t="str">
        <x:v>no_variance_shrink</x:v>
      </x:c>
      <x:c r="F411" s="9" t="n">
        <x:v>0</x:v>
      </x:c>
      <x:c r="G411" s="9" t="n">
        <x:v>78.07562570941445</x:v>
      </x:c>
      <x:c r="H411" s="9" t="n">
        <x:v>4.343691432009412</x:v>
      </x:c>
      <x:c r="I411" s="9" t="n">
        <x:v>78.07562570941445</x:v>
      </x:c>
      <x:c r="J411" s="9" t="n">
        <x:v>4.343691432009412</x:v>
      </x:c>
      <x:c r="K411" s="9" t="n">
        <x:v>78.19839345872566</x:v>
      </x:c>
      <x:c r="L411" s="9" t="n">
        <x:v>4.359335150661839</x:v>
      </x:c>
      <x:c r="M411" s="9" t="n">
        <x:v>0</x:v>
      </x:c>
      <x:c r="N411" s="9" t="n">
        <x:v>0</x:v>
      </x:c>
      <x:c r="O411" s="9" t="n">
        <x:v>0.480308145284653</x:v>
      </x:c>
      <x:c r="P411" s="9" t="n">
        <x:v>0.005895925220102</x:v>
      </x:c>
      <x:c r="Q411" s="9" t="n">
        <x:v>48</x:v>
      </x:c>
      <x:c r="R411" s="9" t="n">
        <x:v>2</x:v>
      </x:c>
      <x:c r="S411" s="17" t="b">
        <x:v>0</x:v>
      </x:c>
      <x:c r="T411" s="18"/>
      <x:c r="U411" s="18"/>
    </x:row>
    <x:row r="412" ht="22" customHeight="1">
      <x:c r="A412" s="4" t="str">
        <x:v>CFA</x:v>
      </x:c>
      <x:c r="B412" s="4" t="str">
        <x:v>Security</x:v>
      </x:c>
      <x:c r="C412" s="4" t="n">
        <x:v>12</x:v>
      </x:c>
      <x:c r="D412" s="4" t="n">
        <x:v>2026</x:v>
      </x:c>
      <x:c r="E412" s="4" t="str">
        <x:v>no_variance_shrink</x:v>
      </x:c>
      <x:c r="F412" s="9" t="n">
        <x:v>0</x:v>
      </x:c>
      <x:c r="G412" s="9" t="n">
        <x:v>101.22611710260573</x:v>
      </x:c>
      <x:c r="H412" s="9" t="n">
        <x:v>5.842459637763871</x:v>
      </x:c>
      <x:c r="I412" s="9" t="n">
        <x:v>101.22611710260573</x:v>
      </x:c>
      <x:c r="J412" s="9" t="n">
        <x:v>5.842459637763871</x:v>
      </x:c>
      <x:c r="K412" s="9" t="n">
        <x:v>101.5074888463466</x:v>
      </x:c>
      <x:c r="L412" s="9" t="n">
        <x:v>5.855041411435296</x:v>
      </x:c>
      <x:c r="M412" s="9" t="n">
        <x:v>0</x:v>
      </x:c>
      <x:c r="N412" s="9" t="n">
        <x:v>0</x:v>
      </x:c>
      <x:c r="O412" s="9" t="n">
        <x:v>0.480308145284653</x:v>
      </x:c>
      <x:c r="P412" s="9" t="n">
        <x:v>0.005895671900362</x:v>
      </x:c>
      <x:c r="Q412" s="9" t="n">
        <x:v>48</x:v>
      </x:c>
      <x:c r="R412" s="9" t="n">
        <x:v>2</x:v>
      </x:c>
      <x:c r="S412" s="17" t="b">
        <x:v>0</x:v>
      </x:c>
      <x:c r="T412" s="18"/>
      <x:c r="U412" s="18"/>
    </x:row>
    <x:row r="413" ht="22" customHeight="1">
      <x:c r="A413" s="4" t="str">
        <x:v>Aurora</x:v>
      </x:c>
      <x:c r="B413" s="4" t="str">
        <x:v>Security</x:v>
      </x:c>
      <x:c r="C413" s="4" t="n">
        <x:v>12</x:v>
      </x:c>
      <x:c r="D413" s="4" t="n">
        <x:v>2026</x:v>
      </x:c>
      <x:c r="E413" s="4" t="str">
        <x:v>no_variance_shrink</x:v>
      </x:c>
      <x:c r="F413" s="9" t="n">
        <x:v>1</x:v>
      </x:c>
      <x:c r="G413" s="9" t="n">
        <x:v>89.22429087175277</x:v>
      </x:c>
      <x:c r="H413" s="9" t="n">
        <x:v>4.707309610690572</x:v>
      </x:c>
      <x:c r="I413" s="9" t="n">
        <x:v>89.27699309621102</x:v>
      </x:c>
      <x:c r="J413" s="9" t="n">
        <x:v>4.712457787363544</x:v>
      </x:c>
      <x:c r="K413" s="9" t="n">
        <x:v>89.27699309621102</x:v>
      </x:c>
      <x:c r="L413" s="9" t="n">
        <x:v>4.712457787363544</x:v>
      </x:c>
      <x:c r="M413" s="9" t="n">
        <x:v>0.059067126164103</x:v>
      </x:c>
      <x:c r="N413" s="9" t="n">
        <x:v>0.109365584564047</x:v>
      </x:c>
      <x:c r="O413" s="9" t="n">
        <x:v>0.480308145284653</x:v>
      </x:c>
      <x:c r="P413" s="9" t="n">
        <x:v>0.005885353311896</x:v>
      </x:c>
      <x:c r="Q413" s="9" t="n">
        <x:v>48</x:v>
      </x:c>
      <x:c r="R413" s="9" t="n">
        <x:v>2</x:v>
      </x:c>
      <x:c r="S413" s="17" t="b">
        <x:v>1</x:v>
      </x:c>
      <x:c r="T413" s="18"/>
      <x:c r="U413" s="18"/>
    </x:row>
    <x:row r="414" ht="22" customHeight="1">
      <x:c r="A414" s="4" t="str">
        <x:v>TaTS</x:v>
      </x:c>
      <x:c r="B414" s="4" t="str">
        <x:v>Security</x:v>
      </x:c>
      <x:c r="C414" s="4" t="n">
        <x:v>12</x:v>
      </x:c>
      <x:c r="D414" s="4" t="n">
        <x:v>2027</x:v>
      </x:c>
      <x:c r="E414" s="4" t="str">
        <x:v>no_variance_shrink</x:v>
      </x:c>
      <x:c r="F414" s="9" t="n">
        <x:v>0</x:v>
      </x:c>
      <x:c r="G414" s="9" t="n">
        <x:v>80.98327342565297</x:v>
      </x:c>
      <x:c r="H414" s="9" t="n">
        <x:v>4.631983135304633</x:v>
      </x:c>
      <x:c r="I414" s="9" t="n">
        <x:v>80.98327342565297</x:v>
      </x:c>
      <x:c r="J414" s="9" t="n">
        <x:v>4.631983135304633</x:v>
      </x:c>
      <x:c r="K414" s="9" t="n">
        <x:v>80.98327342795571</x:v>
      </x:c>
      <x:c r="L414" s="9" t="n">
        <x:v>4.631983135511594</x:v>
      </x:c>
      <x:c r="M414" s="9" t="n">
        <x:v>0</x:v>
      </x:c>
      <x:c r="N414" s="9" t="n">
        <x:v>0</x:v>
      </x:c>
      <x:c r="O414" s="9" t="n">
        <x:v>0.481117010116577</x:v>
      </x:c>
      <x:c r="P414" s="9" t="n">
        <x:v>1.9754e-11</x:v>
      </x:c>
      <x:c r="Q414" s="9" t="n">
        <x:v>48</x:v>
      </x:c>
      <x:c r="R414" s="9" t="n">
        <x:v>0</x:v>
      </x:c>
      <x:c r="S414" s="17" t="b">
        <x:v>0</x:v>
      </x:c>
      <x:c r="T414" s="18"/>
      <x:c r="U414" s="18"/>
    </x:row>
    <x:row r="415" ht="22" customHeight="1">
      <x:c r="A415" s="4" t="str">
        <x:v>MM-TSFlib</x:v>
      </x:c>
      <x:c r="B415" s="4" t="str">
        <x:v>Security</x:v>
      </x:c>
      <x:c r="C415" s="4" t="n">
        <x:v>12</x:v>
      </x:c>
      <x:c r="D415" s="4" t="n">
        <x:v>2027</x:v>
      </x:c>
      <x:c r="E415" s="4" t="str">
        <x:v>no_variance_shrink</x:v>
      </x:c>
      <x:c r="F415" s="9" t="n">
        <x:v>0.75</x:v>
      </x:c>
      <x:c r="G415" s="9" t="n">
        <x:v>96.64963786673496</x:v>
      </x:c>
      <x:c r="H415" s="9" t="n">
        <x:v>5.996091651229411</x:v>
      </x:c>
      <x:c r="I415" s="9" t="n">
        <x:v>96.6496378796732</x:v>
      </x:c>
      <x:c r="J415" s="9" t="n">
        <x:v>5.996091651972822</x:v>
      </x:c>
      <x:c r="K415" s="9" t="n">
        <x:v>96.64963788739054</x:v>
      </x:c>
      <x:c r="L415" s="9" t="n">
        <x:v>5.996091652713087</x:v>
      </x:c>
      <x:c r="M415" s="9" t="n">
        <x:v>1.3386736e-8</x:v>
      </x:c>
      <x:c r="N415" s="9" t="n">
        <x:v>1.239826e-8</x:v>
      </x:c>
      <x:c r="O415" s="9" t="n">
        <x:v>0.481117010116577</x:v>
      </x:c>
      <x:c r="P415" s="9" t="n">
        <x:v>1.523208e-9</x:v>
      </x:c>
      <x:c r="Q415" s="9" t="n">
        <x:v>48</x:v>
      </x:c>
      <x:c r="R415" s="9" t="n">
        <x:v>0</x:v>
      </x:c>
      <x:c r="S415" s="17" t="b">
        <x:v>0</x:v>
      </x:c>
      <x:c r="T415" s="18"/>
      <x:c r="U415" s="18"/>
    </x:row>
    <x:row r="416" ht="22" customHeight="1">
      <x:c r="A416" s="4" t="str">
        <x:v>SpecTF</x:v>
      </x:c>
      <x:c r="B416" s="4" t="str">
        <x:v>Security</x:v>
      </x:c>
      <x:c r="C416" s="4" t="n">
        <x:v>12</x:v>
      </x:c>
      <x:c r="D416" s="4" t="n">
        <x:v>2027</x:v>
      </x:c>
      <x:c r="E416" s="4" t="str">
        <x:v>no_variance_shrink</x:v>
      </x:c>
      <x:c r="F416" s="9" t="n">
        <x:v>1</x:v>
      </x:c>
      <x:c r="G416" s="9" t="n">
        <x:v>78.07562570941445</x:v>
      </x:c>
      <x:c r="H416" s="9" t="n">
        <x:v>4.343691432009412</x:v>
      </x:c>
      <x:c r="I416" s="9" t="n">
        <x:v>78.07562570941445</x:v>
      </x:c>
      <x:c r="J416" s="9" t="n">
        <x:v>4.343691432009412</x:v>
      </x:c>
      <x:c r="K416" s="9" t="n">
        <x:v>78.07562570941445</x:v>
      </x:c>
      <x:c r="L416" s="9" t="n">
        <x:v>4.343691432009412</x:v>
      </x:c>
      <x:c r="M416" s="9" t="n">
        <x:v>0</x:v>
      </x:c>
      <x:c r="N416" s="9" t="n">
        <x:v>0</x:v>
      </x:c>
      <x:c r="O416" s="9" t="n">
        <x:v>0.481117010116577</x:v>
      </x:c>
      <x:c r="P416" s="9" t="n">
        <x:v>0</x:v>
      </x:c>
      <x:c r="Q416" s="9" t="n">
        <x:v>48</x:v>
      </x:c>
      <x:c r="R416" s="9" t="n">
        <x:v>0</x:v>
      </x:c>
      <x:c r="S416" s="17" t="b">
        <x:v>0</x:v>
      </x:c>
      <x:c r="T416" s="18"/>
      <x:c r="U416" s="18"/>
    </x:row>
    <x:row r="417" ht="22" customHeight="1">
      <x:c r="A417" s="4" t="str">
        <x:v>CFA</x:v>
      </x:c>
      <x:c r="B417" s="4" t="str">
        <x:v>Security</x:v>
      </x:c>
      <x:c r="C417" s="4" t="n">
        <x:v>12</x:v>
      </x:c>
      <x:c r="D417" s="4" t="n">
        <x:v>2027</x:v>
      </x:c>
      <x:c r="E417" s="4" t="str">
        <x:v>no_variance_shrink</x:v>
      </x:c>
      <x:c r="F417" s="9" t="n">
        <x:v>0</x:v>
      </x:c>
      <x:c r="G417" s="9" t="n">
        <x:v>101.22611710260573</x:v>
      </x:c>
      <x:c r="H417" s="9" t="n">
        <x:v>5.842459637763871</x:v>
      </x:c>
      <x:c r="I417" s="9" t="n">
        <x:v>101.22611710260573</x:v>
      </x:c>
      <x:c r="J417" s="9" t="n">
        <x:v>5.842459637763871</x:v>
      </x:c>
      <x:c r="K417" s="9" t="n">
        <x:v>101.22611710452222</x:v>
      </x:c>
      <x:c r="L417" s="9" t="n">
        <x:v>5.842459638145455</x:v>
      </x:c>
      <x:c r="M417" s="9" t="n">
        <x:v>0</x:v>
      </x:c>
      <x:c r="N417" s="9" t="n">
        <x:v>0</x:v>
      </x:c>
      <x:c r="O417" s="9" t="n">
        <x:v>0.481117010116577</x:v>
      </x:c>
      <x:c r="P417" s="9" t="n">
        <x:v>5.1153e-11</x:v>
      </x:c>
      <x:c r="Q417" s="9" t="n">
        <x:v>48</x:v>
      </x:c>
      <x:c r="R417" s="9" t="n">
        <x:v>0</x:v>
      </x:c>
      <x:c r="S417" s="17" t="b">
        <x:v>0</x:v>
      </x:c>
      <x:c r="T417" s="18"/>
      <x:c r="U417" s="18"/>
    </x:row>
    <x:row r="418" ht="22" customHeight="1">
      <x:c r="A418" s="4" t="str">
        <x:v>Aurora</x:v>
      </x:c>
      <x:c r="B418" s="4" t="str">
        <x:v>Security</x:v>
      </x:c>
      <x:c r="C418" s="4" t="n">
        <x:v>12</x:v>
      </x:c>
      <x:c r="D418" s="4" t="n">
        <x:v>2027</x:v>
      </x:c>
      <x:c r="E418" s="4" t="str">
        <x:v>no_variance_shrink</x:v>
      </x:c>
      <x:c r="F418" s="9" t="n">
        <x:v>0</x:v>
      </x:c>
      <x:c r="G418" s="9" t="n">
        <x:v>89.22429087175277</x:v>
      </x:c>
      <x:c r="H418" s="9" t="n">
        <x:v>4.707309610690572</x:v>
      </x:c>
      <x:c r="I418" s="9" t="n">
        <x:v>89.22429087175277</x:v>
      </x:c>
      <x:c r="J418" s="9" t="n">
        <x:v>4.707309610690572</x:v>
      </x:c>
      <x:c r="K418" s="9" t="n">
        <x:v>89.22429087981067</x:v>
      </x:c>
      <x:c r="L418" s="9" t="n">
        <x:v>4.707309610923403</x:v>
      </x:c>
      <x:c r="M418" s="9" t="n">
        <x:v>0</x:v>
      </x:c>
      <x:c r="N418" s="9" t="n">
        <x:v>0</x:v>
      </x:c>
      <x:c r="O418" s="9" t="n">
        <x:v>0.481117010116577</x:v>
      </x:c>
      <x:c r="P418" s="9" t="n">
        <x:v>5.3201e-11</x:v>
      </x:c>
      <x:c r="Q418" s="9" t="n">
        <x:v>48</x:v>
      </x:c>
      <x:c r="R418" s="9" t="n">
        <x:v>0</x:v>
      </x:c>
      <x:c r="S418" s="17" t="b">
        <x:v>0</x:v>
      </x:c>
      <x:c r="T418" s="18"/>
      <x:c r="U418" s="18"/>
    </x:row>
    <x:row r="419" ht="22" customHeight="1">
      <x:c r="A419" s="4" t="str">
        <x:v>TaTS</x:v>
      </x:c>
      <x:c r="B419" s="4" t="str">
        <x:v>Security</x:v>
      </x:c>
      <x:c r="C419" s="4" t="n">
        <x:v>12</x:v>
      </x:c>
      <x:c r="D419" s="4" t="n">
        <x:v>2028</x:v>
      </x:c>
      <x:c r="E419" s="4" t="str">
        <x:v>no_variance_shrink</x:v>
      </x:c>
      <x:c r="F419" s="9" t="n">
        <x:v>0</x:v>
      </x:c>
      <x:c r="G419" s="9" t="n">
        <x:v>80.98327342565297</x:v>
      </x:c>
      <x:c r="H419" s="9" t="n">
        <x:v>4.631983135304633</x:v>
      </x:c>
      <x:c r="I419" s="9" t="n">
        <x:v>80.98327342565297</x:v>
      </x:c>
      <x:c r="J419" s="9" t="n">
        <x:v>4.631983135304633</x:v>
      </x:c>
      <x:c r="K419" s="9" t="n">
        <x:v>80.98327342795571</x:v>
      </x:c>
      <x:c r="L419" s="9" t="n">
        <x:v>4.631983135511594</x:v>
      </x:c>
      <x:c r="M419" s="9" t="n">
        <x:v>0</x:v>
      </x:c>
      <x:c r="N419" s="9" t="n">
        <x:v>0</x:v>
      </x:c>
      <x:c r="O419" s="9" t="n">
        <x:v>0.515016973018646</x:v>
      </x:c>
      <x:c r="P419" s="9" t="n">
        <x:v>1.9754e-11</x:v>
      </x:c>
      <x:c r="Q419" s="9" t="n">
        <x:v>48</x:v>
      </x:c>
      <x:c r="R419" s="9" t="n">
        <x:v>0</x:v>
      </x:c>
      <x:c r="S419" s="17" t="b">
        <x:v>0</x:v>
      </x:c>
      <x:c r="T419" s="18"/>
      <x:c r="U419" s="18"/>
    </x:row>
    <x:row r="420" ht="22" customHeight="1">
      <x:c r="A420" s="4" t="str">
        <x:v>MM-TSFlib</x:v>
      </x:c>
      <x:c r="B420" s="4" t="str">
        <x:v>Security</x:v>
      </x:c>
      <x:c r="C420" s="4" t="n">
        <x:v>12</x:v>
      </x:c>
      <x:c r="D420" s="4" t="n">
        <x:v>2028</x:v>
      </x:c>
      <x:c r="E420" s="4" t="str">
        <x:v>no_variance_shrink</x:v>
      </x:c>
      <x:c r="F420" s="9" t="n">
        <x:v>0.75</x:v>
      </x:c>
      <x:c r="G420" s="9" t="n">
        <x:v>96.64963786673496</x:v>
      </x:c>
      <x:c r="H420" s="9" t="n">
        <x:v>5.996091651229411</x:v>
      </x:c>
      <x:c r="I420" s="9" t="n">
        <x:v>96.6496378796732</x:v>
      </x:c>
      <x:c r="J420" s="9" t="n">
        <x:v>5.996091651972822</x:v>
      </x:c>
      <x:c r="K420" s="9" t="n">
        <x:v>96.64963788739054</x:v>
      </x:c>
      <x:c r="L420" s="9" t="n">
        <x:v>5.996091652713087</x:v>
      </x:c>
      <x:c r="M420" s="9" t="n">
        <x:v>1.3386736e-8</x:v>
      </x:c>
      <x:c r="N420" s="9" t="n">
        <x:v>1.239826e-8</x:v>
      </x:c>
      <x:c r="O420" s="9" t="n">
        <x:v>0.515016973018646</x:v>
      </x:c>
      <x:c r="P420" s="9" t="n">
        <x:v>1.523208e-9</x:v>
      </x:c>
      <x:c r="Q420" s="9" t="n">
        <x:v>48</x:v>
      </x:c>
      <x:c r="R420" s="9" t="n">
        <x:v>0</x:v>
      </x:c>
      <x:c r="S420" s="17" t="b">
        <x:v>0</x:v>
      </x:c>
      <x:c r="T420" s="18"/>
      <x:c r="U420" s="18"/>
    </x:row>
    <x:row r="421" ht="22" customHeight="1">
      <x:c r="A421" s="4" t="str">
        <x:v>SpecTF</x:v>
      </x:c>
      <x:c r="B421" s="4" t="str">
        <x:v>Security</x:v>
      </x:c>
      <x:c r="C421" s="4" t="n">
        <x:v>12</x:v>
      </x:c>
      <x:c r="D421" s="4" t="n">
        <x:v>2028</x:v>
      </x:c>
      <x:c r="E421" s="4" t="str">
        <x:v>no_variance_shrink</x:v>
      </x:c>
      <x:c r="F421" s="9" t="n">
        <x:v>1</x:v>
      </x:c>
      <x:c r="G421" s="9" t="n">
        <x:v>78.07562570941445</x:v>
      </x:c>
      <x:c r="H421" s="9" t="n">
        <x:v>4.343691432009412</x:v>
      </x:c>
      <x:c r="I421" s="9" t="n">
        <x:v>78.07562570941445</x:v>
      </x:c>
      <x:c r="J421" s="9" t="n">
        <x:v>4.343691432009412</x:v>
      </x:c>
      <x:c r="K421" s="9" t="n">
        <x:v>78.07562570941445</x:v>
      </x:c>
      <x:c r="L421" s="9" t="n">
        <x:v>4.343691432009412</x:v>
      </x:c>
      <x:c r="M421" s="9" t="n">
        <x:v>0</x:v>
      </x:c>
      <x:c r="N421" s="9" t="n">
        <x:v>0</x:v>
      </x:c>
      <x:c r="O421" s="9" t="n">
        <x:v>0.515016973018646</x:v>
      </x:c>
      <x:c r="P421" s="9" t="n">
        <x:v>0</x:v>
      </x:c>
      <x:c r="Q421" s="9" t="n">
        <x:v>48</x:v>
      </x:c>
      <x:c r="R421" s="9" t="n">
        <x:v>0</x:v>
      </x:c>
      <x:c r="S421" s="17" t="b">
        <x:v>0</x:v>
      </x:c>
      <x:c r="T421" s="18"/>
      <x:c r="U421" s="18"/>
    </x:row>
    <x:row r="422" ht="22" customHeight="1">
      <x:c r="A422" s="4" t="str">
        <x:v>CFA</x:v>
      </x:c>
      <x:c r="B422" s="4" t="str">
        <x:v>Security</x:v>
      </x:c>
      <x:c r="C422" s="4" t="n">
        <x:v>12</x:v>
      </x:c>
      <x:c r="D422" s="4" t="n">
        <x:v>2028</x:v>
      </x:c>
      <x:c r="E422" s="4" t="str">
        <x:v>no_variance_shrink</x:v>
      </x:c>
      <x:c r="F422" s="9" t="n">
        <x:v>0</x:v>
      </x:c>
      <x:c r="G422" s="9" t="n">
        <x:v>101.22611710260573</x:v>
      </x:c>
      <x:c r="H422" s="9" t="n">
        <x:v>5.842459637763871</x:v>
      </x:c>
      <x:c r="I422" s="9" t="n">
        <x:v>101.22611710260573</x:v>
      </x:c>
      <x:c r="J422" s="9" t="n">
        <x:v>5.842459637763871</x:v>
      </x:c>
      <x:c r="K422" s="9" t="n">
        <x:v>101.22611710452222</x:v>
      </x:c>
      <x:c r="L422" s="9" t="n">
        <x:v>5.842459638145455</x:v>
      </x:c>
      <x:c r="M422" s="9" t="n">
        <x:v>0</x:v>
      </x:c>
      <x:c r="N422" s="9" t="n">
        <x:v>0</x:v>
      </x:c>
      <x:c r="O422" s="9" t="n">
        <x:v>0.515016973018646</x:v>
      </x:c>
      <x:c r="P422" s="9" t="n">
        <x:v>5.1153e-11</x:v>
      </x:c>
      <x:c r="Q422" s="9" t="n">
        <x:v>48</x:v>
      </x:c>
      <x:c r="R422" s="9" t="n">
        <x:v>0</x:v>
      </x:c>
      <x:c r="S422" s="17" t="b">
        <x:v>0</x:v>
      </x:c>
      <x:c r="T422" s="18"/>
      <x:c r="U422" s="18"/>
    </x:row>
    <x:row r="423" ht="22" customHeight="1">
      <x:c r="A423" s="4" t="str">
        <x:v>Aurora</x:v>
      </x:c>
      <x:c r="B423" s="4" t="str">
        <x:v>Security</x:v>
      </x:c>
      <x:c r="C423" s="4" t="n">
        <x:v>12</x:v>
      </x:c>
      <x:c r="D423" s="4" t="n">
        <x:v>2028</x:v>
      </x:c>
      <x:c r="E423" s="4" t="str">
        <x:v>no_variance_shrink</x:v>
      </x:c>
      <x:c r="F423" s="9" t="n">
        <x:v>0</x:v>
      </x:c>
      <x:c r="G423" s="9" t="n">
        <x:v>89.22429087175277</x:v>
      </x:c>
      <x:c r="H423" s="9" t="n">
        <x:v>4.707309610690572</x:v>
      </x:c>
      <x:c r="I423" s="9" t="n">
        <x:v>89.22429087175277</x:v>
      </x:c>
      <x:c r="J423" s="9" t="n">
        <x:v>4.707309610690572</x:v>
      </x:c>
      <x:c r="K423" s="9" t="n">
        <x:v>89.22429087981067</x:v>
      </x:c>
      <x:c r="L423" s="9" t="n">
        <x:v>4.707309610923403</x:v>
      </x:c>
      <x:c r="M423" s="9" t="n">
        <x:v>0</x:v>
      </x:c>
      <x:c r="N423" s="9" t="n">
        <x:v>0</x:v>
      </x:c>
      <x:c r="O423" s="9" t="n">
        <x:v>0.515016973018646</x:v>
      </x:c>
      <x:c r="P423" s="9" t="n">
        <x:v>5.3201e-11</x:v>
      </x:c>
      <x:c r="Q423" s="9" t="n">
        <x:v>48</x:v>
      </x:c>
      <x:c r="R423" s="9" t="n">
        <x:v>0</x:v>
      </x:c>
      <x:c r="S423" s="17" t="b">
        <x:v>0</x:v>
      </x:c>
      <x:c r="T423" s="18"/>
      <x:c r="U423" s="18"/>
    </x:row>
    <x:row r="424" ht="22" customHeight="1">
      <x:c r="A424" s="4" t="str">
        <x:v>TaTS</x:v>
      </x:c>
      <x:c r="B424" s="4" t="str">
        <x:v>SocialGood</x:v>
      </x:c>
      <x:c r="C424" s="4" t="n">
        <x:v>6</x:v>
      </x:c>
      <x:c r="D424" s="4" t="n">
        <x:v>2026</x:v>
      </x:c>
      <x:c r="E424" s="4" t="str">
        <x:v>no_variance_shrink</x:v>
      </x:c>
      <x:c r="F424" s="9" t="n">
        <x:v>1</x:v>
      </x:c>
      <x:c r="G424" s="9" t="n">
        <x:v>1.064878293277627</x:v>
      </x:c>
      <x:c r="H424" s="9" t="n">
        <x:v>0.65253213868227</x:v>
      </x:c>
      <x:c r="I424" s="9" t="n">
        <x:v>1.064878293133731</x:v>
      </x:c>
      <x:c r="J424" s="9" t="n">
        <x:v>0.65253213859008</x:v>
      </x:c>
      <x:c r="K424" s="9" t="n">
        <x:v>1.064878293133731</x:v>
      </x:c>
      <x:c r="L424" s="9" t="n">
        <x:v>0.65253213859008</x:v>
      </x:c>
      <x:c r="M424" s="9" t="n">
        <x:v>-1.3512946e-8</x:v>
      </x:c>
      <x:c r="N424" s="9" t="n">
        <x:v>-1.4128065e-8</x:v>
      </x:c>
      <x:c r="O424" s="9" t="n">
        <x:v>0.533103704452515</x:v>
      </x:c>
      <x:c r="P424" s="9" t="n">
        <x:v>8.5852e-11</x:v>
      </x:c>
      <x:c r="Q424" s="9" t="n">
        <x:v>173</x:v>
      </x:c>
      <x:c r="R424" s="9" t="n">
        <x:v>0</x:v>
      </x:c>
      <x:c r="S424" s="17" t="b">
        <x:v>0</x:v>
      </x:c>
      <x:c r="T424" s="18"/>
      <x:c r="U424" s="18"/>
    </x:row>
    <x:row r="425" ht="22" customHeight="1">
      <x:c r="A425" s="4" t="str">
        <x:v>MM-TSFlib</x:v>
      </x:c>
      <x:c r="B425" s="4" t="str">
        <x:v>SocialGood</x:v>
      </x:c>
      <x:c r="C425" s="4" t="n">
        <x:v>6</x:v>
      </x:c>
      <x:c r="D425" s="4" t="n">
        <x:v>2026</x:v>
      </x:c>
      <x:c r="E425" s="4" t="str">
        <x:v>no_variance_shrink</x:v>
      </x:c>
      <x:c r="F425" s="9" t="n">
        <x:v>0</x:v>
      </x:c>
      <x:c r="G425" s="9" t="n">
        <x:v>0.716909923467327</x:v>
      </x:c>
      <x:c r="H425" s="9" t="n">
        <x:v>0.420410243779966</x:v>
      </x:c>
      <x:c r="I425" s="9" t="n">
        <x:v>0.716909923467327</x:v>
      </x:c>
      <x:c r="J425" s="9" t="n">
        <x:v>0.420410243779966</x:v>
      </x:c>
      <x:c r="K425" s="9" t="n">
        <x:v>0.7169099232332</x:v>
      </x:c>
      <x:c r="L425" s="9" t="n">
        <x:v>0.420410243642242</x:v>
      </x:c>
      <x:c r="M425" s="9" t="n">
        <x:v>0</x:v>
      </x:c>
      <x:c r="N425" s="9" t="n">
        <x:v>0</x:v>
      </x:c>
      <x:c r="O425" s="9" t="n">
        <x:v>0.533103704452515</x:v>
      </x:c>
      <x:c r="P425" s="9" t="n">
        <x:v>1.69681e-10</x:v>
      </x:c>
      <x:c r="Q425" s="9" t="n">
        <x:v>173</x:v>
      </x:c>
      <x:c r="R425" s="9" t="n">
        <x:v>0</x:v>
      </x:c>
      <x:c r="S425" s="17" t="b">
        <x:v>0</x:v>
      </x:c>
      <x:c r="T425" s="18"/>
      <x:c r="U425" s="18"/>
    </x:row>
    <x:row r="426" ht="22" customHeight="1">
      <x:c r="A426" s="4" t="str">
        <x:v>SpecTF</x:v>
      </x:c>
      <x:c r="B426" s="4" t="str">
        <x:v>SocialGood</x:v>
      </x:c>
      <x:c r="C426" s="4" t="n">
        <x:v>6</x:v>
      </x:c>
      <x:c r="D426" s="4" t="n">
        <x:v>2026</x:v>
      </x:c>
      <x:c r="E426" s="4" t="str">
        <x:v>no_variance_shrink</x:v>
      </x:c>
      <x:c r="F426" s="9" t="n">
        <x:v>0</x:v>
      </x:c>
      <x:c r="G426" s="9" t="n">
        <x:v>0.992952502676616</x:v>
      </x:c>
      <x:c r="H426" s="9" t="n">
        <x:v>0.412012562571476</x:v>
      </x:c>
      <x:c r="I426" s="9" t="n">
        <x:v>0.992952502676616</x:v>
      </x:c>
      <x:c r="J426" s="9" t="n">
        <x:v>0.412012562571476</x:v>
      </x:c>
      <x:c r="K426" s="9" t="n">
        <x:v>0.992952502690273</x:v>
      </x:c>
      <x:c r="L426" s="9" t="n">
        <x:v>0.412012562611403</x:v>
      </x:c>
      <x:c r="M426" s="9" t="n">
        <x:v>0</x:v>
      </x:c>
      <x:c r="N426" s="9" t="n">
        <x:v>0</x:v>
      </x:c>
      <x:c r="O426" s="9" t="n">
        <x:v>0.533103704452515</x:v>
      </x:c>
      <x:c r="P426" s="9" t="n">
        <x:v>1.07175e-10</x:v>
      </x:c>
      <x:c r="Q426" s="9" t="n">
        <x:v>173</x:v>
      </x:c>
      <x:c r="R426" s="9" t="n">
        <x:v>0</x:v>
      </x:c>
      <x:c r="S426" s="17" t="b">
        <x:v>0</x:v>
      </x:c>
      <x:c r="T426" s="18"/>
      <x:c r="U426" s="18"/>
    </x:row>
    <x:row r="427" ht="22" customHeight="1">
      <x:c r="A427" s="4" t="str">
        <x:v>CFA</x:v>
      </x:c>
      <x:c r="B427" s="4" t="str">
        <x:v>SocialGood</x:v>
      </x:c>
      <x:c r="C427" s="4" t="n">
        <x:v>6</x:v>
      </x:c>
      <x:c r="D427" s="4" t="n">
        <x:v>2026</x:v>
      </x:c>
      <x:c r="E427" s="4" t="str">
        <x:v>no_variance_shrink</x:v>
      </x:c>
      <x:c r="F427" s="9" t="n">
        <x:v>1</x:v>
      </x:c>
      <x:c r="G427" s="9" t="n">
        <x:v>0.994255061264744</x:v>
      </x:c>
      <x:c r="H427" s="9" t="n">
        <x:v>0.403462932802206</x:v>
      </x:c>
      <x:c r="I427" s="9" t="n">
        <x:v>0.994255061370984</x:v>
      </x:c>
      <x:c r="J427" s="9" t="n">
        <x:v>0.403462932869722</x:v>
      </x:c>
      <x:c r="K427" s="9" t="n">
        <x:v>0.994255061370984</x:v>
      </x:c>
      <x:c r="L427" s="9" t="n">
        <x:v>0.403462932869722</x:v>
      </x:c>
      <x:c r="M427" s="9" t="n">
        <x:v>1.0685453e-8</x:v>
      </x:c>
      <x:c r="N427" s="9" t="n">
        <x:v>1.6734236e-8</x:v>
      </x:c>
      <x:c r="O427" s="9" t="n">
        <x:v>0.533103704452515</x:v>
      </x:c>
      <x:c r="P427" s="9" t="n">
        <x:v>1.01436e-10</x:v>
      </x:c>
      <x:c r="Q427" s="9" t="n">
        <x:v>173</x:v>
      </x:c>
      <x:c r="R427" s="9" t="n">
        <x:v>0</x:v>
      </x:c>
      <x:c r="S427" s="17" t="b">
        <x:v>0</x:v>
      </x:c>
      <x:c r="T427" s="18"/>
      <x:c r="U427" s="18"/>
    </x:row>
    <x:row r="428" ht="22" customHeight="1">
      <x:c r="A428" s="4" t="str">
        <x:v>Aurora</x:v>
      </x:c>
      <x:c r="B428" s="4" t="str">
        <x:v>SocialGood</x:v>
      </x:c>
      <x:c r="C428" s="4" t="n">
        <x:v>6</x:v>
      </x:c>
      <x:c r="D428" s="4" t="n">
        <x:v>2026</x:v>
      </x:c>
      <x:c r="E428" s="4" t="str">
        <x:v>no_variance_shrink</x:v>
      </x:c>
      <x:c r="F428" s="9" t="n">
        <x:v>0.5</x:v>
      </x:c>
      <x:c r="G428" s="9" t="n">
        <x:v>1.676830396117141</x:v>
      </x:c>
      <x:c r="H428" s="9" t="n">
        <x:v>0.850057769059168</x:v>
      </x:c>
      <x:c r="I428" s="9" t="n">
        <x:v>1.676830396172202</x:v>
      </x:c>
      <x:c r="J428" s="9" t="n">
        <x:v>0.85005776910044</x:v>
      </x:c>
      <x:c r="K428" s="9" t="n">
        <x:v>1.676830396262079</x:v>
      </x:c>
      <x:c r="L428" s="9" t="n">
        <x:v>0.850057769128254</x:v>
      </x:c>
      <x:c r="M428" s="9" t="n">
        <x:v>3.283618e-9</x:v>
      </x:c>
      <x:c r="N428" s="9" t="n">
        <x:v>4.855272e-9</x:v>
      </x:c>
      <x:c r="O428" s="9" t="n">
        <x:v>0.533103704452515</x:v>
      </x:c>
      <x:c r="P428" s="9" t="n">
        <x:v>1.586e-10</x:v>
      </x:c>
      <x:c r="Q428" s="9" t="n">
        <x:v>173</x:v>
      </x:c>
      <x:c r="R428" s="9" t="n">
        <x:v>0</x:v>
      </x:c>
      <x:c r="S428" s="17" t="b">
        <x:v>0</x:v>
      </x:c>
      <x:c r="T428" s="18"/>
      <x:c r="U428" s="18"/>
    </x:row>
    <x:row r="429" ht="22" customHeight="1">
      <x:c r="A429" s="4" t="str">
        <x:v>TaTS</x:v>
      </x:c>
      <x:c r="B429" s="4" t="str">
        <x:v>SocialGood</x:v>
      </x:c>
      <x:c r="C429" s="4" t="n">
        <x:v>6</x:v>
      </x:c>
      <x:c r="D429" s="4" t="n">
        <x:v>2027</x:v>
      </x:c>
      <x:c r="E429" s="4" t="str">
        <x:v>no_variance_shrink</x:v>
      </x:c>
      <x:c r="F429" s="9" t="n">
        <x:v>1</x:v>
      </x:c>
      <x:c r="G429" s="9" t="n">
        <x:v>1.064878293277627</x:v>
      </x:c>
      <x:c r="H429" s="9" t="n">
        <x:v>0.65253213868227</x:v>
      </x:c>
      <x:c r="I429" s="9" t="n">
        <x:v>1.028455053286314</x:v>
      </x:c>
      <x:c r="J429" s="9" t="n">
        <x:v>0.636223222737816</x:v>
      </x:c>
      <x:c r="K429" s="9" t="n">
        <x:v>1.028455053286314</x:v>
      </x:c>
      <x:c r="L429" s="9" t="n">
        <x:v>0.636223222737816</x:v>
      </x:c>
      <x:c r="M429" s="9" t="n">
        <x:v>-3.42041341449496</x:v>
      </x:c>
      <x:c r="N429" s="9" t="n">
        <x:v>-2.499327615860969</x:v>
      </x:c>
      <x:c r="O429" s="9" t="n">
        <x:v>0.554438948631287</x:v>
      </x:c>
      <x:c r="P429" s="9" t="n">
        <x:v>0.06282215565443</x:v>
      </x:c>
      <x:c r="Q429" s="9" t="n">
        <x:v>173</x:v>
      </x:c>
      <x:c r="R429" s="9" t="n">
        <x:v>7</x:v>
      </x:c>
      <x:c r="S429" s="17" t="b">
        <x:v>1</x:v>
      </x:c>
      <x:c r="T429" s="18"/>
      <x:c r="U429" s="18"/>
    </x:row>
    <x:row r="430" ht="22" customHeight="1">
      <x:c r="A430" s="4" t="str">
        <x:v>MM-TSFlib</x:v>
      </x:c>
      <x:c r="B430" s="4" t="str">
        <x:v>SocialGood</x:v>
      </x:c>
      <x:c r="C430" s="4" t="n">
        <x:v>6</x:v>
      </x:c>
      <x:c r="D430" s="4" t="n">
        <x:v>2027</x:v>
      </x:c>
      <x:c r="E430" s="4" t="str">
        <x:v>no_variance_shrink</x:v>
      </x:c>
      <x:c r="F430" s="9" t="n">
        <x:v>0</x:v>
      </x:c>
      <x:c r="G430" s="9" t="n">
        <x:v>0.716909923467327</x:v>
      </x:c>
      <x:c r="H430" s="9" t="n">
        <x:v>0.420410243779966</x:v>
      </x:c>
      <x:c r="I430" s="9" t="n">
        <x:v>0.716909923467327</x:v>
      </x:c>
      <x:c r="J430" s="9" t="n">
        <x:v>0.420410243779966</x:v>
      </x:c>
      <x:c r="K430" s="9" t="n">
        <x:v>0.714231562637541</x:v>
      </x:c>
      <x:c r="L430" s="9" t="n">
        <x:v>0.415975127081155</x:v>
      </x:c>
      <x:c r="M430" s="9" t="n">
        <x:v>0</x:v>
      </x:c>
      <x:c r="N430" s="9" t="n">
        <x:v>0</x:v>
      </x:c>
      <x:c r="O430" s="9" t="n">
        <x:v>0.554438948631287</x:v>
      </x:c>
      <x:c r="P430" s="9" t="n">
        <x:v>0.0614750161767</x:v>
      </x:c>
      <x:c r="Q430" s="9" t="n">
        <x:v>173</x:v>
      </x:c>
      <x:c r="R430" s="9" t="n">
        <x:v>7</x:v>
      </x:c>
      <x:c r="S430" s="17" t="b">
        <x:v>0</x:v>
      </x:c>
      <x:c r="T430" s="18"/>
      <x:c r="U430" s="18"/>
    </x:row>
    <x:row r="431" ht="22" customHeight="1">
      <x:c r="A431" s="4" t="str">
        <x:v>SpecTF</x:v>
      </x:c>
      <x:c r="B431" s="4" t="str">
        <x:v>SocialGood</x:v>
      </x:c>
      <x:c r="C431" s="4" t="n">
        <x:v>6</x:v>
      </x:c>
      <x:c r="D431" s="4" t="n">
        <x:v>2027</x:v>
      </x:c>
      <x:c r="E431" s="4" t="str">
        <x:v>no_variance_shrink</x:v>
      </x:c>
      <x:c r="F431" s="9" t="n">
        <x:v>0</x:v>
      </x:c>
      <x:c r="G431" s="9" t="n">
        <x:v>0.992952502676616</x:v>
      </x:c>
      <x:c r="H431" s="9" t="n">
        <x:v>0.412012562571476</x:v>
      </x:c>
      <x:c r="I431" s="9" t="n">
        <x:v>0.992952502676616</x:v>
      </x:c>
      <x:c r="J431" s="9" t="n">
        <x:v>0.412012562571476</x:v>
      </x:c>
      <x:c r="K431" s="9" t="n">
        <x:v>0.980769792015641</x:v>
      </x:c>
      <x:c r="L431" s="9" t="n">
        <x:v>0.411967662367647</x:v>
      </x:c>
      <x:c r="M431" s="9" t="n">
        <x:v>0</x:v>
      </x:c>
      <x:c r="N431" s="9" t="n">
        <x:v>0</x:v>
      </x:c>
      <x:c r="O431" s="9" t="n">
        <x:v>0.554438948631287</x:v>
      </x:c>
      <x:c r="P431" s="9" t="n">
        <x:v>0.061699707061052</x:v>
      </x:c>
      <x:c r="Q431" s="9" t="n">
        <x:v>173</x:v>
      </x:c>
      <x:c r="R431" s="9" t="n">
        <x:v>7</x:v>
      </x:c>
      <x:c r="S431" s="17" t="b">
        <x:v>0</x:v>
      </x:c>
      <x:c r="T431" s="18"/>
      <x:c r="U431" s="18"/>
    </x:row>
    <x:row r="432" ht="22" customHeight="1">
      <x:c r="A432" s="4" t="str">
        <x:v>CFA</x:v>
      </x:c>
      <x:c r="B432" s="4" t="str">
        <x:v>SocialGood</x:v>
      </x:c>
      <x:c r="C432" s="4" t="n">
        <x:v>6</x:v>
      </x:c>
      <x:c r="D432" s="4" t="n">
        <x:v>2027</x:v>
      </x:c>
      <x:c r="E432" s="4" t="str">
        <x:v>no_variance_shrink</x:v>
      </x:c>
      <x:c r="F432" s="9" t="n">
        <x:v>0</x:v>
      </x:c>
      <x:c r="G432" s="9" t="n">
        <x:v>0.994255061264744</x:v>
      </x:c>
      <x:c r="H432" s="9" t="n">
        <x:v>0.403462932802206</x:v>
      </x:c>
      <x:c r="I432" s="9" t="n">
        <x:v>0.994255061264744</x:v>
      </x:c>
      <x:c r="J432" s="9" t="n">
        <x:v>0.403462932802206</x:v>
      </x:c>
      <x:c r="K432" s="9" t="n">
        <x:v>0.98319605366655</x:v>
      </x:c>
      <x:c r="L432" s="9" t="n">
        <x:v>0.401237409712607</x:v>
      </x:c>
      <x:c r="M432" s="9" t="n">
        <x:v>0</x:v>
      </x:c>
      <x:c r="N432" s="9" t="n">
        <x:v>0</x:v>
      </x:c>
      <x:c r="O432" s="9" t="n">
        <x:v>0.554438948631287</x:v>
      </x:c>
      <x:c r="P432" s="9" t="n">
        <x:v>0.062444113194942</x:v>
      </x:c>
      <x:c r="Q432" s="9" t="n">
        <x:v>173</x:v>
      </x:c>
      <x:c r="R432" s="9" t="n">
        <x:v>7</x:v>
      </x:c>
      <x:c r="S432" s="17" t="b">
        <x:v>0</x:v>
      </x:c>
      <x:c r="T432" s="18"/>
      <x:c r="U432" s="18"/>
    </x:row>
    <x:row r="433" ht="22" customHeight="1">
      <x:c r="A433" s="4" t="str">
        <x:v>Aurora</x:v>
      </x:c>
      <x:c r="B433" s="4" t="str">
        <x:v>SocialGood</x:v>
      </x:c>
      <x:c r="C433" s="4" t="n">
        <x:v>6</x:v>
      </x:c>
      <x:c r="D433" s="4" t="n">
        <x:v>2027</x:v>
      </x:c>
      <x:c r="E433" s="4" t="str">
        <x:v>no_variance_shrink</x:v>
      </x:c>
      <x:c r="F433" s="9" t="n">
        <x:v>0</x:v>
      </x:c>
      <x:c r="G433" s="9" t="n">
        <x:v>1.676830396117141</x:v>
      </x:c>
      <x:c r="H433" s="9" t="n">
        <x:v>0.850057769059168</x:v>
      </x:c>
      <x:c r="I433" s="9" t="n">
        <x:v>1.676830396117141</x:v>
      </x:c>
      <x:c r="J433" s="9" t="n">
        <x:v>0.850057769059168</x:v>
      </x:c>
      <x:c r="K433" s="9" t="n">
        <x:v>1.681279038858782</x:v>
      </x:c>
      <x:c r="L433" s="9" t="n">
        <x:v>0.842511693270507</x:v>
      </x:c>
      <x:c r="M433" s="9" t="n">
        <x:v>0</x:v>
      </x:c>
      <x:c r="N433" s="9" t="n">
        <x:v>0</x:v>
      </x:c>
      <x:c r="O433" s="9" t="n">
        <x:v>0.554438948631287</x:v>
      </x:c>
      <x:c r="P433" s="9" t="n">
        <x:v>0.064861990511417</x:v>
      </x:c>
      <x:c r="Q433" s="9" t="n">
        <x:v>173</x:v>
      </x:c>
      <x:c r="R433" s="9" t="n">
        <x:v>7</x:v>
      </x:c>
      <x:c r="S433" s="17" t="b">
        <x:v>0</x:v>
      </x:c>
      <x:c r="T433" s="18"/>
      <x:c r="U433" s="18"/>
    </x:row>
    <x:row r="434" ht="22" customHeight="1">
      <x:c r="A434" s="4" t="str">
        <x:v>TaTS</x:v>
      </x:c>
      <x:c r="B434" s="4" t="str">
        <x:v>SocialGood</x:v>
      </x:c>
      <x:c r="C434" s="4" t="n">
        <x:v>6</x:v>
      </x:c>
      <x:c r="D434" s="4" t="n">
        <x:v>2028</x:v>
      </x:c>
      <x:c r="E434" s="4" t="str">
        <x:v>no_variance_shrink</x:v>
      </x:c>
      <x:c r="F434" s="9" t="n">
        <x:v>1</x:v>
      </x:c>
      <x:c r="G434" s="9" t="n">
        <x:v>1.064878293277627</x:v>
      </x:c>
      <x:c r="H434" s="9" t="n">
        <x:v>0.65253213868227</x:v>
      </x:c>
      <x:c r="I434" s="9" t="n">
        <x:v>1.064878293133731</x:v>
      </x:c>
      <x:c r="J434" s="9" t="n">
        <x:v>0.65253213859008</x:v>
      </x:c>
      <x:c r="K434" s="9" t="n">
        <x:v>1.064878293133731</x:v>
      </x:c>
      <x:c r="L434" s="9" t="n">
        <x:v>0.65253213859008</x:v>
      </x:c>
      <x:c r="M434" s="9" t="n">
        <x:v>-1.3512946e-8</x:v>
      </x:c>
      <x:c r="N434" s="9" t="n">
        <x:v>-1.4128065e-8</x:v>
      </x:c>
      <x:c r="O434" s="9" t="n">
        <x:v>0.51901388168335</x:v>
      </x:c>
      <x:c r="P434" s="9" t="n">
        <x:v>8.5852e-11</x:v>
      </x:c>
      <x:c r="Q434" s="9" t="n">
        <x:v>173</x:v>
      </x:c>
      <x:c r="R434" s="9" t="n">
        <x:v>0</x:v>
      </x:c>
      <x:c r="S434" s="17" t="b">
        <x:v>0</x:v>
      </x:c>
      <x:c r="T434" s="18"/>
      <x:c r="U434" s="18"/>
    </x:row>
    <x:row r="435" ht="22" customHeight="1">
      <x:c r="A435" s="4" t="str">
        <x:v>MM-TSFlib</x:v>
      </x:c>
      <x:c r="B435" s="4" t="str">
        <x:v>SocialGood</x:v>
      </x:c>
      <x:c r="C435" s="4" t="n">
        <x:v>6</x:v>
      </x:c>
      <x:c r="D435" s="4" t="n">
        <x:v>2028</x:v>
      </x:c>
      <x:c r="E435" s="4" t="str">
        <x:v>no_variance_shrink</x:v>
      </x:c>
      <x:c r="F435" s="9" t="n">
        <x:v>0</x:v>
      </x:c>
      <x:c r="G435" s="9" t="n">
        <x:v>0.716909923467327</x:v>
      </x:c>
      <x:c r="H435" s="9" t="n">
        <x:v>0.420410243779966</x:v>
      </x:c>
      <x:c r="I435" s="9" t="n">
        <x:v>0.716909923467327</x:v>
      </x:c>
      <x:c r="J435" s="9" t="n">
        <x:v>0.420410243779966</x:v>
      </x:c>
      <x:c r="K435" s="9" t="n">
        <x:v>0.7169099232332</x:v>
      </x:c>
      <x:c r="L435" s="9" t="n">
        <x:v>0.420410243642242</x:v>
      </x:c>
      <x:c r="M435" s="9" t="n">
        <x:v>0</x:v>
      </x:c>
      <x:c r="N435" s="9" t="n">
        <x:v>0</x:v>
      </x:c>
      <x:c r="O435" s="9" t="n">
        <x:v>0.51901388168335</x:v>
      </x:c>
      <x:c r="P435" s="9" t="n">
        <x:v>1.69681e-10</x:v>
      </x:c>
      <x:c r="Q435" s="9" t="n">
        <x:v>173</x:v>
      </x:c>
      <x:c r="R435" s="9" t="n">
        <x:v>0</x:v>
      </x:c>
      <x:c r="S435" s="17" t="b">
        <x:v>0</x:v>
      </x:c>
      <x:c r="T435" s="18"/>
      <x:c r="U435" s="18"/>
    </x:row>
    <x:row r="436" ht="22" customHeight="1">
      <x:c r="A436" s="4" t="str">
        <x:v>SpecTF</x:v>
      </x:c>
      <x:c r="B436" s="4" t="str">
        <x:v>SocialGood</x:v>
      </x:c>
      <x:c r="C436" s="4" t="n">
        <x:v>6</x:v>
      </x:c>
      <x:c r="D436" s="4" t="n">
        <x:v>2028</x:v>
      </x:c>
      <x:c r="E436" s="4" t="str">
        <x:v>no_variance_shrink</x:v>
      </x:c>
      <x:c r="F436" s="9" t="n">
        <x:v>0</x:v>
      </x:c>
      <x:c r="G436" s="9" t="n">
        <x:v>0.992952502676616</x:v>
      </x:c>
      <x:c r="H436" s="9" t="n">
        <x:v>0.412012562571476</x:v>
      </x:c>
      <x:c r="I436" s="9" t="n">
        <x:v>0.992952502676616</x:v>
      </x:c>
      <x:c r="J436" s="9" t="n">
        <x:v>0.412012562571476</x:v>
      </x:c>
      <x:c r="K436" s="9" t="n">
        <x:v>0.992952502690273</x:v>
      </x:c>
      <x:c r="L436" s="9" t="n">
        <x:v>0.412012562611403</x:v>
      </x:c>
      <x:c r="M436" s="9" t="n">
        <x:v>0</x:v>
      </x:c>
      <x:c r="N436" s="9" t="n">
        <x:v>0</x:v>
      </x:c>
      <x:c r="O436" s="9" t="n">
        <x:v>0.51901388168335</x:v>
      </x:c>
      <x:c r="P436" s="9" t="n">
        <x:v>1.07175e-10</x:v>
      </x:c>
      <x:c r="Q436" s="9" t="n">
        <x:v>173</x:v>
      </x:c>
      <x:c r="R436" s="9" t="n">
        <x:v>0</x:v>
      </x:c>
      <x:c r="S436" s="17" t="b">
        <x:v>0</x:v>
      </x:c>
      <x:c r="T436" s="18"/>
      <x:c r="U436" s="18"/>
    </x:row>
    <x:row r="437" ht="22" customHeight="1">
      <x:c r="A437" s="4" t="str">
        <x:v>CFA</x:v>
      </x:c>
      <x:c r="B437" s="4" t="str">
        <x:v>SocialGood</x:v>
      </x:c>
      <x:c r="C437" s="4" t="n">
        <x:v>6</x:v>
      </x:c>
      <x:c r="D437" s="4" t="n">
        <x:v>2028</x:v>
      </x:c>
      <x:c r="E437" s="4" t="str">
        <x:v>no_variance_shrink</x:v>
      </x:c>
      <x:c r="F437" s="9" t="n">
        <x:v>1</x:v>
      </x:c>
      <x:c r="G437" s="9" t="n">
        <x:v>0.994255061264744</x:v>
      </x:c>
      <x:c r="H437" s="9" t="n">
        <x:v>0.403462932802206</x:v>
      </x:c>
      <x:c r="I437" s="9" t="n">
        <x:v>0.994255061370984</x:v>
      </x:c>
      <x:c r="J437" s="9" t="n">
        <x:v>0.403462932869722</x:v>
      </x:c>
      <x:c r="K437" s="9" t="n">
        <x:v>0.994255061370984</x:v>
      </x:c>
      <x:c r="L437" s="9" t="n">
        <x:v>0.403462932869722</x:v>
      </x:c>
      <x:c r="M437" s="9" t="n">
        <x:v>1.0685453e-8</x:v>
      </x:c>
      <x:c r="N437" s="9" t="n">
        <x:v>1.6734236e-8</x:v>
      </x:c>
      <x:c r="O437" s="9" t="n">
        <x:v>0.51901388168335</x:v>
      </x:c>
      <x:c r="P437" s="9" t="n">
        <x:v>1.01436e-10</x:v>
      </x:c>
      <x:c r="Q437" s="9" t="n">
        <x:v>173</x:v>
      </x:c>
      <x:c r="R437" s="9" t="n">
        <x:v>0</x:v>
      </x:c>
      <x:c r="S437" s="17" t="b">
        <x:v>0</x:v>
      </x:c>
      <x:c r="T437" s="18"/>
      <x:c r="U437" s="18"/>
    </x:row>
    <x:row r="438" ht="22" customHeight="1">
      <x:c r="A438" s="4" t="str">
        <x:v>Aurora</x:v>
      </x:c>
      <x:c r="B438" s="4" t="str">
        <x:v>SocialGood</x:v>
      </x:c>
      <x:c r="C438" s="4" t="n">
        <x:v>6</x:v>
      </x:c>
      <x:c r="D438" s="4" t="n">
        <x:v>2028</x:v>
      </x:c>
      <x:c r="E438" s="4" t="str">
        <x:v>no_variance_shrink</x:v>
      </x:c>
      <x:c r="F438" s="9" t="n">
        <x:v>0.5</x:v>
      </x:c>
      <x:c r="G438" s="9" t="n">
        <x:v>1.676830396117141</x:v>
      </x:c>
      <x:c r="H438" s="9" t="n">
        <x:v>0.850057769059168</x:v>
      </x:c>
      <x:c r="I438" s="9" t="n">
        <x:v>1.676830396172202</x:v>
      </x:c>
      <x:c r="J438" s="9" t="n">
        <x:v>0.85005776910044</x:v>
      </x:c>
      <x:c r="K438" s="9" t="n">
        <x:v>1.676830396262079</x:v>
      </x:c>
      <x:c r="L438" s="9" t="n">
        <x:v>0.850057769128254</x:v>
      </x:c>
      <x:c r="M438" s="9" t="n">
        <x:v>3.283618e-9</x:v>
      </x:c>
      <x:c r="N438" s="9" t="n">
        <x:v>4.855272e-9</x:v>
      </x:c>
      <x:c r="O438" s="9" t="n">
        <x:v>0.51901388168335</x:v>
      </x:c>
      <x:c r="P438" s="9" t="n">
        <x:v>1.586e-10</x:v>
      </x:c>
      <x:c r="Q438" s="9" t="n">
        <x:v>173</x:v>
      </x:c>
      <x:c r="R438" s="9" t="n">
        <x:v>0</x:v>
      </x:c>
      <x:c r="S438" s="17" t="b">
        <x:v>0</x:v>
      </x:c>
      <x:c r="T438" s="18"/>
      <x:c r="U438" s="18"/>
    </x:row>
    <x:row r="439" ht="22" customHeight="1">
      <x:c r="A439" s="4" t="str">
        <x:v>TaTS</x:v>
      </x:c>
      <x:c r="B439" s="4" t="str">
        <x:v>SocialGood</x:v>
      </x:c>
      <x:c r="C439" s="4" t="n">
        <x:v>8</x:v>
      </x:c>
      <x:c r="D439" s="4" t="n">
        <x:v>2026</x:v>
      </x:c>
      <x:c r="E439" s="4" t="str">
        <x:v>no_variance_shrink</x:v>
      </x:c>
      <x:c r="F439" s="9" t="n">
        <x:v>0</x:v>
      </x:c>
      <x:c r="G439" s="9" t="n">
        <x:v>1.162219106256675</x:v>
      </x:c>
      <x:c r="H439" s="9" t="n">
        <x:v>0.684051583226966</x:v>
      </x:c>
      <x:c r="I439" s="9" t="n">
        <x:v>1.162219106256675</x:v>
      </x:c>
      <x:c r="J439" s="9" t="n">
        <x:v>0.684051583226966</x:v>
      </x:c>
      <x:c r="K439" s="9" t="n">
        <x:v>1.162219106335635</x:v>
      </x:c>
      <x:c r="L439" s="9" t="n">
        <x:v>0.684051583292439</x:v>
      </x:c>
      <x:c r="M439" s="9" t="n">
        <x:v>0</x:v>
      </x:c>
      <x:c r="N439" s="9" t="n">
        <x:v>0</x:v>
      </x:c>
      <x:c r="O439" s="9" t="n">
        <x:v>0.533157348632812</x:v>
      </x:c>
      <x:c r="P439" s="9" t="n">
        <x:v>1.15497e-10</x:v>
      </x:c>
      <x:c r="Q439" s="9" t="n">
        <x:v>171</x:v>
      </x:c>
      <x:c r="R439" s="9" t="n">
        <x:v>0</x:v>
      </x:c>
      <x:c r="S439" s="17" t="b">
        <x:v>0</x:v>
      </x:c>
      <x:c r="T439" s="18"/>
      <x:c r="U439" s="18"/>
    </x:row>
    <x:row r="440" ht="22" customHeight="1">
      <x:c r="A440" s="4" t="str">
        <x:v>MM-TSFlib</x:v>
      </x:c>
      <x:c r="B440" s="4" t="str">
        <x:v>SocialGood</x:v>
      </x:c>
      <x:c r="C440" s="4" t="n">
        <x:v>8</x:v>
      </x:c>
      <x:c r="D440" s="4" t="n">
        <x:v>2026</x:v>
      </x:c>
      <x:c r="E440" s="4" t="str">
        <x:v>no_variance_shrink</x:v>
      </x:c>
      <x:c r="F440" s="9" t="n">
        <x:v>0</x:v>
      </x:c>
      <x:c r="G440" s="9" t="n">
        <x:v>0.845313280627705</x:v>
      </x:c>
      <x:c r="H440" s="9" t="n">
        <x:v>0.472761638315663</x:v>
      </x:c>
      <x:c r="I440" s="9" t="n">
        <x:v>0.845313280627705</x:v>
      </x:c>
      <x:c r="J440" s="9" t="n">
        <x:v>0.472761638315663</x:v>
      </x:c>
      <x:c r="K440" s="9" t="n">
        <x:v>0.845313280872068</x:v>
      </x:c>
      <x:c r="L440" s="9" t="n">
        <x:v>0.472761638411415</x:v>
      </x:c>
      <x:c r="M440" s="9" t="n">
        <x:v>0</x:v>
      </x:c>
      <x:c r="N440" s="9" t="n">
        <x:v>0</x:v>
      </x:c>
      <x:c r="O440" s="9" t="n">
        <x:v>0.533157348632812</x:v>
      </x:c>
      <x:c r="P440" s="9" t="n">
        <x:v>2.38639e-10</x:v>
      </x:c>
      <x:c r="Q440" s="9" t="n">
        <x:v>171</x:v>
      </x:c>
      <x:c r="R440" s="9" t="n">
        <x:v>0</x:v>
      </x:c>
      <x:c r="S440" s="17" t="b">
        <x:v>0</x:v>
      </x:c>
      <x:c r="T440" s="18"/>
      <x:c r="U440" s="18"/>
    </x:row>
    <x:row r="441" ht="22" customHeight="1">
      <x:c r="A441" s="4" t="str">
        <x:v>SpecTF</x:v>
      </x:c>
      <x:c r="B441" s="4" t="str">
        <x:v>SocialGood</x:v>
      </x:c>
      <x:c r="C441" s="4" t="n">
        <x:v>8</x:v>
      </x:c>
      <x:c r="D441" s="4" t="n">
        <x:v>2026</x:v>
      </x:c>
      <x:c r="E441" s="4" t="str">
        <x:v>no_variance_shrink</x:v>
      </x:c>
      <x:c r="F441" s="9" t="n">
        <x:v>0.5</x:v>
      </x:c>
      <x:c r="G441" s="9" t="n">
        <x:v>1.095261793206274</x:v>
      </x:c>
      <x:c r="H441" s="9" t="n">
        <x:v>0.446760548192314</x:v>
      </x:c>
      <x:c r="I441" s="9" t="n">
        <x:v>1.095261793262936</x:v>
      </x:c>
      <x:c r="J441" s="9" t="n">
        <x:v>0.446760548229672</x:v>
      </x:c>
      <x:c r="K441" s="9" t="n">
        <x:v>1.095261793307609</x:v>
      </x:c>
      <x:c r="L441" s="9" t="n">
        <x:v>0.446760548270009</x:v>
      </x:c>
      <x:c r="M441" s="9" t="n">
        <x:v>5.173373e-9</x:v>
      </x:c>
      <x:c r="N441" s="9" t="n">
        <x:v>8.362067e-9</x:v>
      </x:c>
      <x:c r="O441" s="9" t="n">
        <x:v>0.533157348632812</x:v>
      </x:c>
      <x:c r="P441" s="9" t="n">
        <x:v>9.0816e-11</x:v>
      </x:c>
      <x:c r="Q441" s="9" t="n">
        <x:v>171</x:v>
      </x:c>
      <x:c r="R441" s="9" t="n">
        <x:v>0</x:v>
      </x:c>
      <x:c r="S441" s="17" t="b">
        <x:v>0</x:v>
      </x:c>
      <x:c r="T441" s="18"/>
      <x:c r="U441" s="18"/>
    </x:row>
    <x:row r="442" ht="22" customHeight="1">
      <x:c r="A442" s="4" t="str">
        <x:v>CFA</x:v>
      </x:c>
      <x:c r="B442" s="4" t="str">
        <x:v>SocialGood</x:v>
      </x:c>
      <x:c r="C442" s="4" t="n">
        <x:v>8</x:v>
      </x:c>
      <x:c r="D442" s="4" t="n">
        <x:v>2026</x:v>
      </x:c>
      <x:c r="E442" s="4" t="str">
        <x:v>no_variance_shrink</x:v>
      </x:c>
      <x:c r="F442" s="9" t="n">
        <x:v>0</x:v>
      </x:c>
      <x:c r="G442" s="9" t="n">
        <x:v>0.898235174273589</x:v>
      </x:c>
      <x:c r="H442" s="9" t="n">
        <x:v>0.405770752175945</x:v>
      </x:c>
      <x:c r="I442" s="9" t="n">
        <x:v>0.898235174273589</x:v>
      </x:c>
      <x:c r="J442" s="9" t="n">
        <x:v>0.405770752175945</x:v>
      </x:c>
      <x:c r="K442" s="9" t="n">
        <x:v>0.898235174328112</x:v>
      </x:c>
      <x:c r="L442" s="9" t="n">
        <x:v>0.405770752212197</x:v>
      </x:c>
      <x:c r="M442" s="9" t="n">
        <x:v>0</x:v>
      </x:c>
      <x:c r="N442" s="9" t="n">
        <x:v>0</x:v>
      </x:c>
      <x:c r="O442" s="9" t="n">
        <x:v>0.533157348632812</x:v>
      </x:c>
      <x:c r="P442" s="9" t="n">
        <x:v>8.3007e-11</x:v>
      </x:c>
      <x:c r="Q442" s="9" t="n">
        <x:v>171</x:v>
      </x:c>
      <x:c r="R442" s="9" t="n">
        <x:v>0</x:v>
      </x:c>
      <x:c r="S442" s="17" t="b">
        <x:v>0</x:v>
      </x:c>
      <x:c r="T442" s="18"/>
      <x:c r="U442" s="18"/>
    </x:row>
    <x:row r="443" ht="22" customHeight="1">
      <x:c r="A443" s="4" t="str">
        <x:v>Aurora</x:v>
      </x:c>
      <x:c r="B443" s="4" t="str">
        <x:v>SocialGood</x:v>
      </x:c>
      <x:c r="C443" s="4" t="n">
        <x:v>8</x:v>
      </x:c>
      <x:c r="D443" s="4" t="n">
        <x:v>2026</x:v>
      </x:c>
      <x:c r="E443" s="4" t="str">
        <x:v>no_variance_shrink</x:v>
      </x:c>
      <x:c r="F443" s="9" t="n">
        <x:v>0</x:v>
      </x:c>
      <x:c r="G443" s="9" t="n">
        <x:v>1.787518923563987</x:v>
      </x:c>
      <x:c r="H443" s="9" t="n">
        <x:v>0.886928983370291</x:v>
      </x:c>
      <x:c r="I443" s="9" t="n">
        <x:v>1.787518923563987</x:v>
      </x:c>
      <x:c r="J443" s="9" t="n">
        <x:v>0.886928983370291</x:v>
      </x:c>
      <x:c r="K443" s="9" t="n">
        <x:v>1.787518923280382</x:v>
      </x:c>
      <x:c r="L443" s="9" t="n">
        <x:v>0.886928983351824</x:v>
      </x:c>
      <x:c r="M443" s="9" t="n">
        <x:v>0</x:v>
      </x:c>
      <x:c r="N443" s="9" t="n">
        <x:v>0</x:v>
      </x:c>
      <x:c r="O443" s="9" t="n">
        <x:v>0.533157348632812</x:v>
      </x:c>
      <x:c r="P443" s="9" t="n">
        <x:v>1.17382e-10</x:v>
      </x:c>
      <x:c r="Q443" s="9" t="n">
        <x:v>171</x:v>
      </x:c>
      <x:c r="R443" s="9" t="n">
        <x:v>0</x:v>
      </x:c>
      <x:c r="S443" s="17" t="b">
        <x:v>0</x:v>
      </x:c>
      <x:c r="T443" s="18"/>
      <x:c r="U443" s="18"/>
    </x:row>
    <x:row r="444" ht="22" customHeight="1">
      <x:c r="A444" s="4" t="str">
        <x:v>TaTS</x:v>
      </x:c>
      <x:c r="B444" s="4" t="str">
        <x:v>SocialGood</x:v>
      </x:c>
      <x:c r="C444" s="4" t="n">
        <x:v>8</x:v>
      </x:c>
      <x:c r="D444" s="4" t="n">
        <x:v>2027</x:v>
      </x:c>
      <x:c r="E444" s="4" t="str">
        <x:v>no_variance_shrink</x:v>
      </x:c>
      <x:c r="F444" s="9" t="n">
        <x:v>1</x:v>
      </x:c>
      <x:c r="G444" s="9" t="n">
        <x:v>1.162219106256675</x:v>
      </x:c>
      <x:c r="H444" s="9" t="n">
        <x:v>0.684051583226966</x:v>
      </x:c>
      <x:c r="I444" s="9" t="n">
        <x:v>1.034172342894055</x:v>
      </x:c>
      <x:c r="J444" s="9" t="n">
        <x:v>0.616973863992219</x:v>
      </x:c>
      <x:c r="K444" s="9" t="n">
        <x:v>1.034172342894055</x:v>
      </x:c>
      <x:c r="L444" s="9" t="n">
        <x:v>0.616973863992219</x:v>
      </x:c>
      <x:c r="M444" s="9" t="n">
        <x:v>-11.017437475713043</x:v>
      </x:c>
      <x:c r="N444" s="9" t="n">
        <x:v>-9.805944592411077</x:v>
      </x:c>
      <x:c r="O444" s="9" t="n">
        <x:v>0.662988424301148</x:v>
      </x:c>
      <x:c r="P444" s="9" t="n">
        <x:v>0.189225062727928</x:v>
      </x:c>
      <x:c r="Q444" s="9" t="n">
        <x:v>171</x:v>
      </x:c>
      <x:c r="R444" s="9" t="n">
        <x:v>39</x:v>
      </x:c>
      <x:c r="S444" s="17" t="b">
        <x:v>1</x:v>
      </x:c>
      <x:c r="T444" s="18"/>
      <x:c r="U444" s="18"/>
    </x:row>
    <x:row r="445" ht="22" customHeight="1">
      <x:c r="A445" s="4" t="str">
        <x:v>MM-TSFlib</x:v>
      </x:c>
      <x:c r="B445" s="4" t="str">
        <x:v>SocialGood</x:v>
      </x:c>
      <x:c r="C445" s="4" t="n">
        <x:v>8</x:v>
      </x:c>
      <x:c r="D445" s="4" t="n">
        <x:v>2027</x:v>
      </x:c>
      <x:c r="E445" s="4" t="str">
        <x:v>no_variance_shrink</x:v>
      </x:c>
      <x:c r="F445" s="9" t="n">
        <x:v>0</x:v>
      </x:c>
      <x:c r="G445" s="9" t="n">
        <x:v>0.845313280627705</x:v>
      </x:c>
      <x:c r="H445" s="9" t="n">
        <x:v>0.472761638315663</x:v>
      </x:c>
      <x:c r="I445" s="9" t="n">
        <x:v>0.845313280627705</x:v>
      </x:c>
      <x:c r="J445" s="9" t="n">
        <x:v>0.472761638315663</x:v>
      </x:c>
      <x:c r="K445" s="9" t="n">
        <x:v>0.833155121453224</x:v>
      </x:c>
      <x:c r="L445" s="9" t="n">
        <x:v>0.452634373324384</x:v>
      </x:c>
      <x:c r="M445" s="9" t="n">
        <x:v>0</x:v>
      </x:c>
      <x:c r="N445" s="9" t="n">
        <x:v>0</x:v>
      </x:c>
      <x:c r="O445" s="9" t="n">
        <x:v>0.662988424301148</x:v>
      </x:c>
      <x:c r="P445" s="9" t="n">
        <x:v>0.137855991721153</x:v>
      </x:c>
      <x:c r="Q445" s="9" t="n">
        <x:v>171</x:v>
      </x:c>
      <x:c r="R445" s="9" t="n">
        <x:v>39</x:v>
      </x:c>
      <x:c r="S445" s="17" t="b">
        <x:v>0</x:v>
      </x:c>
      <x:c r="T445" s="18"/>
      <x:c r="U445" s="18"/>
    </x:row>
    <x:row r="446" ht="22" customHeight="1">
      <x:c r="A446" s="4" t="str">
        <x:v>SpecTF</x:v>
      </x:c>
      <x:c r="B446" s="4" t="str">
        <x:v>SocialGood</x:v>
      </x:c>
      <x:c r="C446" s="4" t="n">
        <x:v>8</x:v>
      </x:c>
      <x:c r="D446" s="4" t="n">
        <x:v>2027</x:v>
      </x:c>
      <x:c r="E446" s="4" t="str">
        <x:v>no_variance_shrink</x:v>
      </x:c>
      <x:c r="F446" s="9" t="n">
        <x:v>0</x:v>
      </x:c>
      <x:c r="G446" s="9" t="n">
        <x:v>1.095261793206274</x:v>
      </x:c>
      <x:c r="H446" s="9" t="n">
        <x:v>0.446760548192314</x:v>
      </x:c>
      <x:c r="I446" s="9" t="n">
        <x:v>1.095261793206274</x:v>
      </x:c>
      <x:c r="J446" s="9" t="n">
        <x:v>0.446760548192314</x:v>
      </x:c>
      <x:c r="K446" s="9" t="n">
        <x:v>1.02449363935512</x:v>
      </x:c>
      <x:c r="L446" s="9" t="n">
        <x:v>0.430505955814417</x:v>
      </x:c>
      <x:c r="M446" s="9" t="n">
        <x:v>0</x:v>
      </x:c>
      <x:c r="N446" s="9" t="n">
        <x:v>0</x:v>
      </x:c>
      <x:c r="O446" s="9" t="n">
        <x:v>0.662988424301148</x:v>
      </x:c>
      <x:c r="P446" s="9" t="n">
        <x:v>0.133359953761101</x:v>
      </x:c>
      <x:c r="Q446" s="9" t="n">
        <x:v>171</x:v>
      </x:c>
      <x:c r="R446" s="9" t="n">
        <x:v>39</x:v>
      </x:c>
      <x:c r="S446" s="17" t="b">
        <x:v>0</x:v>
      </x:c>
      <x:c r="T446" s="18"/>
      <x:c r="U446" s="18"/>
    </x:row>
    <x:row r="447" ht="22" customHeight="1">
      <x:c r="A447" s="4" t="str">
        <x:v>CFA</x:v>
      </x:c>
      <x:c r="B447" s="4" t="str">
        <x:v>SocialGood</x:v>
      </x:c>
      <x:c r="C447" s="4" t="n">
        <x:v>8</x:v>
      </x:c>
      <x:c r="D447" s="4" t="n">
        <x:v>2027</x:v>
      </x:c>
      <x:c r="E447" s="4" t="str">
        <x:v>no_variance_shrink</x:v>
      </x:c>
      <x:c r="F447" s="9" t="n">
        <x:v>0</x:v>
      </x:c>
      <x:c r="G447" s="9" t="n">
        <x:v>0.898235174273589</x:v>
      </x:c>
      <x:c r="H447" s="9" t="n">
        <x:v>0.405770752175945</x:v>
      </x:c>
      <x:c r="I447" s="9" t="n">
        <x:v>0.898235174273589</x:v>
      </x:c>
      <x:c r="J447" s="9" t="n">
        <x:v>0.405770752175945</x:v>
      </x:c>
      <x:c r="K447" s="9" t="n">
        <x:v>0.859761047239276</x:v>
      </x:c>
      <x:c r="L447" s="9" t="n">
        <x:v>0.397594057828221</x:v>
      </x:c>
      <x:c r="M447" s="9" t="n">
        <x:v>0</x:v>
      </x:c>
      <x:c r="N447" s="9" t="n">
        <x:v>0</x:v>
      </x:c>
      <x:c r="O447" s="9" t="n">
        <x:v>0.662988424301148</x:v>
      </x:c>
      <x:c r="P447" s="9" t="n">
        <x:v>0.134273752570152</x:v>
      </x:c>
      <x:c r="Q447" s="9" t="n">
        <x:v>171</x:v>
      </x:c>
      <x:c r="R447" s="9" t="n">
        <x:v>39</x:v>
      </x:c>
      <x:c r="S447" s="17" t="b">
        <x:v>0</x:v>
      </x:c>
      <x:c r="T447" s="18"/>
      <x:c r="U447" s="18"/>
    </x:row>
    <x:row r="448" ht="22" customHeight="1">
      <x:c r="A448" s="4" t="str">
        <x:v>Aurora</x:v>
      </x:c>
      <x:c r="B448" s="4" t="str">
        <x:v>SocialGood</x:v>
      </x:c>
      <x:c r="C448" s="4" t="n">
        <x:v>8</x:v>
      </x:c>
      <x:c r="D448" s="4" t="n">
        <x:v>2027</x:v>
      </x:c>
      <x:c r="E448" s="4" t="str">
        <x:v>no_variance_shrink</x:v>
      </x:c>
      <x:c r="F448" s="9" t="n">
        <x:v>1</x:v>
      </x:c>
      <x:c r="G448" s="9" t="n">
        <x:v>1.787518923563987</x:v>
      </x:c>
      <x:c r="H448" s="9" t="n">
        <x:v>0.886928983370291</x:v>
      </x:c>
      <x:c r="I448" s="9" t="n">
        <x:v>1.593573636023211</x:v>
      </x:c>
      <x:c r="J448" s="9" t="n">
        <x:v>0.794283769722505</x:v>
      </x:c>
      <x:c r="K448" s="9" t="n">
        <x:v>1.593573636023211</x:v>
      </x:c>
      <x:c r="L448" s="9" t="n">
        <x:v>0.794283769722505</x:v>
      </x:c>
      <x:c r="M448" s="9" t="n">
        <x:v>-10.849971151862514</x:v>
      </x:c>
      <x:c r="N448" s="9" t="n">
        <x:v>-10.445618012812927</x:v>
      </x:c>
      <x:c r="O448" s="9" t="n">
        <x:v>0.662988424301148</x:v>
      </x:c>
      <x:c r="P448" s="9" t="n">
        <x:v>0.20905613899231</x:v>
      </x:c>
      <x:c r="Q448" s="9" t="n">
        <x:v>171</x:v>
      </x:c>
      <x:c r="R448" s="9" t="n">
        <x:v>39</x:v>
      </x:c>
      <x:c r="S448" s="17" t="b">
        <x:v>1</x:v>
      </x:c>
      <x:c r="T448" s="18"/>
      <x:c r="U448" s="18"/>
    </x:row>
    <x:row r="449" ht="22" customHeight="1">
      <x:c r="A449" s="4" t="str">
        <x:v>TaTS</x:v>
      </x:c>
      <x:c r="B449" s="4" t="str">
        <x:v>SocialGood</x:v>
      </x:c>
      <x:c r="C449" s="4" t="n">
        <x:v>8</x:v>
      </x:c>
      <x:c r="D449" s="4" t="n">
        <x:v>2028</x:v>
      </x:c>
      <x:c r="E449" s="4" t="str">
        <x:v>no_variance_shrink</x:v>
      </x:c>
      <x:c r="F449" s="9" t="n">
        <x:v>0</x:v>
      </x:c>
      <x:c r="G449" s="9" t="n">
        <x:v>1.162219106256675</x:v>
      </x:c>
      <x:c r="H449" s="9" t="n">
        <x:v>0.684051583226966</x:v>
      </x:c>
      <x:c r="I449" s="9" t="n">
        <x:v>1.162219106256675</x:v>
      </x:c>
      <x:c r="J449" s="9" t="n">
        <x:v>0.684051583226966</x:v>
      </x:c>
      <x:c r="K449" s="9" t="n">
        <x:v>1.162219106335635</x:v>
      </x:c>
      <x:c r="L449" s="9" t="n">
        <x:v>0.684051583292439</x:v>
      </x:c>
      <x:c r="M449" s="9" t="n">
        <x:v>0</x:v>
      </x:c>
      <x:c r="N449" s="9" t="n">
        <x:v>0</x:v>
      </x:c>
      <x:c r="O449" s="9" t="n">
        <x:v>0.519023478031158</x:v>
      </x:c>
      <x:c r="P449" s="9" t="n">
        <x:v>1.15497e-10</x:v>
      </x:c>
      <x:c r="Q449" s="9" t="n">
        <x:v>171</x:v>
      </x:c>
      <x:c r="R449" s="9" t="n">
        <x:v>0</x:v>
      </x:c>
      <x:c r="S449" s="17" t="b">
        <x:v>0</x:v>
      </x:c>
      <x:c r="T449" s="18"/>
      <x:c r="U449" s="18"/>
    </x:row>
    <x:row r="450" ht="22" customHeight="1">
      <x:c r="A450" s="4" t="str">
        <x:v>MM-TSFlib</x:v>
      </x:c>
      <x:c r="B450" s="4" t="str">
        <x:v>SocialGood</x:v>
      </x:c>
      <x:c r="C450" s="4" t="n">
        <x:v>8</x:v>
      </x:c>
      <x:c r="D450" s="4" t="n">
        <x:v>2028</x:v>
      </x:c>
      <x:c r="E450" s="4" t="str">
        <x:v>no_variance_shrink</x:v>
      </x:c>
      <x:c r="F450" s="9" t="n">
        <x:v>0</x:v>
      </x:c>
      <x:c r="G450" s="9" t="n">
        <x:v>0.845313280627705</x:v>
      </x:c>
      <x:c r="H450" s="9" t="n">
        <x:v>0.472761638315663</x:v>
      </x:c>
      <x:c r="I450" s="9" t="n">
        <x:v>0.845313280627705</x:v>
      </x:c>
      <x:c r="J450" s="9" t="n">
        <x:v>0.472761638315663</x:v>
      </x:c>
      <x:c r="K450" s="9" t="n">
        <x:v>0.845313280872068</x:v>
      </x:c>
      <x:c r="L450" s="9" t="n">
        <x:v>0.472761638411415</x:v>
      </x:c>
      <x:c r="M450" s="9" t="n">
        <x:v>0</x:v>
      </x:c>
      <x:c r="N450" s="9" t="n">
        <x:v>0</x:v>
      </x:c>
      <x:c r="O450" s="9" t="n">
        <x:v>0.519023478031158</x:v>
      </x:c>
      <x:c r="P450" s="9" t="n">
        <x:v>2.38639e-10</x:v>
      </x:c>
      <x:c r="Q450" s="9" t="n">
        <x:v>171</x:v>
      </x:c>
      <x:c r="R450" s="9" t="n">
        <x:v>0</x:v>
      </x:c>
      <x:c r="S450" s="17" t="b">
        <x:v>0</x:v>
      </x:c>
      <x:c r="T450" s="18"/>
      <x:c r="U450" s="18"/>
    </x:row>
    <x:row r="451" ht="22" customHeight="1">
      <x:c r="A451" s="4" t="str">
        <x:v>SpecTF</x:v>
      </x:c>
      <x:c r="B451" s="4" t="str">
        <x:v>SocialGood</x:v>
      </x:c>
      <x:c r="C451" s="4" t="n">
        <x:v>8</x:v>
      </x:c>
      <x:c r="D451" s="4" t="n">
        <x:v>2028</x:v>
      </x:c>
      <x:c r="E451" s="4" t="str">
        <x:v>no_variance_shrink</x:v>
      </x:c>
      <x:c r="F451" s="9" t="n">
        <x:v>0.5</x:v>
      </x:c>
      <x:c r="G451" s="9" t="n">
        <x:v>1.095261793206274</x:v>
      </x:c>
      <x:c r="H451" s="9" t="n">
        <x:v>0.446760548192314</x:v>
      </x:c>
      <x:c r="I451" s="9" t="n">
        <x:v>1.095261793262936</x:v>
      </x:c>
      <x:c r="J451" s="9" t="n">
        <x:v>0.446760548229672</x:v>
      </x:c>
      <x:c r="K451" s="9" t="n">
        <x:v>1.095261793307609</x:v>
      </x:c>
      <x:c r="L451" s="9" t="n">
        <x:v>0.446760548270009</x:v>
      </x:c>
      <x:c r="M451" s="9" t="n">
        <x:v>5.173373e-9</x:v>
      </x:c>
      <x:c r="N451" s="9" t="n">
        <x:v>8.362067e-9</x:v>
      </x:c>
      <x:c r="O451" s="9" t="n">
        <x:v>0.519023478031158</x:v>
      </x:c>
      <x:c r="P451" s="9" t="n">
        <x:v>9.0816e-11</x:v>
      </x:c>
      <x:c r="Q451" s="9" t="n">
        <x:v>171</x:v>
      </x:c>
      <x:c r="R451" s="9" t="n">
        <x:v>0</x:v>
      </x:c>
      <x:c r="S451" s="17" t="b">
        <x:v>0</x:v>
      </x:c>
      <x:c r="T451" s="18"/>
      <x:c r="U451" s="18"/>
    </x:row>
    <x:row r="452" ht="22" customHeight="1">
      <x:c r="A452" s="4" t="str">
        <x:v>CFA</x:v>
      </x:c>
      <x:c r="B452" s="4" t="str">
        <x:v>SocialGood</x:v>
      </x:c>
      <x:c r="C452" s="4" t="n">
        <x:v>8</x:v>
      </x:c>
      <x:c r="D452" s="4" t="n">
        <x:v>2028</x:v>
      </x:c>
      <x:c r="E452" s="4" t="str">
        <x:v>no_variance_shrink</x:v>
      </x:c>
      <x:c r="F452" s="9" t="n">
        <x:v>0</x:v>
      </x:c>
      <x:c r="G452" s="9" t="n">
        <x:v>0.898235174273589</x:v>
      </x:c>
      <x:c r="H452" s="9" t="n">
        <x:v>0.405770752175945</x:v>
      </x:c>
      <x:c r="I452" s="9" t="n">
        <x:v>0.898235174273589</x:v>
      </x:c>
      <x:c r="J452" s="9" t="n">
        <x:v>0.405770752175945</x:v>
      </x:c>
      <x:c r="K452" s="9" t="n">
        <x:v>0.898235174328112</x:v>
      </x:c>
      <x:c r="L452" s="9" t="n">
        <x:v>0.405770752212197</x:v>
      </x:c>
      <x:c r="M452" s="9" t="n">
        <x:v>0</x:v>
      </x:c>
      <x:c r="N452" s="9" t="n">
        <x:v>0</x:v>
      </x:c>
      <x:c r="O452" s="9" t="n">
        <x:v>0.519023478031158</x:v>
      </x:c>
      <x:c r="P452" s="9" t="n">
        <x:v>8.3007e-11</x:v>
      </x:c>
      <x:c r="Q452" s="9" t="n">
        <x:v>171</x:v>
      </x:c>
      <x:c r="R452" s="9" t="n">
        <x:v>0</x:v>
      </x:c>
      <x:c r="S452" s="17" t="b">
        <x:v>0</x:v>
      </x:c>
      <x:c r="T452" s="18"/>
      <x:c r="U452" s="18"/>
    </x:row>
    <x:row r="453" ht="22" customHeight="1">
      <x:c r="A453" s="4" t="str">
        <x:v>Aurora</x:v>
      </x:c>
      <x:c r="B453" s="4" t="str">
        <x:v>SocialGood</x:v>
      </x:c>
      <x:c r="C453" s="4" t="n">
        <x:v>8</x:v>
      </x:c>
      <x:c r="D453" s="4" t="n">
        <x:v>2028</x:v>
      </x:c>
      <x:c r="E453" s="4" t="str">
        <x:v>no_variance_shrink</x:v>
      </x:c>
      <x:c r="F453" s="9" t="n">
        <x:v>0</x:v>
      </x:c>
      <x:c r="G453" s="9" t="n">
        <x:v>1.787518923563987</x:v>
      </x:c>
      <x:c r="H453" s="9" t="n">
        <x:v>0.886928983370291</x:v>
      </x:c>
      <x:c r="I453" s="9" t="n">
        <x:v>1.787518923563987</x:v>
      </x:c>
      <x:c r="J453" s="9" t="n">
        <x:v>0.886928983370291</x:v>
      </x:c>
      <x:c r="K453" s="9" t="n">
        <x:v>1.787518923280382</x:v>
      </x:c>
      <x:c r="L453" s="9" t="n">
        <x:v>0.886928983351824</x:v>
      </x:c>
      <x:c r="M453" s="9" t="n">
        <x:v>0</x:v>
      </x:c>
      <x:c r="N453" s="9" t="n">
        <x:v>0</x:v>
      </x:c>
      <x:c r="O453" s="9" t="n">
        <x:v>0.519023478031158</x:v>
      </x:c>
      <x:c r="P453" s="9" t="n">
        <x:v>1.17382e-10</x:v>
      </x:c>
      <x:c r="Q453" s="9" t="n">
        <x:v>171</x:v>
      </x:c>
      <x:c r="R453" s="9" t="n">
        <x:v>0</x:v>
      </x:c>
      <x:c r="S453" s="17" t="b">
        <x:v>0</x:v>
      </x:c>
      <x:c r="T453" s="18"/>
      <x:c r="U453" s="18"/>
    </x:row>
    <x:row r="454" ht="22" customHeight="1">
      <x:c r="A454" s="4" t="str">
        <x:v>TaTS</x:v>
      </x:c>
      <x:c r="B454" s="4" t="str">
        <x:v>SocialGood</x:v>
      </x:c>
      <x:c r="C454" s="4" t="n">
        <x:v>10</x:v>
      </x:c>
      <x:c r="D454" s="4" t="n">
        <x:v>2026</x:v>
      </x:c>
      <x:c r="E454" s="4" t="str">
        <x:v>no_variance_shrink</x:v>
      </x:c>
      <x:c r="F454" s="9" t="n">
        <x:v>0.75</x:v>
      </x:c>
      <x:c r="G454" s="9" t="n">
        <x:v>1.2931527146675</x:v>
      </x:c>
      <x:c r="H454" s="9" t="n">
        <x:v>0.738979146293414</x:v>
      </x:c>
      <x:c r="I454" s="9" t="n">
        <x:v>1.168847074950907</x:v>
      </x:c>
      <x:c r="J454" s="9" t="n">
        <x:v>0.681708503481464</x:v>
      </x:c>
      <x:c r="K454" s="9" t="n">
        <x:v>1.138251236858573</x:v>
      </x:c>
      <x:c r="L454" s="9" t="n">
        <x:v>0.66572535044938</x:v>
      </x:c>
      <x:c r="M454" s="9" t="n">
        <x:v>-9.612603237549934</x:v>
      </x:c>
      <x:c r="N454" s="9" t="n">
        <x:v>-7.749967383952539</x:v>
      </x:c>
      <x:c r="O454" s="9" t="n">
        <x:v>0.633041083812714</x:v>
      </x:c>
      <x:c r="P454" s="9" t="n">
        <x:v>0.247808337211609</x:v>
      </x:c>
      <x:c r="Q454" s="9" t="n">
        <x:v>169</x:v>
      </x:c>
      <x:c r="R454" s="9" t="n">
        <x:v>31</x:v>
      </x:c>
      <x:c r="S454" s="17" t="b">
        <x:v>1</x:v>
      </x:c>
      <x:c r="T454" s="18"/>
      <x:c r="U454" s="18"/>
    </x:row>
    <x:row r="455" ht="22" customHeight="1">
      <x:c r="A455" s="4" t="str">
        <x:v>MM-TSFlib</x:v>
      </x:c>
      <x:c r="B455" s="4" t="str">
        <x:v>SocialGood</x:v>
      </x:c>
      <x:c r="C455" s="4" t="n">
        <x:v>10</x:v>
      </x:c>
      <x:c r="D455" s="4" t="n">
        <x:v>2026</x:v>
      </x:c>
      <x:c r="E455" s="4" t="str">
        <x:v>no_variance_shrink</x:v>
      </x:c>
      <x:c r="F455" s="9" t="n">
        <x:v>0</x:v>
      </x:c>
      <x:c r="G455" s="9" t="n">
        <x:v>0.873862474943461</x:v>
      </x:c>
      <x:c r="H455" s="9" t="n">
        <x:v>0.494262819998269</x:v>
      </x:c>
      <x:c r="I455" s="9" t="n">
        <x:v>0.873862474943461</x:v>
      </x:c>
      <x:c r="J455" s="9" t="n">
        <x:v>0.494262819998269</x:v>
      </x:c>
      <x:c r="K455" s="9" t="n">
        <x:v>0.850572298168336</x:v>
      </x:c>
      <x:c r="L455" s="9" t="n">
        <x:v>0.463397463189559</x:v>
      </x:c>
      <x:c r="M455" s="9" t="n">
        <x:v>0</x:v>
      </x:c>
      <x:c r="N455" s="9" t="n">
        <x:v>0</x:v>
      </x:c>
      <x:c r="O455" s="9" t="n">
        <x:v>0.633041083812714</x:v>
      </x:c>
      <x:c r="P455" s="9" t="n">
        <x:v>0.20478193461895</x:v>
      </x:c>
      <x:c r="Q455" s="9" t="n">
        <x:v>169</x:v>
      </x:c>
      <x:c r="R455" s="9" t="n">
        <x:v>31</x:v>
      </x:c>
      <x:c r="S455" s="17" t="b">
        <x:v>0</x:v>
      </x:c>
      <x:c r="T455" s="18"/>
      <x:c r="U455" s="18"/>
    </x:row>
    <x:row r="456" ht="22" customHeight="1">
      <x:c r="A456" s="4" t="str">
        <x:v>SpecTF</x:v>
      </x:c>
      <x:c r="B456" s="4" t="str">
        <x:v>SocialGood</x:v>
      </x:c>
      <x:c r="C456" s="4" t="n">
        <x:v>10</x:v>
      </x:c>
      <x:c r="D456" s="4" t="n">
        <x:v>2026</x:v>
      </x:c>
      <x:c r="E456" s="4" t="str">
        <x:v>no_variance_shrink</x:v>
      </x:c>
      <x:c r="F456" s="9" t="n">
        <x:v>0</x:v>
      </x:c>
      <x:c r="G456" s="9" t="n">
        <x:v>1.397332776060035</x:v>
      </x:c>
      <x:c r="H456" s="9" t="n">
        <x:v>0.529995060401842</x:v>
      </x:c>
      <x:c r="I456" s="9" t="n">
        <x:v>1.397332776060035</x:v>
      </x:c>
      <x:c r="J456" s="9" t="n">
        <x:v>0.529995060401842</x:v>
      </x:c>
      <x:c r="K456" s="9" t="n">
        <x:v>1.314221270528189</x:v>
      </x:c>
      <x:c r="L456" s="9" t="n">
        <x:v>0.518447518733898</x:v>
      </x:c>
      <x:c r="M456" s="9" t="n">
        <x:v>0</x:v>
      </x:c>
      <x:c r="N456" s="9" t="n">
        <x:v>0</x:v>
      </x:c>
      <x:c r="O456" s="9" t="n">
        <x:v>0.633041083812714</x:v>
      </x:c>
      <x:c r="P456" s="9" t="n">
        <x:v>0.201453492045402</x:v>
      </x:c>
      <x:c r="Q456" s="9" t="n">
        <x:v>169</x:v>
      </x:c>
      <x:c r="R456" s="9" t="n">
        <x:v>31</x:v>
      </x:c>
      <x:c r="S456" s="17" t="b">
        <x:v>0</x:v>
      </x:c>
      <x:c r="T456" s="18"/>
      <x:c r="U456" s="18"/>
    </x:row>
    <x:row r="457" ht="22" customHeight="1">
      <x:c r="A457" s="4" t="str">
        <x:v>CFA</x:v>
      </x:c>
      <x:c r="B457" s="4" t="str">
        <x:v>SocialGood</x:v>
      </x:c>
      <x:c r="C457" s="4" t="n">
        <x:v>10</x:v>
      </x:c>
      <x:c r="D457" s="4" t="n">
        <x:v>2026</x:v>
      </x:c>
      <x:c r="E457" s="4" t="str">
        <x:v>no_variance_shrink</x:v>
      </x:c>
      <x:c r="F457" s="9" t="n">
        <x:v>0</x:v>
      </x:c>
      <x:c r="G457" s="9" t="n">
        <x:v>0.986262956084787</x:v>
      </x:c>
      <x:c r="H457" s="9" t="n">
        <x:v>0.448480175912777</x:v>
      </x:c>
      <x:c r="I457" s="9" t="n">
        <x:v>0.986262956084787</x:v>
      </x:c>
      <x:c r="J457" s="9" t="n">
        <x:v>0.448480175912777</x:v>
      </x:c>
      <x:c r="K457" s="9" t="n">
        <x:v>0.946536207481633</x:v>
      </x:c>
      <x:c r="L457" s="9" t="n">
        <x:v>0.437336176486146</x:v>
      </x:c>
      <x:c r="M457" s="9" t="n">
        <x:v>0</x:v>
      </x:c>
      <x:c r="N457" s="9" t="n">
        <x:v>0</x:v>
      </x:c>
      <x:c r="O457" s="9" t="n">
        <x:v>0.633041083812714</x:v>
      </x:c>
      <x:c r="P457" s="9" t="n">
        <x:v>0.209430530667305</x:v>
      </x:c>
      <x:c r="Q457" s="9" t="n">
        <x:v>169</x:v>
      </x:c>
      <x:c r="R457" s="9" t="n">
        <x:v>31</x:v>
      </x:c>
      <x:c r="S457" s="17" t="b">
        <x:v>0</x:v>
      </x:c>
      <x:c r="T457" s="18"/>
      <x:c r="U457" s="18"/>
    </x:row>
    <x:row r="458" ht="22" customHeight="1">
      <x:c r="A458" s="4" t="str">
        <x:v>Aurora</x:v>
      </x:c>
      <x:c r="B458" s="4" t="str">
        <x:v>SocialGood</x:v>
      </x:c>
      <x:c r="C458" s="4" t="n">
        <x:v>10</x:v>
      </x:c>
      <x:c r="D458" s="4" t="n">
        <x:v>2026</x:v>
      </x:c>
      <x:c r="E458" s="4" t="str">
        <x:v>no_variance_shrink</x:v>
      </x:c>
      <x:c r="F458" s="9" t="n">
        <x:v>0</x:v>
      </x:c>
      <x:c r="G458" s="9" t="n">
        <x:v>1.845812298898667</x:v>
      </x:c>
      <x:c r="H458" s="9" t="n">
        <x:v>0.911657756299108</x:v>
      </x:c>
      <x:c r="I458" s="9" t="n">
        <x:v>1.845812298898667</x:v>
      </x:c>
      <x:c r="J458" s="9" t="n">
        <x:v>0.911657756299108</x:v>
      </x:c>
      <x:c r="K458" s="9" t="n">
        <x:v>1.654629467807946</x:v>
      </x:c>
      <x:c r="L458" s="9" t="n">
        <x:v>0.818184443210533</x:v>
      </x:c>
      <x:c r="M458" s="9" t="n">
        <x:v>0</x:v>
      </x:c>
      <x:c r="N458" s="9" t="n">
        <x:v>0</x:v>
      </x:c>
      <x:c r="O458" s="9" t="n">
        <x:v>0.633041083812714</x:v>
      </x:c>
      <x:c r="P458" s="9" t="n">
        <x:v>0.27768611907959</x:v>
      </x:c>
      <x:c r="Q458" s="9" t="n">
        <x:v>169</x:v>
      </x:c>
      <x:c r="R458" s="9" t="n">
        <x:v>31</x:v>
      </x:c>
      <x:c r="S458" s="17" t="b">
        <x:v>0</x:v>
      </x:c>
      <x:c r="T458" s="18"/>
      <x:c r="U458" s="18"/>
    </x:row>
    <x:row r="459" ht="22" customHeight="1">
      <x:c r="A459" s="4" t="str">
        <x:v>TaTS</x:v>
      </x:c>
      <x:c r="B459" s="4" t="str">
        <x:v>SocialGood</x:v>
      </x:c>
      <x:c r="C459" s="4" t="n">
        <x:v>10</x:v>
      </x:c>
      <x:c r="D459" s="4" t="n">
        <x:v>2027</x:v>
      </x:c>
      <x:c r="E459" s="4" t="str">
        <x:v>no_variance_shrink</x:v>
      </x:c>
      <x:c r="F459" s="9" t="n">
        <x:v>1</x:v>
      </x:c>
      <x:c r="G459" s="9" t="n">
        <x:v>1.2931527146675</x:v>
      </x:c>
      <x:c r="H459" s="9" t="n">
        <x:v>0.738979146293414</x:v>
      </x:c>
      <x:c r="I459" s="9" t="n">
        <x:v>1.105491424394873</x:v>
      </x:c>
      <x:c r="J459" s="9" t="n">
        <x:v>0.649195408524626</x:v>
      </x:c>
      <x:c r="K459" s="9" t="n">
        <x:v>1.105491424394873</x:v>
      </x:c>
      <x:c r="L459" s="9" t="n">
        <x:v>0.649195408524626</x:v>
      </x:c>
      <x:c r="M459" s="9" t="n">
        <x:v>-14.511920219792362</x:v>
      </x:c>
      <x:c r="N459" s="9" t="n">
        <x:v>-12.149698434540046</x:v>
      </x:c>
      <x:c r="O459" s="9" t="n">
        <x:v>0.575555205345154</x:v>
      </x:c>
      <x:c r="P459" s="9" t="n">
        <x:v>0.266935616731644</x:v>
      </x:c>
      <x:c r="Q459" s="9" t="n">
        <x:v>169</x:v>
      </x:c>
      <x:c r="R459" s="9" t="n">
        <x:v>53</x:v>
      </x:c>
      <x:c r="S459" s="17" t="b">
        <x:v>1</x:v>
      </x:c>
      <x:c r="T459" s="18"/>
      <x:c r="U459" s="18"/>
    </x:row>
    <x:row r="460" ht="22" customHeight="1">
      <x:c r="A460" s="4" t="str">
        <x:v>MM-TSFlib</x:v>
      </x:c>
      <x:c r="B460" s="4" t="str">
        <x:v>SocialGood</x:v>
      </x:c>
      <x:c r="C460" s="4" t="n">
        <x:v>10</x:v>
      </x:c>
      <x:c r="D460" s="4" t="n">
        <x:v>2027</x:v>
      </x:c>
      <x:c r="E460" s="4" t="str">
        <x:v>no_variance_shrink</x:v>
      </x:c>
      <x:c r="F460" s="9" t="n">
        <x:v>0</x:v>
      </x:c>
      <x:c r="G460" s="9" t="n">
        <x:v>0.873862474943461</x:v>
      </x:c>
      <x:c r="H460" s="9" t="n">
        <x:v>0.494262819998269</x:v>
      </x:c>
      <x:c r="I460" s="9" t="n">
        <x:v>0.873862474943461</x:v>
      </x:c>
      <x:c r="J460" s="9" t="n">
        <x:v>0.494262819998269</x:v>
      </x:c>
      <x:c r="K460" s="9" t="n">
        <x:v>0.86103844662611</x:v>
      </x:c>
      <x:c r="L460" s="9" t="n">
        <x:v>0.462925979287843</x:v>
      </x:c>
      <x:c r="M460" s="9" t="n">
        <x:v>0</x:v>
      </x:c>
      <x:c r="N460" s="9" t="n">
        <x:v>0</x:v>
      </x:c>
      <x:c r="O460" s="9" t="n">
        <x:v>0.575555205345154</x:v>
      </x:c>
      <x:c r="P460" s="9" t="n">
        <x:v>0.198467791080475</x:v>
      </x:c>
      <x:c r="Q460" s="9" t="n">
        <x:v>169</x:v>
      </x:c>
      <x:c r="R460" s="9" t="n">
        <x:v>53</x:v>
      </x:c>
      <x:c r="S460" s="17" t="b">
        <x:v>0</x:v>
      </x:c>
      <x:c r="T460" s="18"/>
      <x:c r="U460" s="18"/>
    </x:row>
    <x:row r="461" ht="22" customHeight="1">
      <x:c r="A461" s="4" t="str">
        <x:v>SpecTF</x:v>
      </x:c>
      <x:c r="B461" s="4" t="str">
        <x:v>SocialGood</x:v>
      </x:c>
      <x:c r="C461" s="4" t="n">
        <x:v>10</x:v>
      </x:c>
      <x:c r="D461" s="4" t="n">
        <x:v>2027</x:v>
      </x:c>
      <x:c r="E461" s="4" t="str">
        <x:v>no_variance_shrink</x:v>
      </x:c>
      <x:c r="F461" s="9" t="n">
        <x:v>0</x:v>
      </x:c>
      <x:c r="G461" s="9" t="n">
        <x:v>1.397332776060035</x:v>
      </x:c>
      <x:c r="H461" s="9" t="n">
        <x:v>0.529995060401842</x:v>
      </x:c>
      <x:c r="I461" s="9" t="n">
        <x:v>1.397332776060035</x:v>
      </x:c>
      <x:c r="J461" s="9" t="n">
        <x:v>0.529995060401842</x:v>
      </x:c>
      <x:c r="K461" s="9" t="n">
        <x:v>1.248279618490186</x:v>
      </x:c>
      <x:c r="L461" s="9" t="n">
        <x:v>0.501689421107232</x:v>
      </x:c>
      <x:c r="M461" s="9" t="n">
        <x:v>0</x:v>
      </x:c>
      <x:c r="N461" s="9" t="n">
        <x:v>0</x:v>
      </x:c>
      <x:c r="O461" s="9" t="n">
        <x:v>0.575555205345154</x:v>
      </x:c>
      <x:c r="P461" s="9" t="n">
        <x:v>0.200385689735413</x:v>
      </x:c>
      <x:c r="Q461" s="9" t="n">
        <x:v>169</x:v>
      </x:c>
      <x:c r="R461" s="9" t="n">
        <x:v>53</x:v>
      </x:c>
      <x:c r="S461" s="17" t="b">
        <x:v>0</x:v>
      </x:c>
      <x:c r="T461" s="18"/>
      <x:c r="U461" s="18"/>
    </x:row>
    <x:row r="462" ht="22" customHeight="1">
      <x:c r="A462" s="4" t="str">
        <x:v>CFA</x:v>
      </x:c>
      <x:c r="B462" s="4" t="str">
        <x:v>SocialGood</x:v>
      </x:c>
      <x:c r="C462" s="4" t="n">
        <x:v>10</x:v>
      </x:c>
      <x:c r="D462" s="4" t="n">
        <x:v>2027</x:v>
      </x:c>
      <x:c r="E462" s="4" t="str">
        <x:v>no_variance_shrink</x:v>
      </x:c>
      <x:c r="F462" s="9" t="n">
        <x:v>0</x:v>
      </x:c>
      <x:c r="G462" s="9" t="n">
        <x:v>0.986262956084787</x:v>
      </x:c>
      <x:c r="H462" s="9" t="n">
        <x:v>0.448480175912777</x:v>
      </x:c>
      <x:c r="I462" s="9" t="n">
        <x:v>0.986262956084787</x:v>
      </x:c>
      <x:c r="J462" s="9" t="n">
        <x:v>0.448480175912777</x:v>
      </x:c>
      <x:c r="K462" s="9" t="n">
        <x:v>0.927666883843435</x:v>
      </x:c>
      <x:c r="L462" s="9" t="n">
        <x:v>0.434334034944427</x:v>
      </x:c>
      <x:c r="M462" s="9" t="n">
        <x:v>0</x:v>
      </x:c>
      <x:c r="N462" s="9" t="n">
        <x:v>0</x:v>
      </x:c>
      <x:c r="O462" s="9" t="n">
        <x:v>0.575555205345154</x:v>
      </x:c>
      <x:c r="P462" s="9" t="n">
        <x:v>0.202466547489166</x:v>
      </x:c>
      <x:c r="Q462" s="9" t="n">
        <x:v>169</x:v>
      </x:c>
      <x:c r="R462" s="9" t="n">
        <x:v>53</x:v>
      </x:c>
      <x:c r="S462" s="17" t="b">
        <x:v>0</x:v>
      </x:c>
      <x:c r="T462" s="18"/>
      <x:c r="U462" s="18"/>
    </x:row>
    <x:row r="463" ht="22" customHeight="1">
      <x:c r="A463" s="4" t="str">
        <x:v>Aurora</x:v>
      </x:c>
      <x:c r="B463" s="4" t="str">
        <x:v>SocialGood</x:v>
      </x:c>
      <x:c r="C463" s="4" t="n">
        <x:v>10</x:v>
      </x:c>
      <x:c r="D463" s="4" t="n">
        <x:v>2027</x:v>
      </x:c>
      <x:c r="E463" s="4" t="str">
        <x:v>no_variance_shrink</x:v>
      </x:c>
      <x:c r="F463" s="9" t="n">
        <x:v>1</x:v>
      </x:c>
      <x:c r="G463" s="9" t="n">
        <x:v>1.845812298898667</x:v>
      </x:c>
      <x:c r="H463" s="9" t="n">
        <x:v>0.911657756299108</x:v>
      </x:c>
      <x:c r="I463" s="9" t="n">
        <x:v>1.539083419032749</x:v>
      </x:c>
      <x:c r="J463" s="9" t="n">
        <x:v>0.775219302115268</x:v>
      </x:c>
      <x:c r="K463" s="9" t="n">
        <x:v>1.539083419032749</x:v>
      </x:c>
      <x:c r="L463" s="9" t="n">
        <x:v>0.775219302115268</x:v>
      </x:c>
      <x:c r="M463" s="9" t="n">
        <x:v>-16.617555319624465</x:v>
      </x:c>
      <x:c r="N463" s="9" t="n">
        <x:v>-14.965973057445936</x:v>
      </x:c>
      <x:c r="O463" s="9" t="n">
        <x:v>0.575555205345154</x:v>
      </x:c>
      <x:c r="P463" s="9" t="n">
        <x:v>0.299894988536835</x:v>
      </x:c>
      <x:c r="Q463" s="9" t="n">
        <x:v>169</x:v>
      </x:c>
      <x:c r="R463" s="9" t="n">
        <x:v>53</x:v>
      </x:c>
      <x:c r="S463" s="17" t="b">
        <x:v>1</x:v>
      </x:c>
      <x:c r="T463" s="18"/>
      <x:c r="U463" s="18"/>
    </x:row>
    <x:row r="464" ht="22" customHeight="1">
      <x:c r="A464" s="4" t="str">
        <x:v>TaTS</x:v>
      </x:c>
      <x:c r="B464" s="4" t="str">
        <x:v>SocialGood</x:v>
      </x:c>
      <x:c r="C464" s="4" t="n">
        <x:v>10</x:v>
      </x:c>
      <x:c r="D464" s="4" t="n">
        <x:v>2028</x:v>
      </x:c>
      <x:c r="E464" s="4" t="str">
        <x:v>no_variance_shrink</x:v>
      </x:c>
      <x:c r="F464" s="9" t="n">
        <x:v>0</x:v>
      </x:c>
      <x:c r="G464" s="9" t="n">
        <x:v>1.2931527146675</x:v>
      </x:c>
      <x:c r="H464" s="9" t="n">
        <x:v>0.738979146293414</x:v>
      </x:c>
      <x:c r="I464" s="9" t="n">
        <x:v>1.2931527146675</x:v>
      </x:c>
      <x:c r="J464" s="9" t="n">
        <x:v>0.738979146293414</x:v>
      </x:c>
      <x:c r="K464" s="9" t="n">
        <x:v>1.293152714587944</x:v>
      </x:c>
      <x:c r="L464" s="9" t="n">
        <x:v>0.738979146283942</x:v>
      </x:c>
      <x:c r="M464" s="9" t="n">
        <x:v>0</x:v>
      </x:c>
      <x:c r="N464" s="9" t="n">
        <x:v>0</x:v>
      </x:c>
      <x:c r="O464" s="9" t="n">
        <x:v>0.519024312496185</x:v>
      </x:c>
      <x:c r="P464" s="9" t="n">
        <x:v>2.40057e-10</x:v>
      </x:c>
      <x:c r="Q464" s="9" t="n">
        <x:v>169</x:v>
      </x:c>
      <x:c r="R464" s="9" t="n">
        <x:v>0</x:v>
      </x:c>
      <x:c r="S464" s="17" t="b">
        <x:v>0</x:v>
      </x:c>
      <x:c r="T464" s="18"/>
      <x:c r="U464" s="18"/>
    </x:row>
    <x:row r="465" ht="22" customHeight="1">
      <x:c r="A465" s="4" t="str">
        <x:v>MM-TSFlib</x:v>
      </x:c>
      <x:c r="B465" s="4" t="str">
        <x:v>SocialGood</x:v>
      </x:c>
      <x:c r="C465" s="4" t="n">
        <x:v>10</x:v>
      </x:c>
      <x:c r="D465" s="4" t="n">
        <x:v>2028</x:v>
      </x:c>
      <x:c r="E465" s="4" t="str">
        <x:v>no_variance_shrink</x:v>
      </x:c>
      <x:c r="F465" s="9" t="n">
        <x:v>0</x:v>
      </x:c>
      <x:c r="G465" s="9" t="n">
        <x:v>0.873862474943461</x:v>
      </x:c>
      <x:c r="H465" s="9" t="n">
        <x:v>0.494262819998269</x:v>
      </x:c>
      <x:c r="I465" s="9" t="n">
        <x:v>0.873862474943461</x:v>
      </x:c>
      <x:c r="J465" s="9" t="n">
        <x:v>0.494262819998269</x:v>
      </x:c>
      <x:c r="K465" s="9" t="n">
        <x:v>0.87386247454382</x:v>
      </x:c>
      <x:c r="L465" s="9" t="n">
        <x:v>0.494262819804772</x:v>
      </x:c>
      <x:c r="M465" s="9" t="n">
        <x:v>0</x:v>
      </x:c>
      <x:c r="N465" s="9" t="n">
        <x:v>0</x:v>
      </x:c>
      <x:c r="O465" s="9" t="n">
        <x:v>0.519024312496185</x:v>
      </x:c>
      <x:c r="P465" s="9" t="n">
        <x:v>3.98755e-10</x:v>
      </x:c>
      <x:c r="Q465" s="9" t="n">
        <x:v>169</x:v>
      </x:c>
      <x:c r="R465" s="9" t="n">
        <x:v>0</x:v>
      </x:c>
      <x:c r="S465" s="17" t="b">
        <x:v>0</x:v>
      </x:c>
      <x:c r="T465" s="18"/>
      <x:c r="U465" s="18"/>
    </x:row>
    <x:row r="466" ht="22" customHeight="1">
      <x:c r="A466" s="4" t="str">
        <x:v>SpecTF</x:v>
      </x:c>
      <x:c r="B466" s="4" t="str">
        <x:v>SocialGood</x:v>
      </x:c>
      <x:c r="C466" s="4" t="n">
        <x:v>10</x:v>
      </x:c>
      <x:c r="D466" s="4" t="n">
        <x:v>2028</x:v>
      </x:c>
      <x:c r="E466" s="4" t="str">
        <x:v>no_variance_shrink</x:v>
      </x:c>
      <x:c r="F466" s="9" t="n">
        <x:v>0.25</x:v>
      </x:c>
      <x:c r="G466" s="9" t="n">
        <x:v>1.397332776060035</x:v>
      </x:c>
      <x:c r="H466" s="9" t="n">
        <x:v>0.529995060401842</x:v>
      </x:c>
      <x:c r="I466" s="9" t="n">
        <x:v>1.39733277604714</x:v>
      </x:c>
      <x:c r="J466" s="9" t="n">
        <x:v>0.529995060392887</x:v>
      </x:c>
      <x:c r="K466" s="9" t="n">
        <x:v>1.39733277597172</x:v>
      </x:c>
      <x:c r="L466" s="9" t="n">
        <x:v>0.529995060345288</x:v>
      </x:c>
      <x:c r="M466" s="9" t="n">
        <x:v>-9.22851e-10</x:v>
      </x:c>
      <x:c r="N466" s="9" t="n">
        <x:v>-1.689626e-9</x:v>
      </x:c>
      <x:c r="O466" s="9" t="n">
        <x:v>0.519024312496185</x:v>
      </x:c>
      <x:c r="P466" s="9" t="n">
        <x:v>9.8387e-11</x:v>
      </x:c>
      <x:c r="Q466" s="9" t="n">
        <x:v>169</x:v>
      </x:c>
      <x:c r="R466" s="9" t="n">
        <x:v>0</x:v>
      </x:c>
      <x:c r="S466" s="17" t="b">
        <x:v>0</x:v>
      </x:c>
      <x:c r="T466" s="18"/>
      <x:c r="U466" s="18"/>
    </x:row>
    <x:row r="467" ht="22" customHeight="1">
      <x:c r="A467" s="4" t="str">
        <x:v>CFA</x:v>
      </x:c>
      <x:c r="B467" s="4" t="str">
        <x:v>SocialGood</x:v>
      </x:c>
      <x:c r="C467" s="4" t="n">
        <x:v>10</x:v>
      </x:c>
      <x:c r="D467" s="4" t="n">
        <x:v>2028</x:v>
      </x:c>
      <x:c r="E467" s="4" t="str">
        <x:v>no_variance_shrink</x:v>
      </x:c>
      <x:c r="F467" s="9" t="n">
        <x:v>0.5</x:v>
      </x:c>
      <x:c r="G467" s="9" t="n">
        <x:v>0.986262956084787</x:v>
      </x:c>
      <x:c r="H467" s="9" t="n">
        <x:v>0.448480175912777</x:v>
      </x:c>
      <x:c r="I467" s="9" t="n">
        <x:v>0.986262956030172</x:v>
      </x:c>
      <x:c r="J467" s="9" t="n">
        <x:v>0.448480175872273</x:v>
      </x:c>
      <x:c r="K467" s="9" t="n">
        <x:v>0.986262956001718</x:v>
      </x:c>
      <x:c r="L467" s="9" t="n">
        <x:v>0.448480175841137</x:v>
      </x:c>
      <x:c r="M467" s="9" t="n">
        <x:v>-5.537526e-9</x:v>
      </x:c>
      <x:c r="N467" s="9" t="n">
        <x:v>-9.031453e-9</x:v>
      </x:c>
      <x:c r="O467" s="9" t="n">
        <x:v>0.519024312496185</x:v>
      </x:c>
      <x:c r="P467" s="9" t="n">
        <x:v>1.11227e-10</x:v>
      </x:c>
      <x:c r="Q467" s="9" t="n">
        <x:v>169</x:v>
      </x:c>
      <x:c r="R467" s="9" t="n">
        <x:v>0</x:v>
      </x:c>
      <x:c r="S467" s="17" t="b">
        <x:v>0</x:v>
      </x:c>
      <x:c r="T467" s="18"/>
      <x:c r="U467" s="18"/>
    </x:row>
    <x:row r="468" ht="22" customHeight="1">
      <x:c r="A468" s="4" t="str">
        <x:v>Aurora</x:v>
      </x:c>
      <x:c r="B468" s="4" t="str">
        <x:v>SocialGood</x:v>
      </x:c>
      <x:c r="C468" s="4" t="n">
        <x:v>10</x:v>
      </x:c>
      <x:c r="D468" s="4" t="n">
        <x:v>2028</x:v>
      </x:c>
      <x:c r="E468" s="4" t="str">
        <x:v>no_variance_shrink</x:v>
      </x:c>
      <x:c r="F468" s="9" t="n">
        <x:v>0</x:v>
      </x:c>
      <x:c r="G468" s="9" t="n">
        <x:v>1.845812298898667</x:v>
      </x:c>
      <x:c r="H468" s="9" t="n">
        <x:v>0.911657756299108</x:v>
      </x:c>
      <x:c r="I468" s="9" t="n">
        <x:v>1.845812298898667</x:v>
      </x:c>
      <x:c r="J468" s="9" t="n">
        <x:v>0.911657756299108</x:v>
      </x:c>
      <x:c r="K468" s="9" t="n">
        <x:v>1.845812298955476</x:v>
      </x:c>
      <x:c r="L468" s="9" t="n">
        <x:v>0.911657756258535</x:v>
      </x:c>
      <x:c r="M468" s="9" t="n">
        <x:v>0</x:v>
      </x:c>
      <x:c r="N468" s="9" t="n">
        <x:v>0</x:v>
      </x:c>
      <x:c r="O468" s="9" t="n">
        <x:v>0.519024312496185</x:v>
      </x:c>
      <x:c r="P468" s="9" t="n">
        <x:v>1.66864e-10</x:v>
      </x:c>
      <x:c r="Q468" s="9" t="n">
        <x:v>169</x:v>
      </x:c>
      <x:c r="R468" s="9" t="n">
        <x:v>0</x:v>
      </x:c>
      <x:c r="S468" s="17" t="b">
        <x:v>0</x:v>
      </x:c>
      <x:c r="T468" s="18"/>
      <x:c r="U468" s="18"/>
    </x:row>
    <x:row r="469" ht="22" customHeight="1">
      <x:c r="A469" s="4" t="str">
        <x:v>TaTS</x:v>
      </x:c>
      <x:c r="B469" s="4" t="str">
        <x:v>SocialGood</x:v>
      </x:c>
      <x:c r="C469" s="4" t="n">
        <x:v>12</x:v>
      </x:c>
      <x:c r="D469" s="4" t="n">
        <x:v>2026</x:v>
      </x:c>
      <x:c r="E469" s="4" t="str">
        <x:v>no_variance_shrink</x:v>
      </x:c>
      <x:c r="F469" s="9" t="n">
        <x:v>0</x:v>
      </x:c>
      <x:c r="G469" s="9" t="n">
        <x:v>1.322838435281429</x:v>
      </x:c>
      <x:c r="H469" s="9" t="n">
        <x:v>0.710868656681758</x:v>
      </x:c>
      <x:c r="I469" s="9" t="n">
        <x:v>1.322838435281429</x:v>
      </x:c>
      <x:c r="J469" s="9" t="n">
        <x:v>0.710868656681758</x:v>
      </x:c>
      <x:c r="K469" s="9" t="n">
        <x:v>1.322838435507871</x:v>
      </x:c>
      <x:c r="L469" s="9" t="n">
        <x:v>0.710868656806625</x:v>
      </x:c>
      <x:c r="M469" s="9" t="n">
        <x:v>0</x:v>
      </x:c>
      <x:c r="N469" s="9" t="n">
        <x:v>0</x:v>
      </x:c>
      <x:c r="O469" s="9" t="n">
        <x:v>0.533210277557373</x:v>
      </x:c>
      <x:c r="P469" s="9" t="n">
        <x:v>1.43998e-10</x:v>
      </x:c>
      <x:c r="Q469" s="9" t="n">
        <x:v>167</x:v>
      </x:c>
      <x:c r="R469" s="9" t="n">
        <x:v>0</x:v>
      </x:c>
      <x:c r="S469" s="17" t="b">
        <x:v>0</x:v>
      </x:c>
      <x:c r="T469" s="18"/>
      <x:c r="U469" s="18"/>
    </x:row>
    <x:row r="470" ht="22" customHeight="1">
      <x:c r="A470" s="4" t="str">
        <x:v>MM-TSFlib</x:v>
      </x:c>
      <x:c r="B470" s="4" t="str">
        <x:v>SocialGood</x:v>
      </x:c>
      <x:c r="C470" s="4" t="n">
        <x:v>12</x:v>
      </x:c>
      <x:c r="D470" s="4" t="n">
        <x:v>2026</x:v>
      </x:c>
      <x:c r="E470" s="4" t="str">
        <x:v>no_variance_shrink</x:v>
      </x:c>
      <x:c r="F470" s="9" t="n">
        <x:v>1</x:v>
      </x:c>
      <x:c r="G470" s="9" t="n">
        <x:v>0.959502969792098</x:v>
      </x:c>
      <x:c r="H470" s="9" t="n">
        <x:v>0.539042540856924</x:v>
      </x:c>
      <x:c r="I470" s="9" t="n">
        <x:v>0.959502970078071</x:v>
      </x:c>
      <x:c r="J470" s="9" t="n">
        <x:v>0.539042540975344</x:v>
      </x:c>
      <x:c r="K470" s="9" t="n">
        <x:v>0.959502970078071</x:v>
      </x:c>
      <x:c r="L470" s="9" t="n">
        <x:v>0.539042540975344</x:v>
      </x:c>
      <x:c r="M470" s="9" t="n">
        <x:v>2.9804337e-8</x:v>
      </x:c>
      <x:c r="N470" s="9" t="n">
        <x:v>2.1968494e-8</x:v>
      </x:c>
      <x:c r="O470" s="9" t="n">
        <x:v>0.533210277557373</x:v>
      </x:c>
      <x:c r="P470" s="9" t="n">
        <x:v>2.35937e-10</x:v>
      </x:c>
      <x:c r="Q470" s="9" t="n">
        <x:v>167</x:v>
      </x:c>
      <x:c r="R470" s="9" t="n">
        <x:v>0</x:v>
      </x:c>
      <x:c r="S470" s="17" t="b">
        <x:v>0</x:v>
      </x:c>
      <x:c r="T470" s="18"/>
      <x:c r="U470" s="18"/>
    </x:row>
    <x:row r="471" ht="22" customHeight="1">
      <x:c r="A471" s="4" t="str">
        <x:v>SpecTF</x:v>
      </x:c>
      <x:c r="B471" s="4" t="str">
        <x:v>SocialGood</x:v>
      </x:c>
      <x:c r="C471" s="4" t="n">
        <x:v>12</x:v>
      </x:c>
      <x:c r="D471" s="4" t="n">
        <x:v>2026</x:v>
      </x:c>
      <x:c r="E471" s="4" t="str">
        <x:v>no_variance_shrink</x:v>
      </x:c>
      <x:c r="F471" s="9" t="n">
        <x:v>0</x:v>
      </x:c>
      <x:c r="G471" s="9" t="n">
        <x:v>1.302310829209715</x:v>
      </x:c>
      <x:c r="H471" s="9" t="n">
        <x:v>0.559672231917124</x:v>
      </x:c>
      <x:c r="I471" s="9" t="n">
        <x:v>1.302310829209715</x:v>
      </x:c>
      <x:c r="J471" s="9" t="n">
        <x:v>0.559672231917124</x:v>
      </x:c>
      <x:c r="K471" s="9" t="n">
        <x:v>1.302310829334337</x:v>
      </x:c>
      <x:c r="L471" s="9" t="n">
        <x:v>0.559672231967293</x:v>
      </x:c>
      <x:c r="M471" s="9" t="n">
        <x:v>0</x:v>
      </x:c>
      <x:c r="N471" s="9" t="n">
        <x:v>0</x:v>
      </x:c>
      <x:c r="O471" s="9" t="n">
        <x:v>0.533210277557373</x:v>
      </x:c>
      <x:c r="P471" s="9" t="n">
        <x:v>8.3643e-11</x:v>
      </x:c>
      <x:c r="Q471" s="9" t="n">
        <x:v>167</x:v>
      </x:c>
      <x:c r="R471" s="9" t="n">
        <x:v>0</x:v>
      </x:c>
      <x:c r="S471" s="17" t="b">
        <x:v>0</x:v>
      </x:c>
      <x:c r="T471" s="18"/>
      <x:c r="U471" s="18"/>
    </x:row>
    <x:row r="472" ht="22" customHeight="1">
      <x:c r="A472" s="4" t="str">
        <x:v>CFA</x:v>
      </x:c>
      <x:c r="B472" s="4" t="str">
        <x:v>SocialGood</x:v>
      </x:c>
      <x:c r="C472" s="4" t="n">
        <x:v>12</x:v>
      </x:c>
      <x:c r="D472" s="4" t="n">
        <x:v>2026</x:v>
      </x:c>
      <x:c r="E472" s="4" t="str">
        <x:v>no_variance_shrink</x:v>
      </x:c>
      <x:c r="F472" s="9" t="n">
        <x:v>1</x:v>
      </x:c>
      <x:c r="G472" s="9" t="n">
        <x:v>1.142629104710975</x:v>
      </x:c>
      <x:c r="H472" s="9" t="n">
        <x:v>0.494639030891934</x:v>
      </x:c>
      <x:c r="I472" s="9" t="n">
        <x:v>1.142629104767959</x:v>
      </x:c>
      <x:c r="J472" s="9" t="n">
        <x:v>0.494639030907734</x:v>
      </x:c>
      <x:c r="K472" s="9" t="n">
        <x:v>1.142629104767959</x:v>
      </x:c>
      <x:c r="L472" s="9" t="n">
        <x:v>0.494639030907734</x:v>
      </x:c>
      <x:c r="M472" s="9" t="n">
        <x:v>4.987122e-9</x:v>
      </x:c>
      <x:c r="N472" s="9" t="n">
        <x:v>3.194423e-9</x:v>
      </x:c>
      <x:c r="O472" s="9" t="n">
        <x:v>0.533210277557373</x:v>
      </x:c>
      <x:c r="P472" s="9" t="n">
        <x:v>1.10424e-10</x:v>
      </x:c>
      <x:c r="Q472" s="9" t="n">
        <x:v>167</x:v>
      </x:c>
      <x:c r="R472" s="9" t="n">
        <x:v>0</x:v>
      </x:c>
      <x:c r="S472" s="17" t="b">
        <x:v>0</x:v>
      </x:c>
      <x:c r="T472" s="18"/>
      <x:c r="U472" s="18"/>
    </x:row>
    <x:row r="473" ht="22" customHeight="1">
      <x:c r="A473" s="4" t="str">
        <x:v>Aurora</x:v>
      </x:c>
      <x:c r="B473" s="4" t="str">
        <x:v>SocialGood</x:v>
      </x:c>
      <x:c r="C473" s="4" t="n">
        <x:v>12</x:v>
      </x:c>
      <x:c r="D473" s="4" t="n">
        <x:v>2026</x:v>
      </x:c>
      <x:c r="E473" s="4" t="str">
        <x:v>no_variance_shrink</x:v>
      </x:c>
      <x:c r="F473" s="9" t="n">
        <x:v>0</x:v>
      </x:c>
      <x:c r="G473" s="9" t="n">
        <x:v>1.875486889792586</x:v>
      </x:c>
      <x:c r="H473" s="9" t="n">
        <x:v>0.926477648442188</x:v>
      </x:c>
      <x:c r="I473" s="9" t="n">
        <x:v>1.875486889792586</x:v>
      </x:c>
      <x:c r="J473" s="9" t="n">
        <x:v>0.926477648442188</x:v>
      </x:c>
      <x:c r="K473" s="9" t="n">
        <x:v>1.875486889780404</x:v>
      </x:c>
      <x:c r="L473" s="9" t="n">
        <x:v>0.926477648442478</x:v>
      </x:c>
      <x:c r="M473" s="9" t="n">
        <x:v>0</x:v>
      </x:c>
      <x:c r="N473" s="9" t="n">
        <x:v>0</x:v>
      </x:c>
      <x:c r="O473" s="9" t="n">
        <x:v>0.533210277557373</x:v>
      </x:c>
      <x:c r="P473" s="9" t="n">
        <x:v>1.40897e-10</x:v>
      </x:c>
      <x:c r="Q473" s="9" t="n">
        <x:v>167</x:v>
      </x:c>
      <x:c r="R473" s="9" t="n">
        <x:v>0</x:v>
      </x:c>
      <x:c r="S473" s="17" t="b">
        <x:v>0</x:v>
      </x:c>
      <x:c r="T473" s="18"/>
      <x:c r="U473" s="18"/>
    </x:row>
    <x:row r="474" ht="22" customHeight="1">
      <x:c r="A474" s="4" t="str">
        <x:v>TaTS</x:v>
      </x:c>
      <x:c r="B474" s="4" t="str">
        <x:v>SocialGood</x:v>
      </x:c>
      <x:c r="C474" s="4" t="n">
        <x:v>12</x:v>
      </x:c>
      <x:c r="D474" s="4" t="n">
        <x:v>2027</x:v>
      </x:c>
      <x:c r="E474" s="4" t="str">
        <x:v>no_variance_shrink</x:v>
      </x:c>
      <x:c r="F474" s="9" t="n">
        <x:v>0</x:v>
      </x:c>
      <x:c r="G474" s="9" t="n">
        <x:v>1.322838435281429</x:v>
      </x:c>
      <x:c r="H474" s="9" t="n">
        <x:v>0.710868656681758</x:v>
      </x:c>
      <x:c r="I474" s="9" t="n">
        <x:v>1.322838435281429</x:v>
      </x:c>
      <x:c r="J474" s="9" t="n">
        <x:v>0.710868656681758</x:v>
      </x:c>
      <x:c r="K474" s="9" t="n">
        <x:v>1.325258812189517</x:v>
      </x:c>
      <x:c r="L474" s="9" t="n">
        <x:v>0.71241205182143</x:v>
      </x:c>
      <x:c r="M474" s="9" t="n">
        <x:v>0</x:v>
      </x:c>
      <x:c r="N474" s="9" t="n">
        <x:v>0</x:v>
      </x:c>
      <x:c r="O474" s="9" t="n">
        <x:v>0.524562418460846</x:v>
      </x:c>
      <x:c r="P474" s="9" t="n">
        <x:v>0.054593868553638</x:v>
      </x:c>
      <x:c r="Q474" s="9" t="n">
        <x:v>167</x:v>
      </x:c>
      <x:c r="R474" s="9" t="n">
        <x:v>12</x:v>
      </x:c>
      <x:c r="S474" s="17" t="b">
        <x:v>0</x:v>
      </x:c>
      <x:c r="T474" s="18"/>
      <x:c r="U474" s="18"/>
    </x:row>
    <x:row r="475" ht="22" customHeight="1">
      <x:c r="A475" s="4" t="str">
        <x:v>MM-TSFlib</x:v>
      </x:c>
      <x:c r="B475" s="4" t="str">
        <x:v>SocialGood</x:v>
      </x:c>
      <x:c r="C475" s="4" t="n">
        <x:v>12</x:v>
      </x:c>
      <x:c r="D475" s="4" t="n">
        <x:v>2027</x:v>
      </x:c>
      <x:c r="E475" s="4" t="str">
        <x:v>no_variance_shrink</x:v>
      </x:c>
      <x:c r="F475" s="9" t="n">
        <x:v>1</x:v>
      </x:c>
      <x:c r="G475" s="9" t="n">
        <x:v>0.959502969792098</x:v>
      </x:c>
      <x:c r="H475" s="9" t="n">
        <x:v>0.539042540856924</x:v>
      </x:c>
      <x:c r="I475" s="9" t="n">
        <x:v>0.959205727115947</x:v>
      </x:c>
      <x:c r="J475" s="9" t="n">
        <x:v>0.540681719902657</x:v>
      </x:c>
      <x:c r="K475" s="9" t="n">
        <x:v>0.959205727115947</x:v>
      </x:c>
      <x:c r="L475" s="9" t="n">
        <x:v>0.540681719902657</x:v>
      </x:c>
      <x:c r="M475" s="9" t="n">
        <x:v>-0.030978817732585</x:v>
      </x:c>
      <x:c r="N475" s="9" t="n">
        <x:v>0.304090850255956</x:v>
      </x:c>
      <x:c r="O475" s="9" t="n">
        <x:v>0.524562418460846</x:v>
      </x:c>
      <x:c r="P475" s="9" t="n">
        <x:v>0.061544567346573</x:v>
      </x:c>
      <x:c r="Q475" s="9" t="n">
        <x:v>167</x:v>
      </x:c>
      <x:c r="R475" s="9" t="n">
        <x:v>12</x:v>
      </x:c>
      <x:c r="S475" s="17" t="b">
        <x:v>1</x:v>
      </x:c>
      <x:c r="T475" s="18"/>
      <x:c r="U475" s="18"/>
    </x:row>
    <x:row r="476" ht="22" customHeight="1">
      <x:c r="A476" s="4" t="str">
        <x:v>SpecTF</x:v>
      </x:c>
      <x:c r="B476" s="4" t="str">
        <x:v>SocialGood</x:v>
      </x:c>
      <x:c r="C476" s="4" t="n">
        <x:v>12</x:v>
      </x:c>
      <x:c r="D476" s="4" t="n">
        <x:v>2027</x:v>
      </x:c>
      <x:c r="E476" s="4" t="str">
        <x:v>no_variance_shrink</x:v>
      </x:c>
      <x:c r="F476" s="9" t="n">
        <x:v>0</x:v>
      </x:c>
      <x:c r="G476" s="9" t="n">
        <x:v>1.302310829209715</x:v>
      </x:c>
      <x:c r="H476" s="9" t="n">
        <x:v>0.559672231917124</x:v>
      </x:c>
      <x:c r="I476" s="9" t="n">
        <x:v>1.302310829209715</x:v>
      </x:c>
      <x:c r="J476" s="9" t="n">
        <x:v>0.559672231917124</x:v>
      </x:c>
      <x:c r="K476" s="9" t="n">
        <x:v>1.297417540238102</x:v>
      </x:c>
      <x:c r="L476" s="9" t="n">
        <x:v>0.559233478840232</x:v>
      </x:c>
      <x:c r="M476" s="9" t="n">
        <x:v>0</x:v>
      </x:c>
      <x:c r="N476" s="9" t="n">
        <x:v>0</x:v>
      </x:c>
      <x:c r="O476" s="9" t="n">
        <x:v>0.524562418460846</x:v>
      </x:c>
      <x:c r="P476" s="9" t="n">
        <x:v>0.060703322291374</x:v>
      </x:c>
      <x:c r="Q476" s="9" t="n">
        <x:v>167</x:v>
      </x:c>
      <x:c r="R476" s="9" t="n">
        <x:v>12</x:v>
      </x:c>
      <x:c r="S476" s="17" t="b">
        <x:v>0</x:v>
      </x:c>
      <x:c r="T476" s="18"/>
      <x:c r="U476" s="18"/>
    </x:row>
    <x:row r="477" ht="22" customHeight="1">
      <x:c r="A477" s="4" t="str">
        <x:v>CFA</x:v>
      </x:c>
      <x:c r="B477" s="4" t="str">
        <x:v>SocialGood</x:v>
      </x:c>
      <x:c r="C477" s="4" t="n">
        <x:v>12</x:v>
      </x:c>
      <x:c r="D477" s="4" t="n">
        <x:v>2027</x:v>
      </x:c>
      <x:c r="E477" s="4" t="str">
        <x:v>no_variance_shrink</x:v>
      </x:c>
      <x:c r="F477" s="9" t="n">
        <x:v>0</x:v>
      </x:c>
      <x:c r="G477" s="9" t="n">
        <x:v>1.142629104710975</x:v>
      </x:c>
      <x:c r="H477" s="9" t="n">
        <x:v>0.494639030891934</x:v>
      </x:c>
      <x:c r="I477" s="9" t="n">
        <x:v>1.142629104710975</x:v>
      </x:c>
      <x:c r="J477" s="9" t="n">
        <x:v>0.494639030891934</x:v>
      </x:c>
      <x:c r="K477" s="9" t="n">
        <x:v>1.133478501389736</x:v>
      </x:c>
      <x:c r="L477" s="9" t="n">
        <x:v>0.490112623550925</x:v>
      </x:c>
      <x:c r="M477" s="9" t="n">
        <x:v>0</x:v>
      </x:c>
      <x:c r="N477" s="9" t="n">
        <x:v>0</x:v>
      </x:c>
      <x:c r="O477" s="9" t="n">
        <x:v>0.524562418460846</x:v>
      </x:c>
      <x:c r="P477" s="9" t="n">
        <x:v>0.061670552939176</x:v>
      </x:c>
      <x:c r="Q477" s="9" t="n">
        <x:v>167</x:v>
      </x:c>
      <x:c r="R477" s="9" t="n">
        <x:v>12</x:v>
      </x:c>
      <x:c r="S477" s="17" t="b">
        <x:v>0</x:v>
      </x:c>
      <x:c r="T477" s="18"/>
      <x:c r="U477" s="18"/>
    </x:row>
    <x:row r="478" ht="22" customHeight="1">
      <x:c r="A478" s="4" t="str">
        <x:v>Aurora</x:v>
      </x:c>
      <x:c r="B478" s="4" t="str">
        <x:v>SocialGood</x:v>
      </x:c>
      <x:c r="C478" s="4" t="n">
        <x:v>12</x:v>
      </x:c>
      <x:c r="D478" s="4" t="n">
        <x:v>2027</x:v>
      </x:c>
      <x:c r="E478" s="4" t="str">
        <x:v>no_variance_shrink</x:v>
      </x:c>
      <x:c r="F478" s="9" t="n">
        <x:v>0</x:v>
      </x:c>
      <x:c r="G478" s="9" t="n">
        <x:v>1.875486889792586</x:v>
      </x:c>
      <x:c r="H478" s="9" t="n">
        <x:v>0.926477648442188</x:v>
      </x:c>
      <x:c r="I478" s="9" t="n">
        <x:v>1.875486889792586</x:v>
      </x:c>
      <x:c r="J478" s="9" t="n">
        <x:v>0.926477648442188</x:v>
      </x:c>
      <x:c r="K478" s="9" t="n">
        <x:v>1.842535518551438</x:v>
      </x:c>
      <x:c r="L478" s="9" t="n">
        <x:v>0.917847555163251</x:v>
      </x:c>
      <x:c r="M478" s="9" t="n">
        <x:v>0</x:v>
      </x:c>
      <x:c r="N478" s="9" t="n">
        <x:v>0</x:v>
      </x:c>
      <x:c r="O478" s="9" t="n">
        <x:v>0.524562418460846</x:v>
      </x:c>
      <x:c r="P478" s="9" t="n">
        <x:v>0.056322235614061</x:v>
      </x:c>
      <x:c r="Q478" s="9" t="n">
        <x:v>167</x:v>
      </x:c>
      <x:c r="R478" s="9" t="n">
        <x:v>12</x:v>
      </x:c>
      <x:c r="S478" s="17" t="b">
        <x:v>0</x:v>
      </x:c>
      <x:c r="T478" s="18"/>
      <x:c r="U478" s="18"/>
    </x:row>
    <x:row r="479" ht="22" customHeight="1">
      <x:c r="A479" s="4" t="str">
        <x:v>TaTS</x:v>
      </x:c>
      <x:c r="B479" s="4" t="str">
        <x:v>SocialGood</x:v>
      </x:c>
      <x:c r="C479" s="4" t="n">
        <x:v>12</x:v>
      </x:c>
      <x:c r="D479" s="4" t="n">
        <x:v>2028</x:v>
      </x:c>
      <x:c r="E479" s="4" t="str">
        <x:v>no_variance_shrink</x:v>
      </x:c>
      <x:c r="F479" s="9" t="n">
        <x:v>0</x:v>
      </x:c>
      <x:c r="G479" s="9" t="n">
        <x:v>1.322838435281429</x:v>
      </x:c>
      <x:c r="H479" s="9" t="n">
        <x:v>0.710868656681758</x:v>
      </x:c>
      <x:c r="I479" s="9" t="n">
        <x:v>1.322838435281429</x:v>
      </x:c>
      <x:c r="J479" s="9" t="n">
        <x:v>0.710868656681758</x:v>
      </x:c>
      <x:c r="K479" s="9" t="n">
        <x:v>1.322838435507871</x:v>
      </x:c>
      <x:c r="L479" s="9" t="n">
        <x:v>0.710868656806625</x:v>
      </x:c>
      <x:c r="M479" s="9" t="n">
        <x:v>0</x:v>
      </x:c>
      <x:c r="N479" s="9" t="n">
        <x:v>0</x:v>
      </x:c>
      <x:c r="O479" s="9" t="n">
        <x:v>0.519023299217224</x:v>
      </x:c>
      <x:c r="P479" s="9" t="n">
        <x:v>1.43998e-10</x:v>
      </x:c>
      <x:c r="Q479" s="9" t="n">
        <x:v>167</x:v>
      </x:c>
      <x:c r="R479" s="9" t="n">
        <x:v>0</x:v>
      </x:c>
      <x:c r="S479" s="17" t="b">
        <x:v>0</x:v>
      </x:c>
      <x:c r="T479" s="18"/>
      <x:c r="U479" s="18"/>
    </x:row>
    <x:row r="480" ht="22" customHeight="1">
      <x:c r="A480" s="4" t="str">
        <x:v>MM-TSFlib</x:v>
      </x:c>
      <x:c r="B480" s="4" t="str">
        <x:v>SocialGood</x:v>
      </x:c>
      <x:c r="C480" s="4" t="n">
        <x:v>12</x:v>
      </x:c>
      <x:c r="D480" s="4" t="n">
        <x:v>2028</x:v>
      </x:c>
      <x:c r="E480" s="4" t="str">
        <x:v>no_variance_shrink</x:v>
      </x:c>
      <x:c r="F480" s="9" t="n">
        <x:v>1</x:v>
      </x:c>
      <x:c r="G480" s="9" t="n">
        <x:v>0.959502969792098</x:v>
      </x:c>
      <x:c r="H480" s="9" t="n">
        <x:v>0.539042540856924</x:v>
      </x:c>
      <x:c r="I480" s="9" t="n">
        <x:v>0.959502970078071</x:v>
      </x:c>
      <x:c r="J480" s="9" t="n">
        <x:v>0.539042540975344</x:v>
      </x:c>
      <x:c r="K480" s="9" t="n">
        <x:v>0.959502970078071</x:v>
      </x:c>
      <x:c r="L480" s="9" t="n">
        <x:v>0.539042540975344</x:v>
      </x:c>
      <x:c r="M480" s="9" t="n">
        <x:v>2.9804337e-8</x:v>
      </x:c>
      <x:c r="N480" s="9" t="n">
        <x:v>2.1968494e-8</x:v>
      </x:c>
      <x:c r="O480" s="9" t="n">
        <x:v>0.519023299217224</x:v>
      </x:c>
      <x:c r="P480" s="9" t="n">
        <x:v>2.35937e-10</x:v>
      </x:c>
      <x:c r="Q480" s="9" t="n">
        <x:v>167</x:v>
      </x:c>
      <x:c r="R480" s="9" t="n">
        <x:v>0</x:v>
      </x:c>
      <x:c r="S480" s="17" t="b">
        <x:v>0</x:v>
      </x:c>
      <x:c r="T480" s="18"/>
      <x:c r="U480" s="18"/>
    </x:row>
    <x:row r="481" ht="22" customHeight="1">
      <x:c r="A481" s="4" t="str">
        <x:v>SpecTF</x:v>
      </x:c>
      <x:c r="B481" s="4" t="str">
        <x:v>SocialGood</x:v>
      </x:c>
      <x:c r="C481" s="4" t="n">
        <x:v>12</x:v>
      </x:c>
      <x:c r="D481" s="4" t="n">
        <x:v>2028</x:v>
      </x:c>
      <x:c r="E481" s="4" t="str">
        <x:v>no_variance_shrink</x:v>
      </x:c>
      <x:c r="F481" s="9" t="n">
        <x:v>0</x:v>
      </x:c>
      <x:c r="G481" s="9" t="n">
        <x:v>1.302310829209715</x:v>
      </x:c>
      <x:c r="H481" s="9" t="n">
        <x:v>0.559672231917124</x:v>
      </x:c>
      <x:c r="I481" s="9" t="n">
        <x:v>1.302310829209715</x:v>
      </x:c>
      <x:c r="J481" s="9" t="n">
        <x:v>0.559672231917124</x:v>
      </x:c>
      <x:c r="K481" s="9" t="n">
        <x:v>1.302310829334337</x:v>
      </x:c>
      <x:c r="L481" s="9" t="n">
        <x:v>0.559672231967293</x:v>
      </x:c>
      <x:c r="M481" s="9" t="n">
        <x:v>0</x:v>
      </x:c>
      <x:c r="N481" s="9" t="n">
        <x:v>0</x:v>
      </x:c>
      <x:c r="O481" s="9" t="n">
        <x:v>0.519023299217224</x:v>
      </x:c>
      <x:c r="P481" s="9" t="n">
        <x:v>8.3643e-11</x:v>
      </x:c>
      <x:c r="Q481" s="9" t="n">
        <x:v>167</x:v>
      </x:c>
      <x:c r="R481" s="9" t="n">
        <x:v>0</x:v>
      </x:c>
      <x:c r="S481" s="17" t="b">
        <x:v>0</x:v>
      </x:c>
      <x:c r="T481" s="18"/>
      <x:c r="U481" s="18"/>
    </x:row>
    <x:row r="482" ht="22" customHeight="1">
      <x:c r="A482" s="4" t="str">
        <x:v>CFA</x:v>
      </x:c>
      <x:c r="B482" s="4" t="str">
        <x:v>SocialGood</x:v>
      </x:c>
      <x:c r="C482" s="4" t="n">
        <x:v>12</x:v>
      </x:c>
      <x:c r="D482" s="4" t="n">
        <x:v>2028</x:v>
      </x:c>
      <x:c r="E482" s="4" t="str">
        <x:v>no_variance_shrink</x:v>
      </x:c>
      <x:c r="F482" s="9" t="n">
        <x:v>1</x:v>
      </x:c>
      <x:c r="G482" s="9" t="n">
        <x:v>1.142629104710975</x:v>
      </x:c>
      <x:c r="H482" s="9" t="n">
        <x:v>0.494639030891934</x:v>
      </x:c>
      <x:c r="I482" s="9" t="n">
        <x:v>1.142629104767959</x:v>
      </x:c>
      <x:c r="J482" s="9" t="n">
        <x:v>0.494639030907734</x:v>
      </x:c>
      <x:c r="K482" s="9" t="n">
        <x:v>1.142629104767959</x:v>
      </x:c>
      <x:c r="L482" s="9" t="n">
        <x:v>0.494639030907734</x:v>
      </x:c>
      <x:c r="M482" s="9" t="n">
        <x:v>4.987122e-9</x:v>
      </x:c>
      <x:c r="N482" s="9" t="n">
        <x:v>3.194423e-9</x:v>
      </x:c>
      <x:c r="O482" s="9" t="n">
        <x:v>0.519023299217224</x:v>
      </x:c>
      <x:c r="P482" s="9" t="n">
        <x:v>1.10424e-10</x:v>
      </x:c>
      <x:c r="Q482" s="9" t="n">
        <x:v>167</x:v>
      </x:c>
      <x:c r="R482" s="9" t="n">
        <x:v>0</x:v>
      </x:c>
      <x:c r="S482" s="17" t="b">
        <x:v>0</x:v>
      </x:c>
      <x:c r="T482" s="18"/>
      <x:c r="U482" s="18"/>
    </x:row>
    <x:row r="483" ht="22" customHeight="1">
      <x:c r="A483" s="4" t="str">
        <x:v>Aurora</x:v>
      </x:c>
      <x:c r="B483" s="4" t="str">
        <x:v>SocialGood</x:v>
      </x:c>
      <x:c r="C483" s="4" t="n">
        <x:v>12</x:v>
      </x:c>
      <x:c r="D483" s="4" t="n">
        <x:v>2028</x:v>
      </x:c>
      <x:c r="E483" s="4" t="str">
        <x:v>no_variance_shrink</x:v>
      </x:c>
      <x:c r="F483" s="9" t="n">
        <x:v>0</x:v>
      </x:c>
      <x:c r="G483" s="9" t="n">
        <x:v>1.875486889792586</x:v>
      </x:c>
      <x:c r="H483" s="9" t="n">
        <x:v>0.926477648442188</x:v>
      </x:c>
      <x:c r="I483" s="9" t="n">
        <x:v>1.875486889792586</x:v>
      </x:c>
      <x:c r="J483" s="9" t="n">
        <x:v>0.926477648442188</x:v>
      </x:c>
      <x:c r="K483" s="9" t="n">
        <x:v>1.875486889780404</x:v>
      </x:c>
      <x:c r="L483" s="9" t="n">
        <x:v>0.926477648442478</x:v>
      </x:c>
      <x:c r="M483" s="9" t="n">
        <x:v>0</x:v>
      </x:c>
      <x:c r="N483" s="9" t="n">
        <x:v>0</x:v>
      </x:c>
      <x:c r="O483" s="9" t="n">
        <x:v>0.519023299217224</x:v>
      </x:c>
      <x:c r="P483" s="9" t="n">
        <x:v>1.40897e-10</x:v>
      </x:c>
      <x:c r="Q483" s="9" t="n">
        <x:v>167</x:v>
      </x:c>
      <x:c r="R483" s="9" t="n">
        <x:v>0</x:v>
      </x:c>
      <x:c r="S483" s="17" t="b">
        <x:v>0</x:v>
      </x:c>
      <x:c r="T483" s="18"/>
      <x:c r="U483" s="18"/>
    </x:row>
    <x:row r="484" ht="22" customHeight="1">
      <x:c r="A484" s="4" t="str">
        <x:v>TaTS</x:v>
      </x:c>
      <x:c r="B484" s="4" t="str">
        <x:v>Traffic</x:v>
      </x:c>
      <x:c r="C484" s="4" t="n">
        <x:v>6</x:v>
      </x:c>
      <x:c r="D484" s="4" t="n">
        <x:v>2026</x:v>
      </x:c>
      <x:c r="E484" s="4" t="str">
        <x:v>no_variance_shrink</x:v>
      </x:c>
      <x:c r="F484" s="9" t="n">
        <x:v>0</x:v>
      </x:c>
      <x:c r="G484" s="9" t="n">
        <x:v>0.247233890009521</x:v>
      </x:c>
      <x:c r="H484" s="9" t="n">
        <x:v>0.287077183082159</x:v>
      </x:c>
      <x:c r="I484" s="9" t="n">
        <x:v>0.247233890009521</x:v>
      </x:c>
      <x:c r="J484" s="9" t="n">
        <x:v>0.287077183082159</x:v>
      </x:c>
      <x:c r="K484" s="9" t="n">
        <x:v>0.237922285929638</x:v>
      </x:c>
      <x:c r="L484" s="9" t="n">
        <x:v>0.286407754562869</x:v>
      </x:c>
      <x:c r="M484" s="9" t="n">
        <x:v>0</x:v>
      </x:c>
      <x:c r="N484" s="9" t="n">
        <x:v>0</x:v>
      </x:c>
      <x:c r="O484" s="9" t="n">
        <x:v>0.477153092622757</x:v>
      </x:c>
      <x:c r="P484" s="9" t="n">
        <x:v>0.052403081208467</x:v>
      </x:c>
      <x:c r="Q484" s="9" t="n">
        <x:v>101</x:v>
      </x:c>
      <x:c r="R484" s="9" t="n">
        <x:v>6</x:v>
      </x:c>
      <x:c r="S484" s="17" t="b">
        <x:v>0</x:v>
      </x:c>
      <x:c r="T484" s="18"/>
      <x:c r="U484" s="18"/>
    </x:row>
    <x:row r="485" ht="22" customHeight="1">
      <x:c r="A485" s="4" t="str">
        <x:v>MM-TSFlib</x:v>
      </x:c>
      <x:c r="B485" s="4" t="str">
        <x:v>Traffic</x:v>
      </x:c>
      <x:c r="C485" s="4" t="n">
        <x:v>6</x:v>
      </x:c>
      <x:c r="D485" s="4" t="n">
        <x:v>2026</x:v>
      </x:c>
      <x:c r="E485" s="4" t="str">
        <x:v>no_variance_shrink</x:v>
      </x:c>
      <x:c r="F485" s="9" t="n">
        <x:v>0</x:v>
      </x:c>
      <x:c r="G485" s="9" t="n">
        <x:v>0.151841778430256</x:v>
      </x:c>
      <x:c r="H485" s="9" t="n">
        <x:v>0.28896934094012</x:v>
      </x:c>
      <x:c r="I485" s="9" t="n">
        <x:v>0.151841778430256</x:v>
      </x:c>
      <x:c r="J485" s="9" t="n">
        <x:v>0.28896934094012</x:v>
      </x:c>
      <x:c r="K485" s="9" t="n">
        <x:v>0.159480165372137</x:v>
      </x:c>
      <x:c r="L485" s="9" t="n">
        <x:v>0.303491897364654</x:v>
      </x:c>
      <x:c r="M485" s="9" t="n">
        <x:v>0</x:v>
      </x:c>
      <x:c r="N485" s="9" t="n">
        <x:v>0</x:v>
      </x:c>
      <x:c r="O485" s="9" t="n">
        <x:v>0.477153092622757</x:v>
      </x:c>
      <x:c r="P485" s="9" t="n">
        <x:v>0.053352355957031</x:v>
      </x:c>
      <x:c r="Q485" s="9" t="n">
        <x:v>101</x:v>
      </x:c>
      <x:c r="R485" s="9" t="n">
        <x:v>6</x:v>
      </x:c>
      <x:c r="S485" s="17" t="b">
        <x:v>0</x:v>
      </x:c>
      <x:c r="T485" s="18"/>
      <x:c r="U485" s="18"/>
    </x:row>
    <x:row r="486" ht="22" customHeight="1">
      <x:c r="A486" s="4" t="str">
        <x:v>SpecTF</x:v>
      </x:c>
      <x:c r="B486" s="4" t="str">
        <x:v>Traffic</x:v>
      </x:c>
      <x:c r="C486" s="4" t="n">
        <x:v>6</x:v>
      </x:c>
      <x:c r="D486" s="4" t="n">
        <x:v>2026</x:v>
      </x:c>
      <x:c r="E486" s="4" t="str">
        <x:v>no_variance_shrink</x:v>
      </x:c>
      <x:c r="F486" s="9" t="n">
        <x:v>0</x:v>
      </x:c>
      <x:c r="G486" s="9" t="n">
        <x:v>0.167578483388381</x:v>
      </x:c>
      <x:c r="H486" s="9" t="n">
        <x:v>0.231992374650716</x:v>
      </x:c>
      <x:c r="I486" s="9" t="n">
        <x:v>0.167578483388381</x:v>
      </x:c>
      <x:c r="J486" s="9" t="n">
        <x:v>0.231992374650716</x:v>
      </x:c>
      <x:c r="K486" s="9" t="n">
        <x:v>0.163815007194649</x:v>
      </x:c>
      <x:c r="L486" s="9" t="n">
        <x:v>0.230821593169725</x:v>
      </x:c>
      <x:c r="M486" s="9" t="n">
        <x:v>0</x:v>
      </x:c>
      <x:c r="N486" s="9" t="n">
        <x:v>0</x:v>
      </x:c>
      <x:c r="O486" s="9" t="n">
        <x:v>0.477153092622757</x:v>
      </x:c>
      <x:c r="P486" s="9" t="n">
        <x:v>0.05297314375639</x:v>
      </x:c>
      <x:c r="Q486" s="9" t="n">
        <x:v>101</x:v>
      </x:c>
      <x:c r="R486" s="9" t="n">
        <x:v>6</x:v>
      </x:c>
      <x:c r="S486" s="17" t="b">
        <x:v>0</x:v>
      </x:c>
      <x:c r="T486" s="18"/>
      <x:c r="U486" s="18"/>
    </x:row>
    <x:row r="487" ht="22" customHeight="1">
      <x:c r="A487" s="4" t="str">
        <x:v>CFA</x:v>
      </x:c>
      <x:c r="B487" s="4" t="str">
        <x:v>Traffic</x:v>
      </x:c>
      <x:c r="C487" s="4" t="n">
        <x:v>6</x:v>
      </x:c>
      <x:c r="D487" s="4" t="n">
        <x:v>2026</x:v>
      </x:c>
      <x:c r="E487" s="4" t="str">
        <x:v>no_variance_shrink</x:v>
      </x:c>
      <x:c r="F487" s="9" t="n">
        <x:v>1</x:v>
      </x:c>
      <x:c r="G487" s="9" t="n">
        <x:v>0.15811983108467</x:v>
      </x:c>
      <x:c r="H487" s="9" t="n">
        <x:v>0.211111523924094</x:v>
      </x:c>
      <x:c r="I487" s="9" t="n">
        <x:v>0.155999440884193</x:v>
      </x:c>
      <x:c r="J487" s="9" t="n">
        <x:v>0.206965668667907</x:v>
      </x:c>
      <x:c r="K487" s="9" t="n">
        <x:v>0.155999440884193</x:v>
      </x:c>
      <x:c r="L487" s="9" t="n">
        <x:v>0.206965668667907</x:v>
      </x:c>
      <x:c r="M487" s="9" t="n">
        <x:v>-1.341002065289021</x:v>
      </x:c>
      <x:c r="N487" s="9" t="n">
        <x:v>-1.963822333866483</x:v>
      </x:c>
      <x:c r="O487" s="9" t="n">
        <x:v>0.477153092622757</x:v>
      </x:c>
      <x:c r="P487" s="9" t="n">
        <x:v>0.052563045173883</x:v>
      </x:c>
      <x:c r="Q487" s="9" t="n">
        <x:v>101</x:v>
      </x:c>
      <x:c r="R487" s="9" t="n">
        <x:v>6</x:v>
      </x:c>
      <x:c r="S487" s="17" t="b">
        <x:v>1</x:v>
      </x:c>
      <x:c r="T487" s="18"/>
      <x:c r="U487" s="18"/>
    </x:row>
    <x:row r="488" ht="22" customHeight="1">
      <x:c r="A488" s="4" t="str">
        <x:v>Aurora</x:v>
      </x:c>
      <x:c r="B488" s="4" t="str">
        <x:v>Traffic</x:v>
      </x:c>
      <x:c r="C488" s="4" t="n">
        <x:v>6</x:v>
      </x:c>
      <x:c r="D488" s="4" t="n">
        <x:v>2026</x:v>
      </x:c>
      <x:c r="E488" s="4" t="str">
        <x:v>no_variance_shrink</x:v>
      </x:c>
      <x:c r="F488" s="9" t="n">
        <x:v>0</x:v>
      </x:c>
      <x:c r="G488" s="9" t="n">
        <x:v>0.15602859012632</x:v>
      </x:c>
      <x:c r="H488" s="9" t="n">
        <x:v>0.235064940975838</x:v>
      </x:c>
      <x:c r="I488" s="9" t="n">
        <x:v>0.15602859012632</x:v>
      </x:c>
      <x:c r="J488" s="9" t="n">
        <x:v>0.235064940975838</x:v>
      </x:c>
      <x:c r="K488" s="9" t="n">
        <x:v>0.159533290675678</x:v>
      </x:c>
      <x:c r="L488" s="9" t="n">
        <x:v>0.247992877027776</x:v>
      </x:c>
      <x:c r="M488" s="9" t="n">
        <x:v>0</x:v>
      </x:c>
      <x:c r="N488" s="9" t="n">
        <x:v>0</x:v>
      </x:c>
      <x:c r="O488" s="9" t="n">
        <x:v>0.477153092622757</x:v>
      </x:c>
      <x:c r="P488" s="9" t="n">
        <x:v>0.052999477833509</x:v>
      </x:c>
      <x:c r="Q488" s="9" t="n">
        <x:v>101</x:v>
      </x:c>
      <x:c r="R488" s="9" t="n">
        <x:v>6</x:v>
      </x:c>
      <x:c r="S488" s="17" t="b">
        <x:v>0</x:v>
      </x:c>
      <x:c r="T488" s="18"/>
      <x:c r="U488" s="18"/>
    </x:row>
    <x:row r="489" ht="22" customHeight="1">
      <x:c r="A489" s="4" t="str">
        <x:v>TaTS</x:v>
      </x:c>
      <x:c r="B489" s="4" t="str">
        <x:v>Traffic</x:v>
      </x:c>
      <x:c r="C489" s="4" t="n">
        <x:v>6</x:v>
      </x:c>
      <x:c r="D489" s="4" t="n">
        <x:v>2027</x:v>
      </x:c>
      <x:c r="E489" s="4" t="str">
        <x:v>no_variance_shrink</x:v>
      </x:c>
      <x:c r="F489" s="9" t="n">
        <x:v>0</x:v>
      </x:c>
      <x:c r="G489" s="9" t="n">
        <x:v>0.247233890009521</x:v>
      </x:c>
      <x:c r="H489" s="9" t="n">
        <x:v>0.287077183082159</x:v>
      </x:c>
      <x:c r="I489" s="9" t="n">
        <x:v>0.247233890009521</x:v>
      </x:c>
      <x:c r="J489" s="9" t="n">
        <x:v>0.287077183082159</x:v>
      </x:c>
      <x:c r="K489" s="9" t="n">
        <x:v>0.239655818850374</x:v>
      </x:c>
      <x:c r="L489" s="9" t="n">
        <x:v>0.286690465835455</x:v>
      </x:c>
      <x:c r="M489" s="9" t="n">
        <x:v>0</x:v>
      </x:c>
      <x:c r="N489" s="9" t="n">
        <x:v>0</x:v>
      </x:c>
      <x:c r="O489" s="9" t="n">
        <x:v>0.494834303855896</x:v>
      </x:c>
      <x:c r="P489" s="9" t="n">
        <x:v>0.041921742260456</x:v>
      </x:c>
      <x:c r="Q489" s="9" t="n">
        <x:v>101</x:v>
      </x:c>
      <x:c r="R489" s="9" t="n">
        <x:v>7</x:v>
      </x:c>
      <x:c r="S489" s="17" t="b">
        <x:v>0</x:v>
      </x:c>
      <x:c r="T489" s="18"/>
      <x:c r="U489" s="18"/>
    </x:row>
    <x:row r="490" ht="22" customHeight="1">
      <x:c r="A490" s="4" t="str">
        <x:v>MM-TSFlib</x:v>
      </x:c>
      <x:c r="B490" s="4" t="str">
        <x:v>Traffic</x:v>
      </x:c>
      <x:c r="C490" s="4" t="n">
        <x:v>6</x:v>
      </x:c>
      <x:c r="D490" s="4" t="n">
        <x:v>2027</x:v>
      </x:c>
      <x:c r="E490" s="4" t="str">
        <x:v>no_variance_shrink</x:v>
      </x:c>
      <x:c r="F490" s="9" t="n">
        <x:v>0</x:v>
      </x:c>
      <x:c r="G490" s="9" t="n">
        <x:v>0.151841778430256</x:v>
      </x:c>
      <x:c r="H490" s="9" t="n">
        <x:v>0.28896934094012</x:v>
      </x:c>
      <x:c r="I490" s="9" t="n">
        <x:v>0.151841778430256</x:v>
      </x:c>
      <x:c r="J490" s="9" t="n">
        <x:v>0.28896934094012</x:v>
      </x:c>
      <x:c r="K490" s="9" t="n">
        <x:v>0.158356925159584</x:v>
      </x:c>
      <x:c r="L490" s="9" t="n">
        <x:v>0.301130104379685</x:v>
      </x:c>
      <x:c r="M490" s="9" t="n">
        <x:v>0</x:v>
      </x:c>
      <x:c r="N490" s="9" t="n">
        <x:v>0</x:v>
      </x:c>
      <x:c r="O490" s="9" t="n">
        <x:v>0.494834303855896</x:v>
      </x:c>
      <x:c r="P490" s="9" t="n">
        <x:v>0.043011255562305</x:v>
      </x:c>
      <x:c r="Q490" s="9" t="n">
        <x:v>101</x:v>
      </x:c>
      <x:c r="R490" s="9" t="n">
        <x:v>7</x:v>
      </x:c>
      <x:c r="S490" s="17" t="b">
        <x:v>0</x:v>
      </x:c>
      <x:c r="T490" s="18"/>
      <x:c r="U490" s="18"/>
    </x:row>
    <x:row r="491" ht="22" customHeight="1">
      <x:c r="A491" s="4" t="str">
        <x:v>SpecTF</x:v>
      </x:c>
      <x:c r="B491" s="4" t="str">
        <x:v>Traffic</x:v>
      </x:c>
      <x:c r="C491" s="4" t="n">
        <x:v>6</x:v>
      </x:c>
      <x:c r="D491" s="4" t="n">
        <x:v>2027</x:v>
      </x:c>
      <x:c r="E491" s="4" t="str">
        <x:v>no_variance_shrink</x:v>
      </x:c>
      <x:c r="F491" s="9" t="n">
        <x:v>0</x:v>
      </x:c>
      <x:c r="G491" s="9" t="n">
        <x:v>0.167578483388381</x:v>
      </x:c>
      <x:c r="H491" s="9" t="n">
        <x:v>0.231992374650716</x:v>
      </x:c>
      <x:c r="I491" s="9" t="n">
        <x:v>0.167578483388381</x:v>
      </x:c>
      <x:c r="J491" s="9" t="n">
        <x:v>0.231992374650716</x:v>
      </x:c>
      <x:c r="K491" s="9" t="n">
        <x:v>0.164287169546533</x:v>
      </x:c>
      <x:c r="L491" s="9" t="n">
        <x:v>0.230781305691983</x:v>
      </x:c>
      <x:c r="M491" s="9" t="n">
        <x:v>0</x:v>
      </x:c>
      <x:c r="N491" s="9" t="n">
        <x:v>0</x:v>
      </x:c>
      <x:c r="O491" s="9" t="n">
        <x:v>0.494834303855896</x:v>
      </x:c>
      <x:c r="P491" s="9" t="n">
        <x:v>0.042288105934858</x:v>
      </x:c>
      <x:c r="Q491" s="9" t="n">
        <x:v>101</x:v>
      </x:c>
      <x:c r="R491" s="9" t="n">
        <x:v>7</x:v>
      </x:c>
      <x:c r="S491" s="17" t="b">
        <x:v>0</x:v>
      </x:c>
      <x:c r="T491" s="18"/>
      <x:c r="U491" s="18"/>
    </x:row>
    <x:row r="492" ht="22" customHeight="1">
      <x:c r="A492" s="4" t="str">
        <x:v>CFA</x:v>
      </x:c>
      <x:c r="B492" s="4" t="str">
        <x:v>Traffic</x:v>
      </x:c>
      <x:c r="C492" s="4" t="n">
        <x:v>6</x:v>
      </x:c>
      <x:c r="D492" s="4" t="n">
        <x:v>2027</x:v>
      </x:c>
      <x:c r="E492" s="4" t="str">
        <x:v>no_variance_shrink</x:v>
      </x:c>
      <x:c r="F492" s="9" t="n">
        <x:v>1</x:v>
      </x:c>
      <x:c r="G492" s="9" t="n">
        <x:v>0.15811983108467</x:v>
      </x:c>
      <x:c r="H492" s="9" t="n">
        <x:v>0.211111523924094</x:v>
      </x:c>
      <x:c r="I492" s="9" t="n">
        <x:v>0.156443958818367</x:v>
      </x:c>
      <x:c r="J492" s="9" t="n">
        <x:v>0.207869041944691</x:v>
      </x:c>
      <x:c r="K492" s="9" t="n">
        <x:v>0.156443958818367</x:v>
      </x:c>
      <x:c r="L492" s="9" t="n">
        <x:v>0.207869041944691</x:v>
      </x:c>
      <x:c r="M492" s="9" t="n">
        <x:v>-1.05987481444112</x:v>
      </x:c>
      <x:c r="N492" s="9" t="n">
        <x:v>-1.535909513195977</x:v>
      </x:c>
      <x:c r="O492" s="9" t="n">
        <x:v>0.494834303855896</x:v>
      </x:c>
      <x:c r="P492" s="9" t="n">
        <x:v>0.042121045291424</x:v>
      </x:c>
      <x:c r="Q492" s="9" t="n">
        <x:v>101</x:v>
      </x:c>
      <x:c r="R492" s="9" t="n">
        <x:v>7</x:v>
      </x:c>
      <x:c r="S492" s="17" t="b">
        <x:v>1</x:v>
      </x:c>
      <x:c r="T492" s="18"/>
      <x:c r="U492" s="18"/>
    </x:row>
    <x:row r="493" ht="22" customHeight="1">
      <x:c r="A493" s="4" t="str">
        <x:v>Aurora</x:v>
      </x:c>
      <x:c r="B493" s="4" t="str">
        <x:v>Traffic</x:v>
      </x:c>
      <x:c r="C493" s="4" t="n">
        <x:v>6</x:v>
      </x:c>
      <x:c r="D493" s="4" t="n">
        <x:v>2027</x:v>
      </x:c>
      <x:c r="E493" s="4" t="str">
        <x:v>no_variance_shrink</x:v>
      </x:c>
      <x:c r="F493" s="9" t="n">
        <x:v>0</x:v>
      </x:c>
      <x:c r="G493" s="9" t="n">
        <x:v>0.15602859012632</x:v>
      </x:c>
      <x:c r="H493" s="9" t="n">
        <x:v>0.235064940975838</x:v>
      </x:c>
      <x:c r="I493" s="9" t="n">
        <x:v>0.15602859012632</x:v>
      </x:c>
      <x:c r="J493" s="9" t="n">
        <x:v>0.235064940975838</x:v>
      </x:c>
      <x:c r="K493" s="9" t="n">
        <x:v>0.15894596235282</x:v>
      </x:c>
      <x:c r="L493" s="9" t="n">
        <x:v>0.245543798548554</x:v>
      </x:c>
      <x:c r="M493" s="9" t="n">
        <x:v>0</x:v>
      </x:c>
      <x:c r="N493" s="9" t="n">
        <x:v>0</x:v>
      </x:c>
      <x:c r="O493" s="9" t="n">
        <x:v>0.494834303855896</x:v>
      </x:c>
      <x:c r="P493" s="9" t="n">
        <x:v>0.042737010866404</x:v>
      </x:c>
      <x:c r="Q493" s="9" t="n">
        <x:v>101</x:v>
      </x:c>
      <x:c r="R493" s="9" t="n">
        <x:v>7</x:v>
      </x:c>
      <x:c r="S493" s="17" t="b">
        <x:v>0</x:v>
      </x:c>
      <x:c r="T493" s="18"/>
      <x:c r="U493" s="18"/>
    </x:row>
    <x:row r="494" ht="22" customHeight="1">
      <x:c r="A494" s="4" t="str">
        <x:v>TaTS</x:v>
      </x:c>
      <x:c r="B494" s="4" t="str">
        <x:v>Traffic</x:v>
      </x:c>
      <x:c r="C494" s="4" t="n">
        <x:v>6</x:v>
      </x:c>
      <x:c r="D494" s="4" t="n">
        <x:v>2028</x:v>
      </x:c>
      <x:c r="E494" s="4" t="str">
        <x:v>no_variance_shrink</x:v>
      </x:c>
      <x:c r="F494" s="9" t="n">
        <x:v>0</x:v>
      </x:c>
      <x:c r="G494" s="9" t="n">
        <x:v>0.247233890009521</x:v>
      </x:c>
      <x:c r="H494" s="9" t="n">
        <x:v>0.287077183082159</x:v>
      </x:c>
      <x:c r="I494" s="9" t="n">
        <x:v>0.247233890009521</x:v>
      </x:c>
      <x:c r="J494" s="9" t="n">
        <x:v>0.287077183082159</x:v>
      </x:c>
      <x:c r="K494" s="9" t="n">
        <x:v>0.23774041029464</x:v>
      </x:c>
      <x:c r="L494" s="9" t="n">
        <x:v>0.285637055391526</x:v>
      </x:c>
      <x:c r="M494" s="9" t="n">
        <x:v>0</x:v>
      </x:c>
      <x:c r="N494" s="9" t="n">
        <x:v>0</x:v>
      </x:c>
      <x:c r="O494" s="9" t="n">
        <x:v>0.474552482366562</x:v>
      </x:c>
      <x:c r="P494" s="9" t="n">
        <x:v>0.048561878502369</x:v>
      </x:c>
      <x:c r="Q494" s="9" t="n">
        <x:v>101</x:v>
      </x:c>
      <x:c r="R494" s="9" t="n">
        <x:v>7</x:v>
      </x:c>
      <x:c r="S494" s="17" t="b">
        <x:v>0</x:v>
      </x:c>
      <x:c r="T494" s="18"/>
      <x:c r="U494" s="18"/>
    </x:row>
    <x:row r="495" ht="22" customHeight="1">
      <x:c r="A495" s="4" t="str">
        <x:v>MM-TSFlib</x:v>
      </x:c>
      <x:c r="B495" s="4" t="str">
        <x:v>Traffic</x:v>
      </x:c>
      <x:c r="C495" s="4" t="n">
        <x:v>6</x:v>
      </x:c>
      <x:c r="D495" s="4" t="n">
        <x:v>2028</x:v>
      </x:c>
      <x:c r="E495" s="4" t="str">
        <x:v>no_variance_shrink</x:v>
      </x:c>
      <x:c r="F495" s="9" t="n">
        <x:v>0</x:v>
      </x:c>
      <x:c r="G495" s="9" t="n">
        <x:v>0.151841778430256</x:v>
      </x:c>
      <x:c r="H495" s="9" t="n">
        <x:v>0.28896934094012</x:v>
      </x:c>
      <x:c r="I495" s="9" t="n">
        <x:v>0.151841778430256</x:v>
      </x:c>
      <x:c r="J495" s="9" t="n">
        <x:v>0.28896934094012</x:v>
      </x:c>
      <x:c r="K495" s="9" t="n">
        <x:v>0.158929637404586</x:v>
      </x:c>
      <x:c r="L495" s="9" t="n">
        <x:v>0.302487725521078</x:v>
      </x:c>
      <x:c r="M495" s="9" t="n">
        <x:v>0</x:v>
      </x:c>
      <x:c r="N495" s="9" t="n">
        <x:v>0</x:v>
      </x:c>
      <x:c r="O495" s="9" t="n">
        <x:v>0.474552482366562</x:v>
      </x:c>
      <x:c r="P495" s="9" t="n">
        <x:v>0.04707320779562</x:v>
      </x:c>
      <x:c r="Q495" s="9" t="n">
        <x:v>101</x:v>
      </x:c>
      <x:c r="R495" s="9" t="n">
        <x:v>7</x:v>
      </x:c>
      <x:c r="S495" s="17" t="b">
        <x:v>0</x:v>
      </x:c>
      <x:c r="T495" s="18"/>
      <x:c r="U495" s="18"/>
    </x:row>
    <x:row r="496" ht="22" customHeight="1">
      <x:c r="A496" s="4" t="str">
        <x:v>SpecTF</x:v>
      </x:c>
      <x:c r="B496" s="4" t="str">
        <x:v>Traffic</x:v>
      </x:c>
      <x:c r="C496" s="4" t="n">
        <x:v>6</x:v>
      </x:c>
      <x:c r="D496" s="4" t="n">
        <x:v>2028</x:v>
      </x:c>
      <x:c r="E496" s="4" t="str">
        <x:v>no_variance_shrink</x:v>
      </x:c>
      <x:c r="F496" s="9" t="n">
        <x:v>0</x:v>
      </x:c>
      <x:c r="G496" s="9" t="n">
        <x:v>0.167578483388381</x:v>
      </x:c>
      <x:c r="H496" s="9" t="n">
        <x:v>0.231992374650716</x:v>
      </x:c>
      <x:c r="I496" s="9" t="n">
        <x:v>0.167578483388381</x:v>
      </x:c>
      <x:c r="J496" s="9" t="n">
        <x:v>0.231992374650716</x:v>
      </x:c>
      <x:c r="K496" s="9" t="n">
        <x:v>0.163892515170204</x:v>
      </x:c>
      <x:c r="L496" s="9" t="n">
        <x:v>0.230604941105292</x:v>
      </x:c>
      <x:c r="M496" s="9" t="n">
        <x:v>0</x:v>
      </x:c>
      <x:c r="N496" s="9" t="n">
        <x:v>0</x:v>
      </x:c>
      <x:c r="O496" s="9" t="n">
        <x:v>0.474552482366562</x:v>
      </x:c>
      <x:c r="P496" s="9" t="n">
        <x:v>0.048690747469664</x:v>
      </x:c>
      <x:c r="Q496" s="9" t="n">
        <x:v>101</x:v>
      </x:c>
      <x:c r="R496" s="9" t="n">
        <x:v>7</x:v>
      </x:c>
      <x:c r="S496" s="17" t="b">
        <x:v>0</x:v>
      </x:c>
      <x:c r="T496" s="18"/>
      <x:c r="U496" s="18"/>
    </x:row>
    <x:row r="497" ht="22" customHeight="1">
      <x:c r="A497" s="4" t="str">
        <x:v>CFA</x:v>
      </x:c>
      <x:c r="B497" s="4" t="str">
        <x:v>Traffic</x:v>
      </x:c>
      <x:c r="C497" s="4" t="n">
        <x:v>6</x:v>
      </x:c>
      <x:c r="D497" s="4" t="n">
        <x:v>2028</x:v>
      </x:c>
      <x:c r="E497" s="4" t="str">
        <x:v>no_variance_shrink</x:v>
      </x:c>
      <x:c r="F497" s="9" t="n">
        <x:v>1</x:v>
      </x:c>
      <x:c r="G497" s="9" t="n">
        <x:v>0.15811983108467</x:v>
      </x:c>
      <x:c r="H497" s="9" t="n">
        <x:v>0.211111523924094</x:v>
      </x:c>
      <x:c r="I497" s="9" t="n">
        <x:v>0.156325246799882</x:v>
      </x:c>
      <x:c r="J497" s="9" t="n">
        <x:v>0.207848989303307</x:v>
      </x:c>
      <x:c r="K497" s="9" t="n">
        <x:v>0.156325246799882</x:v>
      </x:c>
      <x:c r="L497" s="9" t="n">
        <x:v>0.207848989303307</x:v>
      </x:c>
      <x:c r="M497" s="9" t="n">
        <x:v>-1.134952062924344</x:v>
      </x:c>
      <x:c r="N497" s="9" t="n">
        <x:v>-1.5454081142252</x:v>
      </x:c>
      <x:c r="O497" s="9" t="n">
        <x:v>0.474552482366562</x:v>
      </x:c>
      <x:c r="P497" s="9" t="n">
        <x:v>0.048234917223454</x:v>
      </x:c>
      <x:c r="Q497" s="9" t="n">
        <x:v>101</x:v>
      </x:c>
      <x:c r="R497" s="9" t="n">
        <x:v>7</x:v>
      </x:c>
      <x:c r="S497" s="17" t="b">
        <x:v>1</x:v>
      </x:c>
      <x:c r="T497" s="18"/>
      <x:c r="U497" s="18"/>
    </x:row>
    <x:row r="498" ht="22" customHeight="1">
      <x:c r="A498" s="4" t="str">
        <x:v>Aurora</x:v>
      </x:c>
      <x:c r="B498" s="4" t="str">
        <x:v>Traffic</x:v>
      </x:c>
      <x:c r="C498" s="4" t="n">
        <x:v>6</x:v>
      </x:c>
      <x:c r="D498" s="4" t="n">
        <x:v>2028</x:v>
      </x:c>
      <x:c r="E498" s="4" t="str">
        <x:v>no_variance_shrink</x:v>
      </x:c>
      <x:c r="F498" s="9" t="n">
        <x:v>0</x:v>
      </x:c>
      <x:c r="G498" s="9" t="n">
        <x:v>0.15602859012632</x:v>
      </x:c>
      <x:c r="H498" s="9" t="n">
        <x:v>0.235064940975838</x:v>
      </x:c>
      <x:c r="I498" s="9" t="n">
        <x:v>0.15602859012632</x:v>
      </x:c>
      <x:c r="J498" s="9" t="n">
        <x:v>0.235064940975838</x:v>
      </x:c>
      <x:c r="K498" s="9" t="n">
        <x:v>0.159122594793478</x:v>
      </x:c>
      <x:c r="L498" s="9" t="n">
        <x:v>0.246828099534456</x:v>
      </x:c>
      <x:c r="M498" s="9" t="n">
        <x:v>0</x:v>
      </x:c>
      <x:c r="N498" s="9" t="n">
        <x:v>0</x:v>
      </x:c>
      <x:c r="O498" s="9" t="n">
        <x:v>0.474552482366562</x:v>
      </x:c>
      <x:c r="P498" s="9" t="n">
        <x:v>0.047842148691416</x:v>
      </x:c>
      <x:c r="Q498" s="9" t="n">
        <x:v>101</x:v>
      </x:c>
      <x:c r="R498" s="9" t="n">
        <x:v>7</x:v>
      </x:c>
      <x:c r="S498" s="17" t="b">
        <x:v>0</x:v>
      </x:c>
      <x:c r="T498" s="18"/>
      <x:c r="U498" s="18"/>
    </x:row>
    <x:row r="499" ht="22" customHeight="1">
      <x:c r="A499" s="4" t="str">
        <x:v>TaTS</x:v>
      </x:c>
      <x:c r="B499" s="4" t="str">
        <x:v>Traffic</x:v>
      </x:c>
      <x:c r="C499" s="4" t="n">
        <x:v>8</x:v>
      </x:c>
      <x:c r="D499" s="4" t="n">
        <x:v>2026</x:v>
      </x:c>
      <x:c r="E499" s="4" t="str">
        <x:v>no_variance_shrink</x:v>
      </x:c>
      <x:c r="F499" s="9" t="n">
        <x:v>0</x:v>
      </x:c>
      <x:c r="G499" s="9" t="n">
        <x:v>0.238763634659162</x:v>
      </x:c>
      <x:c r="H499" s="9" t="n">
        <x:v>0.284295906096396</x:v>
      </x:c>
      <x:c r="I499" s="9" t="n">
        <x:v>0.238763634659162</x:v>
      </x:c>
      <x:c r="J499" s="9" t="n">
        <x:v>0.284295906096396</x:v>
      </x:c>
      <x:c r="K499" s="9" t="n">
        <x:v>0.238763634659162</x:v>
      </x:c>
      <x:c r="L499" s="9" t="n">
        <x:v>0.284295906096396</x:v>
      </x:c>
      <x:c r="M499" s="9" t="n">
        <x:v>0</x:v>
      </x:c>
      <x:c r="N499" s="9" t="n">
        <x:v>0</x:v>
      </x:c>
      <x:c r="O499" s="9" t="n">
        <x:v>0.528020858764648</x:v>
      </x:c>
      <x:c r="P499" s="9" t="n">
        <x:v>0</x:v>
      </x:c>
      <x:c r="Q499" s="9" t="n">
        <x:v>99</x:v>
      </x:c>
      <x:c r="R499" s="9" t="n">
        <x:v>0</x:v>
      </x:c>
      <x:c r="S499" s="17" t="b">
        <x:v>0</x:v>
      </x:c>
      <x:c r="T499" s="18"/>
      <x:c r="U499" s="18"/>
    </x:row>
    <x:row r="500" ht="22" customHeight="1">
      <x:c r="A500" s="4" t="str">
        <x:v>MM-TSFlib</x:v>
      </x:c>
      <x:c r="B500" s="4" t="str">
        <x:v>Traffic</x:v>
      </x:c>
      <x:c r="C500" s="4" t="n">
        <x:v>8</x:v>
      </x:c>
      <x:c r="D500" s="4" t="n">
        <x:v>2026</x:v>
      </x:c>
      <x:c r="E500" s="4" t="str">
        <x:v>no_variance_shrink</x:v>
      </x:c>
      <x:c r="F500" s="9" t="n">
        <x:v>0</x:v>
      </x:c>
      <x:c r="G500" s="9" t="n">
        <x:v>0.158199172058899</x:v>
      </x:c>
      <x:c r="H500" s="9" t="n">
        <x:v>0.29109538162146</x:v>
      </x:c>
      <x:c r="I500" s="9" t="n">
        <x:v>0.158199172058899</x:v>
      </x:c>
      <x:c r="J500" s="9" t="n">
        <x:v>0.29109538162146</x:v>
      </x:c>
      <x:c r="K500" s="9" t="n">
        <x:v>0.158199172058899</x:v>
      </x:c>
      <x:c r="L500" s="9" t="n">
        <x:v>0.29109538162146</x:v>
      </x:c>
      <x:c r="M500" s="9" t="n">
        <x:v>0</x:v>
      </x:c>
      <x:c r="N500" s="9" t="n">
        <x:v>0</x:v>
      </x:c>
      <x:c r="O500" s="9" t="n">
        <x:v>0.528020858764648</x:v>
      </x:c>
      <x:c r="P500" s="9" t="n">
        <x:v>0</x:v>
      </x:c>
      <x:c r="Q500" s="9" t="n">
        <x:v>99</x:v>
      </x:c>
      <x:c r="R500" s="9" t="n">
        <x:v>0</x:v>
      </x:c>
      <x:c r="S500" s="17" t="b">
        <x:v>0</x:v>
      </x:c>
      <x:c r="T500" s="18"/>
      <x:c r="U500" s="18"/>
    </x:row>
    <x:row r="501" ht="22" customHeight="1">
      <x:c r="A501" s="4" t="str">
        <x:v>SpecTF</x:v>
      </x:c>
      <x:c r="B501" s="4" t="str">
        <x:v>Traffic</x:v>
      </x:c>
      <x:c r="C501" s="4" t="n">
        <x:v>8</x:v>
      </x:c>
      <x:c r="D501" s="4" t="n">
        <x:v>2026</x:v>
      </x:c>
      <x:c r="E501" s="4" t="str">
        <x:v>no_variance_shrink</x:v>
      </x:c>
      <x:c r="F501" s="9" t="n">
        <x:v>0</x:v>
      </x:c>
      <x:c r="G501" s="9" t="n">
        <x:v>0.185909405642346</x:v>
      </x:c>
      <x:c r="H501" s="9" t="n">
        <x:v>0.230404417618763</x:v>
      </x:c>
      <x:c r="I501" s="9" t="n">
        <x:v>0.185909405642346</x:v>
      </x:c>
      <x:c r="J501" s="9" t="n">
        <x:v>0.230404417618763</x:v>
      </x:c>
      <x:c r="K501" s="9" t="n">
        <x:v>0.185909405605641</x:v>
      </x:c>
      <x:c r="L501" s="9" t="n">
        <x:v>0.230404417602925</x:v>
      </x:c>
      <x:c r="M501" s="9" t="n">
        <x:v>0</x:v>
      </x:c>
      <x:c r="N501" s="9" t="n">
        <x:v>0</x:v>
      </x:c>
      <x:c r="O501" s="9" t="n">
        <x:v>0.528020858764648</x:v>
      </x:c>
      <x:c r="P501" s="9" t="n">
        <x:v>2.9439e-11</x:v>
      </x:c>
      <x:c r="Q501" s="9" t="n">
        <x:v>99</x:v>
      </x:c>
      <x:c r="R501" s="9" t="n">
        <x:v>0</x:v>
      </x:c>
      <x:c r="S501" s="17" t="b">
        <x:v>0</x:v>
      </x:c>
      <x:c r="T501" s="18"/>
      <x:c r="U501" s="18"/>
    </x:row>
    <x:row r="502" ht="22" customHeight="1">
      <x:c r="A502" s="4" t="str">
        <x:v>CFA</x:v>
      </x:c>
      <x:c r="B502" s="4" t="str">
        <x:v>Traffic</x:v>
      </x:c>
      <x:c r="C502" s="4" t="n">
        <x:v>8</x:v>
      </x:c>
      <x:c r="D502" s="4" t="n">
        <x:v>2026</x:v>
      </x:c>
      <x:c r="E502" s="4" t="str">
        <x:v>no_variance_shrink</x:v>
      </x:c>
      <x:c r="F502" s="9" t="n">
        <x:v>0</x:v>
      </x:c>
      <x:c r="G502" s="9" t="n">
        <x:v>0.159289326729014</x:v>
      </x:c>
      <x:c r="H502" s="9" t="n">
        <x:v>0.205688003036711</x:v>
      </x:c>
      <x:c r="I502" s="9" t="n">
        <x:v>0.159289326729014</x:v>
      </x:c>
      <x:c r="J502" s="9" t="n">
        <x:v>0.205688003036711</x:v>
      </x:c>
      <x:c r="K502" s="9" t="n">
        <x:v>0.159289326729014</x:v>
      </x:c>
      <x:c r="L502" s="9" t="n">
        <x:v>0.205688003036711</x:v>
      </x:c>
      <x:c r="M502" s="9" t="n">
        <x:v>0</x:v>
      </x:c>
      <x:c r="N502" s="9" t="n">
        <x:v>0</x:v>
      </x:c>
      <x:c r="O502" s="9" t="n">
        <x:v>0.528020858764648</x:v>
      </x:c>
      <x:c r="P502" s="9" t="n">
        <x:v>0</x:v>
      </x:c>
      <x:c r="Q502" s="9" t="n">
        <x:v>99</x:v>
      </x:c>
      <x:c r="R502" s="9" t="n">
        <x:v>0</x:v>
      </x:c>
      <x:c r="S502" s="17" t="b">
        <x:v>0</x:v>
      </x:c>
      <x:c r="T502" s="18"/>
      <x:c r="U502" s="18"/>
    </x:row>
    <x:row r="503" ht="22" customHeight="1">
      <x:c r="A503" s="4" t="str">
        <x:v>Aurora</x:v>
      </x:c>
      <x:c r="B503" s="4" t="str">
        <x:v>Traffic</x:v>
      </x:c>
      <x:c r="C503" s="4" t="n">
        <x:v>8</x:v>
      </x:c>
      <x:c r="D503" s="4" t="n">
        <x:v>2026</x:v>
      </x:c>
      <x:c r="E503" s="4" t="str">
        <x:v>no_variance_shrink</x:v>
      </x:c>
      <x:c r="F503" s="9" t="n">
        <x:v>0</x:v>
      </x:c>
      <x:c r="G503" s="9" t="n">
        <x:v>0.161908824533978</x:v>
      </x:c>
      <x:c r="H503" s="9" t="n">
        <x:v>0.241648909193699</x:v>
      </x:c>
      <x:c r="I503" s="9" t="n">
        <x:v>0.161908824533978</x:v>
      </x:c>
      <x:c r="J503" s="9" t="n">
        <x:v>0.241648909193699</x:v>
      </x:c>
      <x:c r="K503" s="9" t="n">
        <x:v>0.161908824533978</x:v>
      </x:c>
      <x:c r="L503" s="9" t="n">
        <x:v>0.241648909193699</x:v>
      </x:c>
      <x:c r="M503" s="9" t="n">
        <x:v>0</x:v>
      </x:c>
      <x:c r="N503" s="9" t="n">
        <x:v>0</x:v>
      </x:c>
      <x:c r="O503" s="9" t="n">
        <x:v>0.528020858764648</x:v>
      </x:c>
      <x:c r="P503" s="9" t="n">
        <x:v>0</x:v>
      </x:c>
      <x:c r="Q503" s="9" t="n">
        <x:v>99</x:v>
      </x:c>
      <x:c r="R503" s="9" t="n">
        <x:v>0</x:v>
      </x:c>
      <x:c r="S503" s="17" t="b">
        <x:v>0</x:v>
      </x:c>
      <x:c r="T503" s="18"/>
      <x:c r="U503" s="18"/>
    </x:row>
    <x:row r="504" ht="22" customHeight="1">
      <x:c r="A504" s="4" t="str">
        <x:v>TaTS</x:v>
      </x:c>
      <x:c r="B504" s="4" t="str">
        <x:v>Traffic</x:v>
      </x:c>
      <x:c r="C504" s="4" t="n">
        <x:v>8</x:v>
      </x:c>
      <x:c r="D504" s="4" t="n">
        <x:v>2027</x:v>
      </x:c>
      <x:c r="E504" s="4" t="str">
        <x:v>no_variance_shrink</x:v>
      </x:c>
      <x:c r="F504" s="9" t="n">
        <x:v>1</x:v>
      </x:c>
      <x:c r="G504" s="9" t="n">
        <x:v>0.238763634659162</x:v>
      </x:c>
      <x:c r="H504" s="9" t="n">
        <x:v>0.284295906096396</x:v>
      </x:c>
      <x:c r="I504" s="9" t="n">
        <x:v>0.236048177611514</x:v>
      </x:c>
      <x:c r="J504" s="9" t="n">
        <x:v>0.283581525990457</x:v>
      </x:c>
      <x:c r="K504" s="9" t="n">
        <x:v>0.236048177611514</x:v>
      </x:c>
      <x:c r="L504" s="9" t="n">
        <x:v>0.283581525990457</x:v>
      </x:c>
      <x:c r="M504" s="9" t="n">
        <x:v>-1.137299258961366</x:v>
      </x:c>
      <x:c r="N504" s="9" t="n">
        <x:v>-0.251280475947591</x:v>
      </x:c>
      <x:c r="O504" s="9" t="n">
        <x:v>0.44808828830719</x:v>
      </x:c>
      <x:c r="P504" s="9" t="n">
        <x:v>0.013481398113072</x:v>
      </x:c>
      <x:c r="Q504" s="9" t="n">
        <x:v>99</x:v>
      </x:c>
      <x:c r="R504" s="9" t="n">
        <x:v>3</x:v>
      </x:c>
      <x:c r="S504" s="17" t="b">
        <x:v>1</x:v>
      </x:c>
      <x:c r="T504" s="18"/>
      <x:c r="U504" s="18"/>
    </x:row>
    <x:row r="505" ht="22" customHeight="1">
      <x:c r="A505" s="4" t="str">
        <x:v>MM-TSFlib</x:v>
      </x:c>
      <x:c r="B505" s="4" t="str">
        <x:v>Traffic</x:v>
      </x:c>
      <x:c r="C505" s="4" t="n">
        <x:v>8</x:v>
      </x:c>
      <x:c r="D505" s="4" t="n">
        <x:v>2027</x:v>
      </x:c>
      <x:c r="E505" s="4" t="str">
        <x:v>no_variance_shrink</x:v>
      </x:c>
      <x:c r="F505" s="9" t="n">
        <x:v>0</x:v>
      </x:c>
      <x:c r="G505" s="9" t="n">
        <x:v>0.158199172058899</x:v>
      </x:c>
      <x:c r="H505" s="9" t="n">
        <x:v>0.29109538162146</x:v>
      </x:c>
      <x:c r="I505" s="9" t="n">
        <x:v>0.158199172058899</x:v>
      </x:c>
      <x:c r="J505" s="9" t="n">
        <x:v>0.29109538162146</x:v>
      </x:c>
      <x:c r="K505" s="9" t="n">
        <x:v>0.159617309994322</x:v>
      </x:c>
      <x:c r="L505" s="9" t="n">
        <x:v>0.294836955991658</x:v>
      </x:c>
      <x:c r="M505" s="9" t="n">
        <x:v>0</x:v>
      </x:c>
      <x:c r="N505" s="9" t="n">
        <x:v>0</x:v>
      </x:c>
      <x:c r="O505" s="9" t="n">
        <x:v>0.44808828830719</x:v>
      </x:c>
      <x:c r="P505" s="9" t="n">
        <x:v>0.01386874448508</x:v>
      </x:c>
      <x:c r="Q505" s="9" t="n">
        <x:v>99</x:v>
      </x:c>
      <x:c r="R505" s="9" t="n">
        <x:v>3</x:v>
      </x:c>
      <x:c r="S505" s="17" t="b">
        <x:v>0</x:v>
      </x:c>
      <x:c r="T505" s="18"/>
      <x:c r="U505" s="18"/>
    </x:row>
    <x:row r="506" ht="22" customHeight="1">
      <x:c r="A506" s="4" t="str">
        <x:v>SpecTF</x:v>
      </x:c>
      <x:c r="B506" s="4" t="str">
        <x:v>Traffic</x:v>
      </x:c>
      <x:c r="C506" s="4" t="n">
        <x:v>8</x:v>
      </x:c>
      <x:c r="D506" s="4" t="n">
        <x:v>2027</x:v>
      </x:c>
      <x:c r="E506" s="4" t="str">
        <x:v>no_variance_shrink</x:v>
      </x:c>
      <x:c r="F506" s="9" t="n">
        <x:v>0.5</x:v>
      </x:c>
      <x:c r="G506" s="9" t="n">
        <x:v>0.185909405642346</x:v>
      </x:c>
      <x:c r="H506" s="9" t="n">
        <x:v>0.230404417618763</x:v>
      </x:c>
      <x:c r="I506" s="9" t="n">
        <x:v>0.185766584212917</x:v>
      </x:c>
      <x:c r="J506" s="9" t="n">
        <x:v>0.230185842927018</x:v>
      </x:c>
      <x:c r="K506" s="9" t="n">
        <x:v>0.185653912953781</x:v>
      </x:c>
      <x:c r="L506" s="9" t="n">
        <x:v>0.230011539011629</x:v>
      </x:c>
      <x:c r="M506" s="9" t="n">
        <x:v>-0.076823132716675</x:v>
      </x:c>
      <x:c r="N506" s="9" t="n">
        <x:v>-0.09486566881135</x:v>
      </x:c>
      <x:c r="O506" s="9" t="n">
        <x:v>0.44808828830719</x:v>
      </x:c>
      <x:c r="P506" s="9" t="n">
        <x:v>0.013519520871341</x:v>
      </x:c>
      <x:c r="Q506" s="9" t="n">
        <x:v>99</x:v>
      </x:c>
      <x:c r="R506" s="9" t="n">
        <x:v>3</x:v>
      </x:c>
      <x:c r="S506" s="17" t="b">
        <x:v>1</x:v>
      </x:c>
      <x:c r="T506" s="18"/>
      <x:c r="U506" s="18"/>
    </x:row>
    <x:row r="507" ht="22" customHeight="1">
      <x:c r="A507" s="4" t="str">
        <x:v>CFA</x:v>
      </x:c>
      <x:c r="B507" s="4" t="str">
        <x:v>Traffic</x:v>
      </x:c>
      <x:c r="C507" s="4" t="n">
        <x:v>8</x:v>
      </x:c>
      <x:c r="D507" s="4" t="n">
        <x:v>2027</x:v>
      </x:c>
      <x:c r="E507" s="4" t="str">
        <x:v>no_variance_shrink</x:v>
      </x:c>
      <x:c r="F507" s="9" t="n">
        <x:v>0</x:v>
      </x:c>
      <x:c r="G507" s="9" t="n">
        <x:v>0.159289326729014</x:v>
      </x:c>
      <x:c r="H507" s="9" t="n">
        <x:v>0.205688003036711</x:v>
      </x:c>
      <x:c r="I507" s="9" t="n">
        <x:v>0.159289326729014</x:v>
      </x:c>
      <x:c r="J507" s="9" t="n">
        <x:v>0.205688003036711</x:v>
      </x:c>
      <x:c r="K507" s="9" t="n">
        <x:v>0.159399680524948</x:v>
      </x:c>
      <x:c r="L507" s="9" t="n">
        <x:v>0.205909735812439</x:v>
      </x:c>
      <x:c r="M507" s="9" t="n">
        <x:v>0</x:v>
      </x:c>
      <x:c r="N507" s="9" t="n">
        <x:v>0</x:v>
      </x:c>
      <x:c r="O507" s="9" t="n">
        <x:v>0.44808828830719</x:v>
      </x:c>
      <x:c r="P507" s="9" t="n">
        <x:v>0.013577240519226</x:v>
      </x:c>
      <x:c r="Q507" s="9" t="n">
        <x:v>99</x:v>
      </x:c>
      <x:c r="R507" s="9" t="n">
        <x:v>3</x:v>
      </x:c>
      <x:c r="S507" s="17" t="b">
        <x:v>0</x:v>
      </x:c>
      <x:c r="T507" s="18"/>
      <x:c r="U507" s="18"/>
    </x:row>
    <x:row r="508" ht="22" customHeight="1">
      <x:c r="A508" s="4" t="str">
        <x:v>Aurora</x:v>
      </x:c>
      <x:c r="B508" s="4" t="str">
        <x:v>Traffic</x:v>
      </x:c>
      <x:c r="C508" s="4" t="n">
        <x:v>8</x:v>
      </x:c>
      <x:c r="D508" s="4" t="n">
        <x:v>2027</x:v>
      </x:c>
      <x:c r="E508" s="4" t="str">
        <x:v>no_variance_shrink</x:v>
      </x:c>
      <x:c r="F508" s="9" t="n">
        <x:v>0</x:v>
      </x:c>
      <x:c r="G508" s="9" t="n">
        <x:v>0.161908824533978</x:v>
      </x:c>
      <x:c r="H508" s="9" t="n">
        <x:v>0.241648909193699</x:v>
      </x:c>
      <x:c r="I508" s="9" t="n">
        <x:v>0.161908824533978</x:v>
      </x:c>
      <x:c r="J508" s="9" t="n">
        <x:v>0.241648909193699</x:v>
      </x:c>
      <x:c r="K508" s="9" t="n">
        <x:v>0.162669915882699</x:v>
      </x:c>
      <x:c r="L508" s="9" t="n">
        <x:v>0.244629193624162</x:v>
      </x:c>
      <x:c r="M508" s="9" t="n">
        <x:v>0</x:v>
      </x:c>
      <x:c r="N508" s="9" t="n">
        <x:v>0</x:v>
      </x:c>
      <x:c r="O508" s="9" t="n">
        <x:v>0.44808828830719</x:v>
      </x:c>
      <x:c r="P508" s="9" t="n">
        <x:v>0.013692445121706</x:v>
      </x:c>
      <x:c r="Q508" s="9" t="n">
        <x:v>99</x:v>
      </x:c>
      <x:c r="R508" s="9" t="n">
        <x:v>3</x:v>
      </x:c>
      <x:c r="S508" s="17" t="b">
        <x:v>0</x:v>
      </x:c>
      <x:c r="T508" s="18"/>
      <x:c r="U508" s="18"/>
    </x:row>
    <x:row r="509" ht="22" customHeight="1">
      <x:c r="A509" s="4" t="str">
        <x:v>TaTS</x:v>
      </x:c>
      <x:c r="B509" s="4" t="str">
        <x:v>Traffic</x:v>
      </x:c>
      <x:c r="C509" s="4" t="n">
        <x:v>8</x:v>
      </x:c>
      <x:c r="D509" s="4" t="n">
        <x:v>2028</x:v>
      </x:c>
      <x:c r="E509" s="4" t="str">
        <x:v>no_variance_shrink</x:v>
      </x:c>
      <x:c r="F509" s="9" t="n">
        <x:v>1</x:v>
      </x:c>
      <x:c r="G509" s="9" t="n">
        <x:v>0.238763634659162</x:v>
      </x:c>
      <x:c r="H509" s="9" t="n">
        <x:v>0.284295906096396</x:v>
      </x:c>
      <x:c r="I509" s="9" t="n">
        <x:v>0.235536807049558</x:v>
      </x:c>
      <x:c r="J509" s="9" t="n">
        <x:v>0.283386900193161</x:v>
      </x:c>
      <x:c r="K509" s="9" t="n">
        <x:v>0.235536807049558</x:v>
      </x:c>
      <x:c r="L509" s="9" t="n">
        <x:v>0.283386900193161</x:v>
      </x:c>
      <x:c r="M509" s="9" t="n">
        <x:v>-1.35147365058782</x:v>
      </x:c>
      <x:c r="N509" s="9" t="n">
        <x:v>-0.319739357388493</x:v>
      </x:c>
      <x:c r="O509" s="9" t="n">
        <x:v>0.452209830284119</x:v>
      </x:c>
      <x:c r="P509" s="9" t="n">
        <x:v>0.017317987978458</x:v>
      </x:c>
      <x:c r="Q509" s="9" t="n">
        <x:v>99</x:v>
      </x:c>
      <x:c r="R509" s="9" t="n">
        <x:v>3</x:v>
      </x:c>
      <x:c r="S509" s="17" t="b">
        <x:v>1</x:v>
      </x:c>
      <x:c r="T509" s="18"/>
      <x:c r="U509" s="18"/>
    </x:row>
    <x:row r="510" ht="22" customHeight="1">
      <x:c r="A510" s="4" t="str">
        <x:v>MM-TSFlib</x:v>
      </x:c>
      <x:c r="B510" s="4" t="str">
        <x:v>Traffic</x:v>
      </x:c>
      <x:c r="C510" s="4" t="n">
        <x:v>8</x:v>
      </x:c>
      <x:c r="D510" s="4" t="n">
        <x:v>2028</x:v>
      </x:c>
      <x:c r="E510" s="4" t="str">
        <x:v>no_variance_shrink</x:v>
      </x:c>
      <x:c r="F510" s="9" t="n">
        <x:v>0</x:v>
      </x:c>
      <x:c r="G510" s="9" t="n">
        <x:v>0.158199172058899</x:v>
      </x:c>
      <x:c r="H510" s="9" t="n">
        <x:v>0.29109538162146</x:v>
      </x:c>
      <x:c r="I510" s="9" t="n">
        <x:v>0.158199172058899</x:v>
      </x:c>
      <x:c r="J510" s="9" t="n">
        <x:v>0.29109538162146</x:v>
      </x:c>
      <x:c r="K510" s="9" t="n">
        <x:v>0.159778969194731</x:v>
      </x:c>
      <x:c r="L510" s="9" t="n">
        <x:v>0.295248370768145</x:v>
      </x:c>
      <x:c r="M510" s="9" t="n">
        <x:v>0</x:v>
      </x:c>
      <x:c r="N510" s="9" t="n">
        <x:v>0</x:v>
      </x:c>
      <x:c r="O510" s="9" t="n">
        <x:v>0.452209830284119</x:v>
      </x:c>
      <x:c r="P510" s="9" t="n">
        <x:v>0.017181430011988</x:v>
      </x:c>
      <x:c r="Q510" s="9" t="n">
        <x:v>99</x:v>
      </x:c>
      <x:c r="R510" s="9" t="n">
        <x:v>3</x:v>
      </x:c>
      <x:c r="S510" s="17" t="b">
        <x:v>0</x:v>
      </x:c>
      <x:c r="T510" s="18"/>
      <x:c r="U510" s="18"/>
    </x:row>
    <x:row r="511" ht="22" customHeight="1">
      <x:c r="A511" s="4" t="str">
        <x:v>SpecTF</x:v>
      </x:c>
      <x:c r="B511" s="4" t="str">
        <x:v>Traffic</x:v>
      </x:c>
      <x:c r="C511" s="4" t="n">
        <x:v>8</x:v>
      </x:c>
      <x:c r="D511" s="4" t="n">
        <x:v>2028</x:v>
      </x:c>
      <x:c r="E511" s="4" t="str">
        <x:v>no_variance_shrink</x:v>
      </x:c>
      <x:c r="F511" s="9" t="n">
        <x:v>0.75</x:v>
      </x:c>
      <x:c r="G511" s="9" t="n">
        <x:v>0.185909405642346</x:v>
      </x:c>
      <x:c r="H511" s="9" t="n">
        <x:v>0.230404417618763</x:v>
      </x:c>
      <x:c r="I511" s="9" t="n">
        <x:v>0.185680814007463</x:v>
      </x:c>
      <x:c r="J511" s="9" t="n">
        <x:v>0.230010898936084</x:v>
      </x:c>
      <x:c r="K511" s="9" t="n">
        <x:v>0.185626391328753</x:v>
      </x:c>
      <x:c r="L511" s="9" t="n">
        <x:v>0.229907672664426</x:v>
      </x:c>
      <x:c r="M511" s="9" t="n">
        <x:v>-0.122958617447932</x:v>
      </x:c>
      <x:c r="N511" s="9" t="n">
        <x:v>-0.170794764591242</x:v>
      </x:c>
      <x:c r="O511" s="9" t="n">
        <x:v>0.452209830284119</x:v>
      </x:c>
      <x:c r="P511" s="9" t="n">
        <x:v>0.017321208491921</x:v>
      </x:c>
      <x:c r="Q511" s="9" t="n">
        <x:v>99</x:v>
      </x:c>
      <x:c r="R511" s="9" t="n">
        <x:v>3</x:v>
      </x:c>
      <x:c r="S511" s="17" t="b">
        <x:v>1</x:v>
      </x:c>
      <x:c r="T511" s="18"/>
      <x:c r="U511" s="18"/>
    </x:row>
    <x:row r="512" ht="22" customHeight="1">
      <x:c r="A512" s="4" t="str">
        <x:v>CFA</x:v>
      </x:c>
      <x:c r="B512" s="4" t="str">
        <x:v>Traffic</x:v>
      </x:c>
      <x:c r="C512" s="4" t="n">
        <x:v>8</x:v>
      </x:c>
      <x:c r="D512" s="4" t="n">
        <x:v>2028</x:v>
      </x:c>
      <x:c r="E512" s="4" t="str">
        <x:v>no_variance_shrink</x:v>
      </x:c>
      <x:c r="F512" s="9" t="n">
        <x:v>0</x:v>
      </x:c>
      <x:c r="G512" s="9" t="n">
        <x:v>0.159289326729014</x:v>
      </x:c>
      <x:c r="H512" s="9" t="n">
        <x:v>0.205688003036711</x:v>
      </x:c>
      <x:c r="I512" s="9" t="n">
        <x:v>0.159289326729014</x:v>
      </x:c>
      <x:c r="J512" s="9" t="n">
        <x:v>0.205688003036711</x:v>
      </x:c>
      <x:c r="K512" s="9" t="n">
        <x:v>0.159413565694348</x:v>
      </x:c>
      <x:c r="L512" s="9" t="n">
        <x:v>0.205964811687179</x:v>
      </x:c>
      <x:c r="M512" s="9" t="n">
        <x:v>0</x:v>
      </x:c>
      <x:c r="N512" s="9" t="n">
        <x:v>0</x:v>
      </x:c>
      <x:c r="O512" s="9" t="n">
        <x:v>0.452209830284119</x:v>
      </x:c>
      <x:c r="P512" s="9" t="n">
        <x:v>0.01724542863667</x:v>
      </x:c>
      <x:c r="Q512" s="9" t="n">
        <x:v>99</x:v>
      </x:c>
      <x:c r="R512" s="9" t="n">
        <x:v>3</x:v>
      </x:c>
      <x:c r="S512" s="17" t="b">
        <x:v>0</x:v>
      </x:c>
      <x:c r="T512" s="18"/>
      <x:c r="U512" s="18"/>
    </x:row>
    <x:row r="513" ht="22" customHeight="1">
      <x:c r="A513" s="4" t="str">
        <x:v>Aurora</x:v>
      </x:c>
      <x:c r="B513" s="4" t="str">
        <x:v>Traffic</x:v>
      </x:c>
      <x:c r="C513" s="4" t="n">
        <x:v>8</x:v>
      </x:c>
      <x:c r="D513" s="4" t="n">
        <x:v>2028</x:v>
      </x:c>
      <x:c r="E513" s="4" t="str">
        <x:v>no_variance_shrink</x:v>
      </x:c>
      <x:c r="F513" s="9" t="n">
        <x:v>0</x:v>
      </x:c>
      <x:c r="G513" s="9" t="n">
        <x:v>0.161908824533978</x:v>
      </x:c>
      <x:c r="H513" s="9" t="n">
        <x:v>0.241648909193699</x:v>
      </x:c>
      <x:c r="I513" s="9" t="n">
        <x:v>0.161908824533978</x:v>
      </x:c>
      <x:c r="J513" s="9" t="n">
        <x:v>0.241648909193699</x:v>
      </x:c>
      <x:c r="K513" s="9" t="n">
        <x:v>0.162781066612097</x:v>
      </x:c>
      <x:c r="L513" s="9" t="n">
        <x:v>0.245048945600336</x:v>
      </x:c>
      <x:c r="M513" s="9" t="n">
        <x:v>0</x:v>
      </x:c>
      <x:c r="N513" s="9" t="n">
        <x:v>0</x:v>
      </x:c>
      <x:c r="O513" s="9" t="n">
        <x:v>0.452209830284119</x:v>
      </x:c>
      <x:c r="P513" s="9" t="n">
        <x:v>0.017242027446628</x:v>
      </x:c>
      <x:c r="Q513" s="9" t="n">
        <x:v>99</x:v>
      </x:c>
      <x:c r="R513" s="9" t="n">
        <x:v>3</x:v>
      </x:c>
      <x:c r="S513" s="17" t="b">
        <x:v>0</x:v>
      </x:c>
      <x:c r="T513" s="18"/>
      <x:c r="U513" s="18"/>
    </x:row>
    <x:row r="514" ht="22" customHeight="1">
      <x:c r="A514" s="4" t="str">
        <x:v>TaTS</x:v>
      </x:c>
      <x:c r="B514" s="4" t="str">
        <x:v>Traffic</x:v>
      </x:c>
      <x:c r="C514" s="4" t="n">
        <x:v>10</x:v>
      </x:c>
      <x:c r="D514" s="4" t="n">
        <x:v>2026</x:v>
      </x:c>
      <x:c r="E514" s="4" t="str">
        <x:v>no_variance_shrink</x:v>
      </x:c>
      <x:c r="F514" s="9" t="n">
        <x:v>0</x:v>
      </x:c>
      <x:c r="G514" s="9" t="n">
        <x:v>0.245557188315198</x:v>
      </x:c>
      <x:c r="H514" s="9" t="n">
        <x:v>0.290894757841051</x:v>
      </x:c>
      <x:c r="I514" s="9" t="n">
        <x:v>0.245557188315198</x:v>
      </x:c>
      <x:c r="J514" s="9" t="n">
        <x:v>0.290894757841051</x:v>
      </x:c>
      <x:c r="K514" s="9" t="n">
        <x:v>0.245557188315198</x:v>
      </x:c>
      <x:c r="L514" s="9" t="n">
        <x:v>0.290894757841051</x:v>
      </x:c>
      <x:c r="M514" s="9" t="n">
        <x:v>0</x:v>
      </x:c>
      <x:c r="N514" s="9" t="n">
        <x:v>0</x:v>
      </x:c>
      <x:c r="O514" s="9" t="n">
        <x:v>0.528087735176086</x:v>
      </x:c>
      <x:c r="P514" s="9" t="n">
        <x:v>0</x:v>
      </x:c>
      <x:c r="Q514" s="9" t="n">
        <x:v>97</x:v>
      </x:c>
      <x:c r="R514" s="9" t="n">
        <x:v>0</x:v>
      </x:c>
      <x:c r="S514" s="17" t="b">
        <x:v>0</x:v>
      </x:c>
      <x:c r="T514" s="18"/>
      <x:c r="U514" s="18"/>
    </x:row>
    <x:row r="515" ht="22" customHeight="1">
      <x:c r="A515" s="4" t="str">
        <x:v>MM-TSFlib</x:v>
      </x:c>
      <x:c r="B515" s="4" t="str">
        <x:v>Traffic</x:v>
      </x:c>
      <x:c r="C515" s="4" t="n">
        <x:v>10</x:v>
      </x:c>
      <x:c r="D515" s="4" t="n">
        <x:v>2026</x:v>
      </x:c>
      <x:c r="E515" s="4" t="str">
        <x:v>no_variance_shrink</x:v>
      </x:c>
      <x:c r="F515" s="9" t="n">
        <x:v>0</x:v>
      </x:c>
      <x:c r="G515" s="9" t="n">
        <x:v>0.166690151693049</x:v>
      </x:c>
      <x:c r="H515" s="9" t="n">
        <x:v>0.312048323621455</x:v>
      </x:c>
      <x:c r="I515" s="9" t="n">
        <x:v>0.166690151693049</x:v>
      </x:c>
      <x:c r="J515" s="9" t="n">
        <x:v>0.312048323621455</x:v>
      </x:c>
      <x:c r="K515" s="9" t="n">
        <x:v>0.166690151693049</x:v>
      </x:c>
      <x:c r="L515" s="9" t="n">
        <x:v>0.312048323621455</x:v>
      </x:c>
      <x:c r="M515" s="9" t="n">
        <x:v>0</x:v>
      </x:c>
      <x:c r="N515" s="9" t="n">
        <x:v>0</x:v>
      </x:c>
      <x:c r="O515" s="9" t="n">
        <x:v>0.528087735176086</x:v>
      </x:c>
      <x:c r="P515" s="9" t="n">
        <x:v>0</x:v>
      </x:c>
      <x:c r="Q515" s="9" t="n">
        <x:v>97</x:v>
      </x:c>
      <x:c r="R515" s="9" t="n">
        <x:v>0</x:v>
      </x:c>
      <x:c r="S515" s="17" t="b">
        <x:v>0</x:v>
      </x:c>
      <x:c r="T515" s="18"/>
      <x:c r="U515" s="18"/>
    </x:row>
    <x:row r="516" ht="22" customHeight="1">
      <x:c r="A516" s="4" t="str">
        <x:v>SpecTF</x:v>
      </x:c>
      <x:c r="B516" s="4" t="str">
        <x:v>Traffic</x:v>
      </x:c>
      <x:c r="C516" s="4" t="n">
        <x:v>10</x:v>
      </x:c>
      <x:c r="D516" s="4" t="n">
        <x:v>2026</x:v>
      </x:c>
      <x:c r="E516" s="4" t="str">
        <x:v>no_variance_shrink</x:v>
      </x:c>
      <x:c r="F516" s="9" t="n">
        <x:v>0</x:v>
      </x:c>
      <x:c r="G516" s="9" t="n">
        <x:v>0.199867945714285</x:v>
      </x:c>
      <x:c r="H516" s="9" t="n">
        <x:v>0.239561099153895</x:v>
      </x:c>
      <x:c r="I516" s="9" t="n">
        <x:v>0.199867945714285</x:v>
      </x:c>
      <x:c r="J516" s="9" t="n">
        <x:v>0.239561099153895</x:v>
      </x:c>
      <x:c r="K516" s="9" t="n">
        <x:v>0.199867945738449</x:v>
      </x:c>
      <x:c r="L516" s="9" t="n">
        <x:v>0.239561099163497</x:v>
      </x:c>
      <x:c r="M516" s="9" t="n">
        <x:v>0</x:v>
      </x:c>
      <x:c r="N516" s="9" t="n">
        <x:v>0</x:v>
      </x:c>
      <x:c r="O516" s="9" t="n">
        <x:v>0.528087735176086</x:v>
      </x:c>
      <x:c r="P516" s="9" t="n">
        <x:v>2.1642e-11</x:v>
      </x:c>
      <x:c r="Q516" s="9" t="n">
        <x:v>97</x:v>
      </x:c>
      <x:c r="R516" s="9" t="n">
        <x:v>0</x:v>
      </x:c>
      <x:c r="S516" s="17" t="b">
        <x:v>0</x:v>
      </x:c>
      <x:c r="T516" s="18"/>
      <x:c r="U516" s="18"/>
    </x:row>
    <x:row r="517" ht="22" customHeight="1">
      <x:c r="A517" s="4" t="str">
        <x:v>CFA</x:v>
      </x:c>
      <x:c r="B517" s="4" t="str">
        <x:v>Traffic</x:v>
      </x:c>
      <x:c r="C517" s="4" t="n">
        <x:v>10</x:v>
      </x:c>
      <x:c r="D517" s="4" t="n">
        <x:v>2026</x:v>
      </x:c>
      <x:c r="E517" s="4" t="str">
        <x:v>no_variance_shrink</x:v>
      </x:c>
      <x:c r="F517" s="9" t="n">
        <x:v>0</x:v>
      </x:c>
      <x:c r="G517" s="9" t="n">
        <x:v>0.173208259771252</x:v>
      </x:c>
      <x:c r="H517" s="9" t="n">
        <x:v>0.219923914892157</x:v>
      </x:c>
      <x:c r="I517" s="9" t="n">
        <x:v>0.173208259771252</x:v>
      </x:c>
      <x:c r="J517" s="9" t="n">
        <x:v>0.219923914892157</x:v>
      </x:c>
      <x:c r="K517" s="9" t="n">
        <x:v>0.173208259771252</x:v>
      </x:c>
      <x:c r="L517" s="9" t="n">
        <x:v>0.219923914892157</x:v>
      </x:c>
      <x:c r="M517" s="9" t="n">
        <x:v>0</x:v>
      </x:c>
      <x:c r="N517" s="9" t="n">
        <x:v>0</x:v>
      </x:c>
      <x:c r="O517" s="9" t="n">
        <x:v>0.528087735176086</x:v>
      </x:c>
      <x:c r="P517" s="9" t="n">
        <x:v>0</x:v>
      </x:c>
      <x:c r="Q517" s="9" t="n">
        <x:v>97</x:v>
      </x:c>
      <x:c r="R517" s="9" t="n">
        <x:v>0</x:v>
      </x:c>
      <x:c r="S517" s="17" t="b">
        <x:v>0</x:v>
      </x:c>
      <x:c r="T517" s="18"/>
      <x:c r="U517" s="18"/>
    </x:row>
    <x:row r="518" ht="22" customHeight="1">
      <x:c r="A518" s="4" t="str">
        <x:v>Aurora</x:v>
      </x:c>
      <x:c r="B518" s="4" t="str">
        <x:v>Traffic</x:v>
      </x:c>
      <x:c r="C518" s="4" t="n">
        <x:v>10</x:v>
      </x:c>
      <x:c r="D518" s="4" t="n">
        <x:v>2026</x:v>
      </x:c>
      <x:c r="E518" s="4" t="str">
        <x:v>no_variance_shrink</x:v>
      </x:c>
      <x:c r="F518" s="9" t="n">
        <x:v>0</x:v>
      </x:c>
      <x:c r="G518" s="9" t="n">
        <x:v>0.167212186439523</x:v>
      </x:c>
      <x:c r="H518" s="9" t="n">
        <x:v>0.248815129804857</x:v>
      </x:c>
      <x:c r="I518" s="9" t="n">
        <x:v>0.167212186439523</x:v>
      </x:c>
      <x:c r="J518" s="9" t="n">
        <x:v>0.248815129804857</x:v>
      </x:c>
      <x:c r="K518" s="9" t="n">
        <x:v>0.167212186439523</x:v>
      </x:c>
      <x:c r="L518" s="9" t="n">
        <x:v>0.248815129804857</x:v>
      </x:c>
      <x:c r="M518" s="9" t="n">
        <x:v>0</x:v>
      </x:c>
      <x:c r="N518" s="9" t="n">
        <x:v>0</x:v>
      </x:c>
      <x:c r="O518" s="9" t="n">
        <x:v>0.528087735176086</x:v>
      </x:c>
      <x:c r="P518" s="9" t="n">
        <x:v>0</x:v>
      </x:c>
      <x:c r="Q518" s="9" t="n">
        <x:v>97</x:v>
      </x:c>
      <x:c r="R518" s="9" t="n">
        <x:v>0</x:v>
      </x:c>
      <x:c r="S518" s="17" t="b">
        <x:v>0</x:v>
      </x:c>
      <x:c r="T518" s="18"/>
      <x:c r="U518" s="18"/>
    </x:row>
    <x:row r="519" ht="22" customHeight="1">
      <x:c r="A519" s="4" t="str">
        <x:v>TaTS</x:v>
      </x:c>
      <x:c r="B519" s="4" t="str">
        <x:v>Traffic</x:v>
      </x:c>
      <x:c r="C519" s="4" t="n">
        <x:v>10</x:v>
      </x:c>
      <x:c r="D519" s="4" t="n">
        <x:v>2027</x:v>
      </x:c>
      <x:c r="E519" s="4" t="str">
        <x:v>no_variance_shrink</x:v>
      </x:c>
      <x:c r="F519" s="9" t="n">
        <x:v>0.5</x:v>
      </x:c>
      <x:c r="G519" s="9" t="n">
        <x:v>0.245557188315198</x:v>
      </x:c>
      <x:c r="H519" s="9" t="n">
        <x:v>0.290894757841051</x:v>
      </x:c>
      <x:c r="I519" s="9" t="n">
        <x:v>0.244154945366566</x:v>
      </x:c>
      <x:c r="J519" s="9" t="n">
        <x:v>0.29052398748619</x:v>
      </x:c>
      <x:c r="K519" s="9" t="n">
        <x:v>0.242774852619975</x:v>
      </x:c>
      <x:c r="L519" s="9" t="n">
        <x:v>0.290168107293316</x:v>
      </x:c>
      <x:c r="M519" s="9" t="n">
        <x:v>-0.571045367579448</x:v>
      </x:c>
      <x:c r="N519" s="9" t="n">
        <x:v>-0.127458589358087</x:v>
      </x:c>
      <x:c r="O519" s="9" t="n">
        <x:v>0.452326506376266</x:v>
      </x:c>
      <x:c r="P519" s="9" t="n">
        <x:v>0.013508667238057</x:v>
      </x:c>
      <x:c r="Q519" s="9" t="n">
        <x:v>97</x:v>
      </x:c>
      <x:c r="R519" s="9" t="n">
        <x:v>3</x:v>
      </x:c>
      <x:c r="S519" s="17" t="b">
        <x:v>1</x:v>
      </x:c>
      <x:c r="T519" s="18"/>
      <x:c r="U519" s="18"/>
    </x:row>
    <x:row r="520" ht="22" customHeight="1">
      <x:c r="A520" s="4" t="str">
        <x:v>MM-TSFlib</x:v>
      </x:c>
      <x:c r="B520" s="4" t="str">
        <x:v>Traffic</x:v>
      </x:c>
      <x:c r="C520" s="4" t="n">
        <x:v>10</x:v>
      </x:c>
      <x:c r="D520" s="4" t="n">
        <x:v>2027</x:v>
      </x:c>
      <x:c r="E520" s="4" t="str">
        <x:v>no_variance_shrink</x:v>
      </x:c>
      <x:c r="F520" s="9" t="n">
        <x:v>0</x:v>
      </x:c>
      <x:c r="G520" s="9" t="n">
        <x:v>0.166690151693049</x:v>
      </x:c>
      <x:c r="H520" s="9" t="n">
        <x:v>0.312048323621455</x:v>
      </x:c>
      <x:c r="I520" s="9" t="n">
        <x:v>0.166690151693049</x:v>
      </x:c>
      <x:c r="J520" s="9" t="n">
        <x:v>0.312048323621455</x:v>
      </x:c>
      <x:c r="K520" s="9" t="n">
        <x:v>0.168822649645141</x:v>
      </x:c>
      <x:c r="L520" s="9" t="n">
        <x:v>0.316041882812362</x:v>
      </x:c>
      <x:c r="M520" s="9" t="n">
        <x:v>0</x:v>
      </x:c>
      <x:c r="N520" s="9" t="n">
        <x:v>0</x:v>
      </x:c>
      <x:c r="O520" s="9" t="n">
        <x:v>0.452326506376266</x:v>
      </x:c>
      <x:c r="P520" s="9" t="n">
        <x:v>0.014225153252482</x:v>
      </x:c>
      <x:c r="Q520" s="9" t="n">
        <x:v>97</x:v>
      </x:c>
      <x:c r="R520" s="9" t="n">
        <x:v>3</x:v>
      </x:c>
      <x:c r="S520" s="17" t="b">
        <x:v>0</x:v>
      </x:c>
      <x:c r="T520" s="18"/>
      <x:c r="U520" s="18"/>
    </x:row>
    <x:row r="521" ht="22" customHeight="1">
      <x:c r="A521" s="4" t="str">
        <x:v>SpecTF</x:v>
      </x:c>
      <x:c r="B521" s="4" t="str">
        <x:v>Traffic</x:v>
      </x:c>
      <x:c r="C521" s="4" t="n">
        <x:v>10</x:v>
      </x:c>
      <x:c r="D521" s="4" t="n">
        <x:v>2027</x:v>
      </x:c>
      <x:c r="E521" s="4" t="str">
        <x:v>no_variance_shrink</x:v>
      </x:c>
      <x:c r="F521" s="9" t="n">
        <x:v>0</x:v>
      </x:c>
      <x:c r="G521" s="9" t="n">
        <x:v>0.199867945714285</x:v>
      </x:c>
      <x:c r="H521" s="9" t="n">
        <x:v>0.239561099153895</x:v>
      </x:c>
      <x:c r="I521" s="9" t="n">
        <x:v>0.199867945714285</x:v>
      </x:c>
      <x:c r="J521" s="9" t="n">
        <x:v>0.239561099153895</x:v>
      </x:c>
      <x:c r="K521" s="9" t="n">
        <x:v>0.199628177902761</x:v>
      </x:c>
      <x:c r="L521" s="9" t="n">
        <x:v>0.23883955400706</x:v>
      </x:c>
      <x:c r="M521" s="9" t="n">
        <x:v>0</x:v>
      </x:c>
      <x:c r="N521" s="9" t="n">
        <x:v>0</x:v>
      </x:c>
      <x:c r="O521" s="9" t="n">
        <x:v>0.452326506376266</x:v>
      </x:c>
      <x:c r="P521" s="9" t="n">
        <x:v>0.013645976781845</x:v>
      </x:c>
      <x:c r="Q521" s="9" t="n">
        <x:v>97</x:v>
      </x:c>
      <x:c r="R521" s="9" t="n">
        <x:v>3</x:v>
      </x:c>
      <x:c r="S521" s="17" t="b">
        <x:v>0</x:v>
      </x:c>
      <x:c r="T521" s="18"/>
      <x:c r="U521" s="18"/>
    </x:row>
    <x:row r="522" ht="22" customHeight="1">
      <x:c r="A522" s="4" t="str">
        <x:v>CFA</x:v>
      </x:c>
      <x:c r="B522" s="4" t="str">
        <x:v>Traffic</x:v>
      </x:c>
      <x:c r="C522" s="4" t="n">
        <x:v>10</x:v>
      </x:c>
      <x:c r="D522" s="4" t="n">
        <x:v>2027</x:v>
      </x:c>
      <x:c r="E522" s="4" t="str">
        <x:v>no_variance_shrink</x:v>
      </x:c>
      <x:c r="F522" s="9" t="n">
        <x:v>0</x:v>
      </x:c>
      <x:c r="G522" s="9" t="n">
        <x:v>0.173208259771252</x:v>
      </x:c>
      <x:c r="H522" s="9" t="n">
        <x:v>0.219923914892157</x:v>
      </x:c>
      <x:c r="I522" s="9" t="n">
        <x:v>0.173208259771252</x:v>
      </x:c>
      <x:c r="J522" s="9" t="n">
        <x:v>0.219923914892157</x:v>
      </x:c>
      <x:c r="K522" s="9" t="n">
        <x:v>0.173561306239022</x:v>
      </x:c>
      <x:c r="L522" s="9" t="n">
        <x:v>0.220659438267196</x:v>
      </x:c>
      <x:c r="M522" s="9" t="n">
        <x:v>0</x:v>
      </x:c>
      <x:c r="N522" s="9" t="n">
        <x:v>0</x:v>
      </x:c>
      <x:c r="O522" s="9" t="n">
        <x:v>0.452326506376266</x:v>
      </x:c>
      <x:c r="P522" s="9" t="n">
        <x:v>0.013750269077718</x:v>
      </x:c>
      <x:c r="Q522" s="9" t="n">
        <x:v>97</x:v>
      </x:c>
      <x:c r="R522" s="9" t="n">
        <x:v>3</x:v>
      </x:c>
      <x:c r="S522" s="17" t="b">
        <x:v>0</x:v>
      </x:c>
      <x:c r="T522" s="18"/>
      <x:c r="U522" s="18"/>
    </x:row>
    <x:row r="523" ht="22" customHeight="1">
      <x:c r="A523" s="4" t="str">
        <x:v>Aurora</x:v>
      </x:c>
      <x:c r="B523" s="4" t="str">
        <x:v>Traffic</x:v>
      </x:c>
      <x:c r="C523" s="4" t="n">
        <x:v>10</x:v>
      </x:c>
      <x:c r="D523" s="4" t="n">
        <x:v>2027</x:v>
      </x:c>
      <x:c r="E523" s="4" t="str">
        <x:v>no_variance_shrink</x:v>
      </x:c>
      <x:c r="F523" s="9" t="n">
        <x:v>0</x:v>
      </x:c>
      <x:c r="G523" s="9" t="n">
        <x:v>0.167212186439523</x:v>
      </x:c>
      <x:c r="H523" s="9" t="n">
        <x:v>0.248815129804857</x:v>
      </x:c>
      <x:c r="I523" s="9" t="n">
        <x:v>0.167212186439523</x:v>
      </x:c>
      <x:c r="J523" s="9" t="n">
        <x:v>0.248815129804857</x:v>
      </x:c>
      <x:c r="K523" s="9" t="n">
        <x:v>0.168025669193415</x:v>
      </x:c>
      <x:c r="L523" s="9" t="n">
        <x:v>0.25196009084736</x:v>
      </x:c>
      <x:c r="M523" s="9" t="n">
        <x:v>0</x:v>
      </x:c>
      <x:c r="N523" s="9" t="n">
        <x:v>0</x:v>
      </x:c>
      <x:c r="O523" s="9" t="n">
        <x:v>0.452326506376266</x:v>
      </x:c>
      <x:c r="P523" s="9" t="n">
        <x:v>0.013936761766672</x:v>
      </x:c>
      <x:c r="Q523" s="9" t="n">
        <x:v>97</x:v>
      </x:c>
      <x:c r="R523" s="9" t="n">
        <x:v>3</x:v>
      </x:c>
      <x:c r="S523" s="17" t="b">
        <x:v>0</x:v>
      </x:c>
      <x:c r="T523" s="18"/>
      <x:c r="U523" s="18"/>
    </x:row>
    <x:row r="524" ht="22" customHeight="1">
      <x:c r="A524" s="4" t="str">
        <x:v>TaTS</x:v>
      </x:c>
      <x:c r="B524" s="4" t="str">
        <x:v>Traffic</x:v>
      </x:c>
      <x:c r="C524" s="4" t="n">
        <x:v>10</x:v>
      </x:c>
      <x:c r="D524" s="4" t="n">
        <x:v>2028</x:v>
      </x:c>
      <x:c r="E524" s="4" t="str">
        <x:v>no_variance_shrink</x:v>
      </x:c>
      <x:c r="F524" s="9" t="n">
        <x:v>1</x:v>
      </x:c>
      <x:c r="G524" s="9" t="n">
        <x:v>0.245557188315198</x:v>
      </x:c>
      <x:c r="H524" s="9" t="n">
        <x:v>0.290894757841051</x:v>
      </x:c>
      <x:c r="I524" s="9" t="n">
        <x:v>0.243536498404787</x:v>
      </x:c>
      <x:c r="J524" s="9" t="n">
        <x:v>0.290146329476661</x:v>
      </x:c>
      <x:c r="K524" s="9" t="n">
        <x:v>0.243536498404787</x:v>
      </x:c>
      <x:c r="L524" s="9" t="n">
        <x:v>0.290146329476661</x:v>
      </x:c>
      <x:c r="M524" s="9" t="n">
        <x:v>-0.822899921715015</x:v>
      </x:c>
      <x:c r="N524" s="9" t="n">
        <x:v>-0.257284926667145</x:v>
      </x:c>
      <x:c r="O524" s="9" t="n">
        <x:v>0.457512438297272</x:v>
      </x:c>
      <x:c r="P524" s="9" t="n">
        <x:v>0.008911273442209</x:v>
      </x:c>
      <x:c r="Q524" s="9" t="n">
        <x:v>97</x:v>
      </x:c>
      <x:c r="R524" s="9" t="n">
        <x:v>2</x:v>
      </x:c>
      <x:c r="S524" s="17" t="b">
        <x:v>1</x:v>
      </x:c>
      <x:c r="T524" s="18"/>
      <x:c r="U524" s="18"/>
    </x:row>
    <x:row r="525" ht="22" customHeight="1">
      <x:c r="A525" s="4" t="str">
        <x:v>MM-TSFlib</x:v>
      </x:c>
      <x:c r="B525" s="4" t="str">
        <x:v>Traffic</x:v>
      </x:c>
      <x:c r="C525" s="4" t="n">
        <x:v>10</x:v>
      </x:c>
      <x:c r="D525" s="4" t="n">
        <x:v>2028</x:v>
      </x:c>
      <x:c r="E525" s="4" t="str">
        <x:v>no_variance_shrink</x:v>
      </x:c>
      <x:c r="F525" s="9" t="n">
        <x:v>0</x:v>
      </x:c>
      <x:c r="G525" s="9" t="n">
        <x:v>0.166690151693049</x:v>
      </x:c>
      <x:c r="H525" s="9" t="n">
        <x:v>0.312048323621455</x:v>
      </x:c>
      <x:c r="I525" s="9" t="n">
        <x:v>0.166690151693049</x:v>
      </x:c>
      <x:c r="J525" s="9" t="n">
        <x:v>0.312048323621455</x:v>
      </x:c>
      <x:c r="K525" s="9" t="n">
        <x:v>0.168031657416391</x:v>
      </x:c>
      <x:c r="L525" s="9" t="n">
        <x:v>0.314535186094107</x:v>
      </x:c>
      <x:c r="M525" s="9" t="n">
        <x:v>0</x:v>
      </x:c>
      <x:c r="N525" s="9" t="n">
        <x:v>0</x:v>
      </x:c>
      <x:c r="O525" s="9" t="n">
        <x:v>0.457512438297272</x:v>
      </x:c>
      <x:c r="P525" s="9" t="n">
        <x:v>0.008544330485165</x:v>
      </x:c>
      <x:c r="Q525" s="9" t="n">
        <x:v>97</x:v>
      </x:c>
      <x:c r="R525" s="9" t="n">
        <x:v>2</x:v>
      </x:c>
      <x:c r="S525" s="17" t="b">
        <x:v>0</x:v>
      </x:c>
      <x:c r="T525" s="18"/>
      <x:c r="U525" s="18"/>
    </x:row>
    <x:row r="526" ht="22" customHeight="1">
      <x:c r="A526" s="4" t="str">
        <x:v>SpecTF</x:v>
      </x:c>
      <x:c r="B526" s="4" t="str">
        <x:v>Traffic</x:v>
      </x:c>
      <x:c r="C526" s="4" t="n">
        <x:v>10</x:v>
      </x:c>
      <x:c r="D526" s="4" t="n">
        <x:v>2028</x:v>
      </x:c>
      <x:c r="E526" s="4" t="str">
        <x:v>no_variance_shrink</x:v>
      </x:c>
      <x:c r="F526" s="9" t="n">
        <x:v>0</x:v>
      </x:c>
      <x:c r="G526" s="9" t="n">
        <x:v>0.199867945714285</x:v>
      </x:c>
      <x:c r="H526" s="9" t="n">
        <x:v>0.239561099153895</x:v>
      </x:c>
      <x:c r="I526" s="9" t="n">
        <x:v>0.199867945714285</x:v>
      </x:c>
      <x:c r="J526" s="9" t="n">
        <x:v>0.239561099153895</x:v>
      </x:c>
      <x:c r="K526" s="9" t="n">
        <x:v>0.199617786944518</x:v>
      </x:c>
      <x:c r="L526" s="9" t="n">
        <x:v>0.2389661516687</x:v>
      </x:c>
      <x:c r="M526" s="9" t="n">
        <x:v>0</x:v>
      </x:c>
      <x:c r="N526" s="9" t="n">
        <x:v>0</x:v>
      </x:c>
      <x:c r="O526" s="9" t="n">
        <x:v>0.457512438297272</x:v>
      </x:c>
      <x:c r="P526" s="9" t="n">
        <x:v>0.00883215945214</x:v>
      </x:c>
      <x:c r="Q526" s="9" t="n">
        <x:v>97</x:v>
      </x:c>
      <x:c r="R526" s="9" t="n">
        <x:v>2</x:v>
      </x:c>
      <x:c r="S526" s="17" t="b">
        <x:v>0</x:v>
      </x:c>
      <x:c r="T526" s="18"/>
      <x:c r="U526" s="18"/>
    </x:row>
    <x:row r="527" ht="22" customHeight="1">
      <x:c r="A527" s="4" t="str">
        <x:v>CFA</x:v>
      </x:c>
      <x:c r="B527" s="4" t="str">
        <x:v>Traffic</x:v>
      </x:c>
      <x:c r="C527" s="4" t="n">
        <x:v>10</x:v>
      </x:c>
      <x:c r="D527" s="4" t="n">
        <x:v>2028</x:v>
      </x:c>
      <x:c r="E527" s="4" t="str">
        <x:v>no_variance_shrink</x:v>
      </x:c>
      <x:c r="F527" s="9" t="n">
        <x:v>0</x:v>
      </x:c>
      <x:c r="G527" s="9" t="n">
        <x:v>0.173208259771252</x:v>
      </x:c>
      <x:c r="H527" s="9" t="n">
        <x:v>0.219923914892157</x:v>
      </x:c>
      <x:c r="I527" s="9" t="n">
        <x:v>0.173208259771252</x:v>
      </x:c>
      <x:c r="J527" s="9" t="n">
        <x:v>0.219923914892157</x:v>
      </x:c>
      <x:c r="K527" s="9" t="n">
        <x:v>0.173357400170909</x:v>
      </x:c>
      <x:c r="L527" s="9" t="n">
        <x:v>0.220227610381301</x:v>
      </x:c>
      <x:c r="M527" s="9" t="n">
        <x:v>0</x:v>
      </x:c>
      <x:c r="N527" s="9" t="n">
        <x:v>0</x:v>
      </x:c>
      <x:c r="O527" s="9" t="n">
        <x:v>0.457512438297272</x:v>
      </x:c>
      <x:c r="P527" s="9" t="n">
        <x:v>0.00878450833261</x:v>
      </x:c>
      <x:c r="Q527" s="9" t="n">
        <x:v>97</x:v>
      </x:c>
      <x:c r="R527" s="9" t="n">
        <x:v>2</x:v>
      </x:c>
      <x:c r="S527" s="17" t="b">
        <x:v>0</x:v>
      </x:c>
      <x:c r="T527" s="18"/>
      <x:c r="U527" s="18"/>
    </x:row>
    <x:row r="528" ht="22" customHeight="1">
      <x:c r="A528" s="4" t="str">
        <x:v>Aurora</x:v>
      </x:c>
      <x:c r="B528" s="4" t="str">
        <x:v>Traffic</x:v>
      </x:c>
      <x:c r="C528" s="4" t="n">
        <x:v>10</x:v>
      </x:c>
      <x:c r="D528" s="4" t="n">
        <x:v>2028</x:v>
      </x:c>
      <x:c r="E528" s="4" t="str">
        <x:v>no_variance_shrink</x:v>
      </x:c>
      <x:c r="F528" s="9" t="n">
        <x:v>0</x:v>
      </x:c>
      <x:c r="G528" s="9" t="n">
        <x:v>0.167212186439523</x:v>
      </x:c>
      <x:c r="H528" s="9" t="n">
        <x:v>0.248815129804857</x:v>
      </x:c>
      <x:c r="I528" s="9" t="n">
        <x:v>0.167212186439523</x:v>
      </x:c>
      <x:c r="J528" s="9" t="n">
        <x:v>0.248815129804857</x:v>
      </x:c>
      <x:c r="K528" s="9" t="n">
        <x:v>0.167704096283528</x:v>
      </x:c>
      <x:c r="L528" s="9" t="n">
        <x:v>0.250819366893817</x:v>
      </x:c>
      <x:c r="M528" s="9" t="n">
        <x:v>0</x:v>
      </x:c>
      <x:c r="N528" s="9" t="n">
        <x:v>0</x:v>
      </x:c>
      <x:c r="O528" s="9" t="n">
        <x:v>0.457512438297272</x:v>
      </x:c>
      <x:c r="P528" s="9" t="n">
        <x:v>0.008707993663847</x:v>
      </x:c>
      <x:c r="Q528" s="9" t="n">
        <x:v>97</x:v>
      </x:c>
      <x:c r="R528" s="9" t="n">
        <x:v>2</x:v>
      </x:c>
      <x:c r="S528" s="17" t="b">
        <x:v>0</x:v>
      </x:c>
      <x:c r="T528" s="18"/>
      <x:c r="U528" s="18"/>
    </x:row>
    <x:row r="529" ht="22" customHeight="1">
      <x:c r="A529" s="4" t="str">
        <x:v>TaTS</x:v>
      </x:c>
      <x:c r="B529" s="4" t="str">
        <x:v>Traffic</x:v>
      </x:c>
      <x:c r="C529" s="4" t="n">
        <x:v>12</x:v>
      </x:c>
      <x:c r="D529" s="4" t="n">
        <x:v>2026</x:v>
      </x:c>
      <x:c r="E529" s="4" t="str">
        <x:v>no_variance_shrink</x:v>
      </x:c>
      <x:c r="F529" s="9" t="n">
        <x:v>0</x:v>
      </x:c>
      <x:c r="G529" s="9" t="n">
        <x:v>0.222340441580798</x:v>
      </x:c>
      <x:c r="H529" s="9" t="n">
        <x:v>0.285930401348231</x:v>
      </x:c>
      <x:c r="I529" s="9" t="n">
        <x:v>0.222340441580798</x:v>
      </x:c>
      <x:c r="J529" s="9" t="n">
        <x:v>0.285930401348231</x:v>
      </x:c>
      <x:c r="K529" s="9" t="n">
        <x:v>0.222340441580798</x:v>
      </x:c>
      <x:c r="L529" s="9" t="n">
        <x:v>0.285930401348231</x:v>
      </x:c>
      <x:c r="M529" s="9" t="n">
        <x:v>0</x:v>
      </x:c>
      <x:c r="N529" s="9" t="n">
        <x:v>0</x:v>
      </x:c>
      <x:c r="O529" s="9" t="n">
        <x:v>0.528015077114105</x:v>
      </x:c>
      <x:c r="P529" s="9" t="n">
        <x:v>0</x:v>
      </x:c>
      <x:c r="Q529" s="9" t="n">
        <x:v>95</x:v>
      </x:c>
      <x:c r="R529" s="9" t="n">
        <x:v>0</x:v>
      </x:c>
      <x:c r="S529" s="17" t="b">
        <x:v>0</x:v>
      </x:c>
      <x:c r="T529" s="18"/>
      <x:c r="U529" s="18"/>
    </x:row>
    <x:row r="530" ht="22" customHeight="1">
      <x:c r="A530" s="4" t="str">
        <x:v>MM-TSFlib</x:v>
      </x:c>
      <x:c r="B530" s="4" t="str">
        <x:v>Traffic</x:v>
      </x:c>
      <x:c r="C530" s="4" t="n">
        <x:v>12</x:v>
      </x:c>
      <x:c r="D530" s="4" t="n">
        <x:v>2026</x:v>
      </x:c>
      <x:c r="E530" s="4" t="str">
        <x:v>no_variance_shrink</x:v>
      </x:c>
      <x:c r="F530" s="9" t="n">
        <x:v>0</x:v>
      </x:c>
      <x:c r="G530" s="9" t="n">
        <x:v>0.17549252996919</x:v>
      </x:c>
      <x:c r="H530" s="9" t="n">
        <x:v>0.330946359325919</x:v>
      </x:c>
      <x:c r="I530" s="9" t="n">
        <x:v>0.17549252996919</x:v>
      </x:c>
      <x:c r="J530" s="9" t="n">
        <x:v>0.330946359325919</x:v>
      </x:c>
      <x:c r="K530" s="9" t="n">
        <x:v>0.17549252996919</x:v>
      </x:c>
      <x:c r="L530" s="9" t="n">
        <x:v>0.330946359325919</x:v>
      </x:c>
      <x:c r="M530" s="9" t="n">
        <x:v>0</x:v>
      </x:c>
      <x:c r="N530" s="9" t="n">
        <x:v>0</x:v>
      </x:c>
      <x:c r="O530" s="9" t="n">
        <x:v>0.528015077114105</x:v>
      </x:c>
      <x:c r="P530" s="9" t="n">
        <x:v>0</x:v>
      </x:c>
      <x:c r="Q530" s="9" t="n">
        <x:v>95</x:v>
      </x:c>
      <x:c r="R530" s="9" t="n">
        <x:v>0</x:v>
      </x:c>
      <x:c r="S530" s="17" t="b">
        <x:v>0</x:v>
      </x:c>
      <x:c r="T530" s="18"/>
      <x:c r="U530" s="18"/>
    </x:row>
    <x:row r="531" ht="22" customHeight="1">
      <x:c r="A531" s="4" t="str">
        <x:v>SpecTF</x:v>
      </x:c>
      <x:c r="B531" s="4" t="str">
        <x:v>Traffic</x:v>
      </x:c>
      <x:c r="C531" s="4" t="n">
        <x:v>12</x:v>
      </x:c>
      <x:c r="D531" s="4" t="n">
        <x:v>2026</x:v>
      </x:c>
      <x:c r="E531" s="4" t="str">
        <x:v>no_variance_shrink</x:v>
      </x:c>
      <x:c r="F531" s="9" t="n">
        <x:v>0</x:v>
      </x:c>
      <x:c r="G531" s="9" t="n">
        <x:v>0.188947712807053</x:v>
      </x:c>
      <x:c r="H531" s="9" t="n">
        <x:v>0.239543992228675</x:v>
      </x:c>
      <x:c r="I531" s="9" t="n">
        <x:v>0.188947712807053</x:v>
      </x:c>
      <x:c r="J531" s="9" t="n">
        <x:v>0.239543992228675</x:v>
      </x:c>
      <x:c r="K531" s="9" t="n">
        <x:v>0.188947712807053</x:v>
      </x:c>
      <x:c r="L531" s="9" t="n">
        <x:v>0.239543992228675</x:v>
      </x:c>
      <x:c r="M531" s="9" t="n">
        <x:v>0</x:v>
      </x:c>
      <x:c r="N531" s="9" t="n">
        <x:v>0</x:v>
      </x:c>
      <x:c r="O531" s="9" t="n">
        <x:v>0.528015077114105</x:v>
      </x:c>
      <x:c r="P531" s="9" t="n">
        <x:v>0</x:v>
      </x:c>
      <x:c r="Q531" s="9" t="n">
        <x:v>95</x:v>
      </x:c>
      <x:c r="R531" s="9" t="n">
        <x:v>0</x:v>
      </x:c>
      <x:c r="S531" s="17" t="b">
        <x:v>0</x:v>
      </x:c>
      <x:c r="T531" s="18"/>
      <x:c r="U531" s="18"/>
    </x:row>
    <x:row r="532" ht="22" customHeight="1">
      <x:c r="A532" s="4" t="str">
        <x:v>CFA</x:v>
      </x:c>
      <x:c r="B532" s="4" t="str">
        <x:v>Traffic</x:v>
      </x:c>
      <x:c r="C532" s="4" t="n">
        <x:v>12</x:v>
      </x:c>
      <x:c r="D532" s="4" t="n">
        <x:v>2026</x:v>
      </x:c>
      <x:c r="E532" s="4" t="str">
        <x:v>no_variance_shrink</x:v>
      </x:c>
      <x:c r="F532" s="9" t="n">
        <x:v>0</x:v>
      </x:c>
      <x:c r="G532" s="9" t="n">
        <x:v>0.176990601602954</x:v>
      </x:c>
      <x:c r="H532" s="9" t="n">
        <x:v>0.226859701254912</x:v>
      </x:c>
      <x:c r="I532" s="9" t="n">
        <x:v>0.176990601602954</x:v>
      </x:c>
      <x:c r="J532" s="9" t="n">
        <x:v>0.226859701254912</x:v>
      </x:c>
      <x:c r="K532" s="9" t="n">
        <x:v>0.176990601602954</x:v>
      </x:c>
      <x:c r="L532" s="9" t="n">
        <x:v>0.226859701254912</x:v>
      </x:c>
      <x:c r="M532" s="9" t="n">
        <x:v>0</x:v>
      </x:c>
      <x:c r="N532" s="9" t="n">
        <x:v>0</x:v>
      </x:c>
      <x:c r="O532" s="9" t="n">
        <x:v>0.528015077114105</x:v>
      </x:c>
      <x:c r="P532" s="9" t="n">
        <x:v>0</x:v>
      </x:c>
      <x:c r="Q532" s="9" t="n">
        <x:v>95</x:v>
      </x:c>
      <x:c r="R532" s="9" t="n">
        <x:v>0</x:v>
      </x:c>
      <x:c r="S532" s="17" t="b">
        <x:v>0</x:v>
      </x:c>
      <x:c r="T532" s="18"/>
      <x:c r="U532" s="18"/>
    </x:row>
    <x:row r="533" ht="22" customHeight="1">
      <x:c r="A533" s="4" t="str">
        <x:v>Aurora</x:v>
      </x:c>
      <x:c r="B533" s="4" t="str">
        <x:v>Traffic</x:v>
      </x:c>
      <x:c r="C533" s="4" t="n">
        <x:v>12</x:v>
      </x:c>
      <x:c r="D533" s="4" t="n">
        <x:v>2026</x:v>
      </x:c>
      <x:c r="E533" s="4" t="str">
        <x:v>no_variance_shrink</x:v>
      </x:c>
      <x:c r="F533" s="9" t="n">
        <x:v>0</x:v>
      </x:c>
      <x:c r="G533" s="9" t="n">
        <x:v>0.173499874745115</x:v>
      </x:c>
      <x:c r="H533" s="9" t="n">
        <x:v>0.257084223079054</x:v>
      </x:c>
      <x:c r="I533" s="9" t="n">
        <x:v>0.173499874745115</x:v>
      </x:c>
      <x:c r="J533" s="9" t="n">
        <x:v>0.257084223079054</x:v>
      </x:c>
      <x:c r="K533" s="9" t="n">
        <x:v>0.173499874745115</x:v>
      </x:c>
      <x:c r="L533" s="9" t="n">
        <x:v>0.257084223079054</x:v>
      </x:c>
      <x:c r="M533" s="9" t="n">
        <x:v>0</x:v>
      </x:c>
      <x:c r="N533" s="9" t="n">
        <x:v>0</x:v>
      </x:c>
      <x:c r="O533" s="9" t="n">
        <x:v>0.528015077114105</x:v>
      </x:c>
      <x:c r="P533" s="9" t="n">
        <x:v>0</x:v>
      </x:c>
      <x:c r="Q533" s="9" t="n">
        <x:v>95</x:v>
      </x:c>
      <x:c r="R533" s="9" t="n">
        <x:v>0</x:v>
      </x:c>
      <x:c r="S533" s="17" t="b">
        <x:v>0</x:v>
      </x:c>
      <x:c r="T533" s="18"/>
      <x:c r="U533" s="18"/>
    </x:row>
    <x:row r="534" ht="22" customHeight="1">
      <x:c r="A534" s="4" t="str">
        <x:v>TaTS</x:v>
      </x:c>
      <x:c r="B534" s="4" t="str">
        <x:v>Traffic</x:v>
      </x:c>
      <x:c r="C534" s="4" t="n">
        <x:v>12</x:v>
      </x:c>
      <x:c r="D534" s="4" t="n">
        <x:v>2027</x:v>
      </x:c>
      <x:c r="E534" s="4" t="str">
        <x:v>no_variance_shrink</x:v>
      </x:c>
      <x:c r="F534" s="9" t="n">
        <x:v>0</x:v>
      </x:c>
      <x:c r="G534" s="9" t="n">
        <x:v>0.222340441580798</x:v>
      </x:c>
      <x:c r="H534" s="9" t="n">
        <x:v>0.285930401348231</x:v>
      </x:c>
      <x:c r="I534" s="9" t="n">
        <x:v>0.222340441580798</x:v>
      </x:c>
      <x:c r="J534" s="9" t="n">
        <x:v>0.285930401348231</x:v>
      </x:c>
      <x:c r="K534" s="9" t="n">
        <x:v>0.222340441580798</x:v>
      </x:c>
      <x:c r="L534" s="9" t="n">
        <x:v>0.285930401348231</x:v>
      </x:c>
      <x:c r="M534" s="9" t="n">
        <x:v>0</x:v>
      </x:c>
      <x:c r="N534" s="9" t="n">
        <x:v>0</x:v>
      </x:c>
      <x:c r="O534" s="9" t="n">
        <x:v>0.479833334684372</x:v>
      </x:c>
      <x:c r="P534" s="9" t="n">
        <x:v>0</x:v>
      </x:c>
      <x:c r="Q534" s="9" t="n">
        <x:v>95</x:v>
      </x:c>
      <x:c r="R534" s="9" t="n">
        <x:v>0</x:v>
      </x:c>
      <x:c r="S534" s="17" t="b">
        <x:v>0</x:v>
      </x:c>
      <x:c r="T534" s="18"/>
      <x:c r="U534" s="18"/>
    </x:row>
    <x:row r="535" ht="22" customHeight="1">
      <x:c r="A535" s="4" t="str">
        <x:v>MM-TSFlib</x:v>
      </x:c>
      <x:c r="B535" s="4" t="str">
        <x:v>Traffic</x:v>
      </x:c>
      <x:c r="C535" s="4" t="n">
        <x:v>12</x:v>
      </x:c>
      <x:c r="D535" s="4" t="n">
        <x:v>2027</x:v>
      </x:c>
      <x:c r="E535" s="4" t="str">
        <x:v>no_variance_shrink</x:v>
      </x:c>
      <x:c r="F535" s="9" t="n">
        <x:v>0</x:v>
      </x:c>
      <x:c r="G535" s="9" t="n">
        <x:v>0.17549252996919</x:v>
      </x:c>
      <x:c r="H535" s="9" t="n">
        <x:v>0.330946359325919</x:v>
      </x:c>
      <x:c r="I535" s="9" t="n">
        <x:v>0.17549252996919</x:v>
      </x:c>
      <x:c r="J535" s="9" t="n">
        <x:v>0.330946359325919</x:v>
      </x:c>
      <x:c r="K535" s="9" t="n">
        <x:v>0.17549252996919</x:v>
      </x:c>
      <x:c r="L535" s="9" t="n">
        <x:v>0.330946359325919</x:v>
      </x:c>
      <x:c r="M535" s="9" t="n">
        <x:v>0</x:v>
      </x:c>
      <x:c r="N535" s="9" t="n">
        <x:v>0</x:v>
      </x:c>
      <x:c r="O535" s="9" t="n">
        <x:v>0.479833334684372</x:v>
      </x:c>
      <x:c r="P535" s="9" t="n">
        <x:v>0</x:v>
      </x:c>
      <x:c r="Q535" s="9" t="n">
        <x:v>95</x:v>
      </x:c>
      <x:c r="R535" s="9" t="n">
        <x:v>0</x:v>
      </x:c>
      <x:c r="S535" s="17" t="b">
        <x:v>0</x:v>
      </x:c>
      <x:c r="T535" s="18"/>
      <x:c r="U535" s="18"/>
    </x:row>
    <x:row r="536" ht="22" customHeight="1">
      <x:c r="A536" s="4" t="str">
        <x:v>SpecTF</x:v>
      </x:c>
      <x:c r="B536" s="4" t="str">
        <x:v>Traffic</x:v>
      </x:c>
      <x:c r="C536" s="4" t="n">
        <x:v>12</x:v>
      </x:c>
      <x:c r="D536" s="4" t="n">
        <x:v>2027</x:v>
      </x:c>
      <x:c r="E536" s="4" t="str">
        <x:v>no_variance_shrink</x:v>
      </x:c>
      <x:c r="F536" s="9" t="n">
        <x:v>0</x:v>
      </x:c>
      <x:c r="G536" s="9" t="n">
        <x:v>0.188947712807053</x:v>
      </x:c>
      <x:c r="H536" s="9" t="n">
        <x:v>0.239543992228675</x:v>
      </x:c>
      <x:c r="I536" s="9" t="n">
        <x:v>0.188947712807053</x:v>
      </x:c>
      <x:c r="J536" s="9" t="n">
        <x:v>0.239543992228675</x:v>
      </x:c>
      <x:c r="K536" s="9" t="n">
        <x:v>0.188947712807053</x:v>
      </x:c>
      <x:c r="L536" s="9" t="n">
        <x:v>0.239543992228675</x:v>
      </x:c>
      <x:c r="M536" s="9" t="n">
        <x:v>0</x:v>
      </x:c>
      <x:c r="N536" s="9" t="n">
        <x:v>0</x:v>
      </x:c>
      <x:c r="O536" s="9" t="n">
        <x:v>0.479833334684372</x:v>
      </x:c>
      <x:c r="P536" s="9" t="n">
        <x:v>0</x:v>
      </x:c>
      <x:c r="Q536" s="9" t="n">
        <x:v>95</x:v>
      </x:c>
      <x:c r="R536" s="9" t="n">
        <x:v>0</x:v>
      </x:c>
      <x:c r="S536" s="17" t="b">
        <x:v>0</x:v>
      </x:c>
      <x:c r="T536" s="18"/>
      <x:c r="U536" s="18"/>
    </x:row>
    <x:row r="537" ht="22" customHeight="1">
      <x:c r="A537" s="4" t="str">
        <x:v>CFA</x:v>
      </x:c>
      <x:c r="B537" s="4" t="str">
        <x:v>Traffic</x:v>
      </x:c>
      <x:c r="C537" s="4" t="n">
        <x:v>12</x:v>
      </x:c>
      <x:c r="D537" s="4" t="n">
        <x:v>2027</x:v>
      </x:c>
      <x:c r="E537" s="4" t="str">
        <x:v>no_variance_shrink</x:v>
      </x:c>
      <x:c r="F537" s="9" t="n">
        <x:v>0</x:v>
      </x:c>
      <x:c r="G537" s="9" t="n">
        <x:v>0.176990601602954</x:v>
      </x:c>
      <x:c r="H537" s="9" t="n">
        <x:v>0.226859701254912</x:v>
      </x:c>
      <x:c r="I537" s="9" t="n">
        <x:v>0.176990601602954</x:v>
      </x:c>
      <x:c r="J537" s="9" t="n">
        <x:v>0.226859701254912</x:v>
      </x:c>
      <x:c r="K537" s="9" t="n">
        <x:v>0.176990601602954</x:v>
      </x:c>
      <x:c r="L537" s="9" t="n">
        <x:v>0.226859701254912</x:v>
      </x:c>
      <x:c r="M537" s="9" t="n">
        <x:v>0</x:v>
      </x:c>
      <x:c r="N537" s="9" t="n">
        <x:v>0</x:v>
      </x:c>
      <x:c r="O537" s="9" t="n">
        <x:v>0.479833334684372</x:v>
      </x:c>
      <x:c r="P537" s="9" t="n">
        <x:v>0</x:v>
      </x:c>
      <x:c r="Q537" s="9" t="n">
        <x:v>95</x:v>
      </x:c>
      <x:c r="R537" s="9" t="n">
        <x:v>0</x:v>
      </x:c>
      <x:c r="S537" s="17" t="b">
        <x:v>0</x:v>
      </x:c>
      <x:c r="T537" s="18"/>
      <x:c r="U537" s="18"/>
    </x:row>
    <x:row r="538" ht="22" customHeight="1">
      <x:c r="A538" s="4" t="str">
        <x:v>Aurora</x:v>
      </x:c>
      <x:c r="B538" s="4" t="str">
        <x:v>Traffic</x:v>
      </x:c>
      <x:c r="C538" s="4" t="n">
        <x:v>12</x:v>
      </x:c>
      <x:c r="D538" s="4" t="n">
        <x:v>2027</x:v>
      </x:c>
      <x:c r="E538" s="4" t="str">
        <x:v>no_variance_shrink</x:v>
      </x:c>
      <x:c r="F538" s="9" t="n">
        <x:v>0</x:v>
      </x:c>
      <x:c r="G538" s="9" t="n">
        <x:v>0.173499874745115</x:v>
      </x:c>
      <x:c r="H538" s="9" t="n">
        <x:v>0.257084223079054</x:v>
      </x:c>
      <x:c r="I538" s="9" t="n">
        <x:v>0.173499874745115</x:v>
      </x:c>
      <x:c r="J538" s="9" t="n">
        <x:v>0.257084223079054</x:v>
      </x:c>
      <x:c r="K538" s="9" t="n">
        <x:v>0.173499874745115</x:v>
      </x:c>
      <x:c r="L538" s="9" t="n">
        <x:v>0.257084223079054</x:v>
      </x:c>
      <x:c r="M538" s="9" t="n">
        <x:v>0</x:v>
      </x:c>
      <x:c r="N538" s="9" t="n">
        <x:v>0</x:v>
      </x:c>
      <x:c r="O538" s="9" t="n">
        <x:v>0.479833334684372</x:v>
      </x:c>
      <x:c r="P538" s="9" t="n">
        <x:v>0</x:v>
      </x:c>
      <x:c r="Q538" s="9" t="n">
        <x:v>95</x:v>
      </x:c>
      <x:c r="R538" s="9" t="n">
        <x:v>0</x:v>
      </x:c>
      <x:c r="S538" s="17" t="b">
        <x:v>0</x:v>
      </x:c>
      <x:c r="T538" s="18"/>
      <x:c r="U538" s="18"/>
    </x:row>
    <x:row r="539" ht="22" customHeight="1">
      <x:c r="A539" s="4" t="str">
        <x:v>TaTS</x:v>
      </x:c>
      <x:c r="B539" s="4" t="str">
        <x:v>Traffic</x:v>
      </x:c>
      <x:c r="C539" s="4" t="n">
        <x:v>12</x:v>
      </x:c>
      <x:c r="D539" s="4" t="n">
        <x:v>2028</x:v>
      </x:c>
      <x:c r="E539" s="4" t="str">
        <x:v>no_variance_shrink</x:v>
      </x:c>
      <x:c r="F539" s="9" t="n">
        <x:v>0</x:v>
      </x:c>
      <x:c r="G539" s="9" t="n">
        <x:v>0.222340441580798</x:v>
      </x:c>
      <x:c r="H539" s="9" t="n">
        <x:v>0.285930401348231</x:v>
      </x:c>
      <x:c r="I539" s="9" t="n">
        <x:v>0.222340441580798</x:v>
      </x:c>
      <x:c r="J539" s="9" t="n">
        <x:v>0.285930401348231</x:v>
      </x:c>
      <x:c r="K539" s="9" t="n">
        <x:v>0.222340441580798</x:v>
      </x:c>
      <x:c r="L539" s="9" t="n">
        <x:v>0.285930401348231</x:v>
      </x:c>
      <x:c r="M539" s="9" t="n">
        <x:v>0</x:v>
      </x:c>
      <x:c r="N539" s="9" t="n">
        <x:v>0</x:v>
      </x:c>
      <x:c r="O539" s="9" t="n">
        <x:v>0.517270445823669</x:v>
      </x:c>
      <x:c r="P539" s="9" t="n">
        <x:v>0</x:v>
      </x:c>
      <x:c r="Q539" s="9" t="n">
        <x:v>95</x:v>
      </x:c>
      <x:c r="R539" s="9" t="n">
        <x:v>0</x:v>
      </x:c>
      <x:c r="S539" s="17" t="b">
        <x:v>0</x:v>
      </x:c>
      <x:c r="T539" s="18"/>
      <x:c r="U539" s="18"/>
    </x:row>
    <x:row r="540" ht="22" customHeight="1">
      <x:c r="A540" s="4" t="str">
        <x:v>MM-TSFlib</x:v>
      </x:c>
      <x:c r="B540" s="4" t="str">
        <x:v>Traffic</x:v>
      </x:c>
      <x:c r="C540" s="4" t="n">
        <x:v>12</x:v>
      </x:c>
      <x:c r="D540" s="4" t="n">
        <x:v>2028</x:v>
      </x:c>
      <x:c r="E540" s="4" t="str">
        <x:v>no_variance_shrink</x:v>
      </x:c>
      <x:c r="F540" s="9" t="n">
        <x:v>0</x:v>
      </x:c>
      <x:c r="G540" s="9" t="n">
        <x:v>0.17549252996919</x:v>
      </x:c>
      <x:c r="H540" s="9" t="n">
        <x:v>0.330946359325919</x:v>
      </x:c>
      <x:c r="I540" s="9" t="n">
        <x:v>0.17549252996919</x:v>
      </x:c>
      <x:c r="J540" s="9" t="n">
        <x:v>0.330946359325919</x:v>
      </x:c>
      <x:c r="K540" s="9" t="n">
        <x:v>0.17549252996919</x:v>
      </x:c>
      <x:c r="L540" s="9" t="n">
        <x:v>0.330946359325919</x:v>
      </x:c>
      <x:c r="M540" s="9" t="n">
        <x:v>0</x:v>
      </x:c>
      <x:c r="N540" s="9" t="n">
        <x:v>0</x:v>
      </x:c>
      <x:c r="O540" s="9" t="n">
        <x:v>0.517270445823669</x:v>
      </x:c>
      <x:c r="P540" s="9" t="n">
        <x:v>0</x:v>
      </x:c>
      <x:c r="Q540" s="9" t="n">
        <x:v>95</x:v>
      </x:c>
      <x:c r="R540" s="9" t="n">
        <x:v>0</x:v>
      </x:c>
      <x:c r="S540" s="17" t="b">
        <x:v>0</x:v>
      </x:c>
      <x:c r="T540" s="18"/>
      <x:c r="U540" s="18"/>
    </x:row>
    <x:row r="541" ht="22" customHeight="1">
      <x:c r="A541" s="4" t="str">
        <x:v>SpecTF</x:v>
      </x:c>
      <x:c r="B541" s="4" t="str">
        <x:v>Traffic</x:v>
      </x:c>
      <x:c r="C541" s="4" t="n">
        <x:v>12</x:v>
      </x:c>
      <x:c r="D541" s="4" t="n">
        <x:v>2028</x:v>
      </x:c>
      <x:c r="E541" s="4" t="str">
        <x:v>no_variance_shrink</x:v>
      </x:c>
      <x:c r="F541" s="9" t="n">
        <x:v>0</x:v>
      </x:c>
      <x:c r="G541" s="9" t="n">
        <x:v>0.188947712807053</x:v>
      </x:c>
      <x:c r="H541" s="9" t="n">
        <x:v>0.239543992228675</x:v>
      </x:c>
      <x:c r="I541" s="9" t="n">
        <x:v>0.188947712807053</x:v>
      </x:c>
      <x:c r="J541" s="9" t="n">
        <x:v>0.239543992228675</x:v>
      </x:c>
      <x:c r="K541" s="9" t="n">
        <x:v>0.188947712807053</x:v>
      </x:c>
      <x:c r="L541" s="9" t="n">
        <x:v>0.239543992228675</x:v>
      </x:c>
      <x:c r="M541" s="9" t="n">
        <x:v>0</x:v>
      </x:c>
      <x:c r="N541" s="9" t="n">
        <x:v>0</x:v>
      </x:c>
      <x:c r="O541" s="9" t="n">
        <x:v>0.517270445823669</x:v>
      </x:c>
      <x:c r="P541" s="9" t="n">
        <x:v>0</x:v>
      </x:c>
      <x:c r="Q541" s="9" t="n">
        <x:v>95</x:v>
      </x:c>
      <x:c r="R541" s="9" t="n">
        <x:v>0</x:v>
      </x:c>
      <x:c r="S541" s="17" t="b">
        <x:v>0</x:v>
      </x:c>
      <x:c r="T541" s="18"/>
      <x:c r="U541" s="18"/>
    </x:row>
    <x:row r="542" ht="22" customHeight="1">
      <x:c r="A542" s="4" t="str">
        <x:v>CFA</x:v>
      </x:c>
      <x:c r="B542" s="4" t="str">
        <x:v>Traffic</x:v>
      </x:c>
      <x:c r="C542" s="4" t="n">
        <x:v>12</x:v>
      </x:c>
      <x:c r="D542" s="4" t="n">
        <x:v>2028</x:v>
      </x:c>
      <x:c r="E542" s="4" t="str">
        <x:v>no_variance_shrink</x:v>
      </x:c>
      <x:c r="F542" s="9" t="n">
        <x:v>0</x:v>
      </x:c>
      <x:c r="G542" s="9" t="n">
        <x:v>0.176990601602954</x:v>
      </x:c>
      <x:c r="H542" s="9" t="n">
        <x:v>0.226859701254912</x:v>
      </x:c>
      <x:c r="I542" s="9" t="n">
        <x:v>0.176990601602954</x:v>
      </x:c>
      <x:c r="J542" s="9" t="n">
        <x:v>0.226859701254912</x:v>
      </x:c>
      <x:c r="K542" s="9" t="n">
        <x:v>0.176990601602954</x:v>
      </x:c>
      <x:c r="L542" s="9" t="n">
        <x:v>0.226859701254912</x:v>
      </x:c>
      <x:c r="M542" s="9" t="n">
        <x:v>0</x:v>
      </x:c>
      <x:c r="N542" s="9" t="n">
        <x:v>0</x:v>
      </x:c>
      <x:c r="O542" s="9" t="n">
        <x:v>0.517270445823669</x:v>
      </x:c>
      <x:c r="P542" s="9" t="n">
        <x:v>0</x:v>
      </x:c>
      <x:c r="Q542" s="9" t="n">
        <x:v>95</x:v>
      </x:c>
      <x:c r="R542" s="9" t="n">
        <x:v>0</x:v>
      </x:c>
      <x:c r="S542" s="17" t="b">
        <x:v>0</x:v>
      </x:c>
      <x:c r="T542" s="18"/>
      <x:c r="U542" s="18"/>
    </x:row>
    <x:row r="543" ht="22" customHeight="1">
      <x:c r="A543" s="4" t="str">
        <x:v>Aurora</x:v>
      </x:c>
      <x:c r="B543" s="4" t="str">
        <x:v>Traffic</x:v>
      </x:c>
      <x:c r="C543" s="4" t="n">
        <x:v>12</x:v>
      </x:c>
      <x:c r="D543" s="4" t="n">
        <x:v>2028</x:v>
      </x:c>
      <x:c r="E543" s="4" t="str">
        <x:v>no_variance_shrink</x:v>
      </x:c>
      <x:c r="F543" s="9" t="n">
        <x:v>0</x:v>
      </x:c>
      <x:c r="G543" s="9" t="n">
        <x:v>0.173499874745115</x:v>
      </x:c>
      <x:c r="H543" s="9" t="n">
        <x:v>0.257084223079054</x:v>
      </x:c>
      <x:c r="I543" s="9" t="n">
        <x:v>0.173499874745115</x:v>
      </x:c>
      <x:c r="J543" s="9" t="n">
        <x:v>0.257084223079054</x:v>
      </x:c>
      <x:c r="K543" s="9" t="n">
        <x:v>0.173499874745115</x:v>
      </x:c>
      <x:c r="L543" s="9" t="n">
        <x:v>0.257084223079054</x:v>
      </x:c>
      <x:c r="M543" s="9" t="n">
        <x:v>0</x:v>
      </x:c>
      <x:c r="N543" s="9" t="n">
        <x:v>0</x:v>
      </x:c>
      <x:c r="O543" s="9" t="n">
        <x:v>0.517270445823669</x:v>
      </x:c>
      <x:c r="P543" s="9" t="n">
        <x:v>0</x:v>
      </x:c>
      <x:c r="Q543" s="9" t="n">
        <x:v>95</x:v>
      </x:c>
      <x:c r="R543" s="9" t="n">
        <x:v>0</x:v>
      </x:c>
      <x:c r="S543" s="17" t="b">
        <x:v>0</x:v>
      </x:c>
      <x:c r="T543" s="18"/>
      <x:c r="U543" s="18"/>
    </x:row>
  </x:sheetData>
  <x:pageMargins left="0.7" right="0.7" top="0.75" bottom="0.75" header="0.3" footer="0.3"/>
  <x:tableParts count="1">
    <x:tablePart xmlns:r="http://schemas.openxmlformats.org/officeDocument/2006/relationships" r:id="R53ca9a8552234e3b"/>
  </x:tableParts>
</x:worksheet>
</file>