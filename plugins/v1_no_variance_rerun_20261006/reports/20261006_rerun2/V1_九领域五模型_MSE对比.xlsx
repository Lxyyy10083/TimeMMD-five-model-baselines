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9a05df329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E图表" sheetId="1" r:id="R8d6fb16a50a84437"/>
    <x:sheet xmlns:r="http://schemas.openxmlformats.org/officeDocument/2006/relationships" name="180项对比" sheetId="2" r:id="Rc556a18fa25e48d3"/>
    <x:sheet xmlns:r="http://schemas.openxmlformats.org/officeDocument/2006/relationships" name="540条种子" sheetId="3" r:id="R5aaca52f9b62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[&gt;=0.00005]0.00%;[&lt;=-0.00005]-0.00%;&quot;0.00%&quot;"/>
  </x:numFmts>
  <x:fonts count="5">
    <x:font>
      <x:sz val="11"/>
      <x:name val="Carlito"/>
    </x:font>
    <x:font>
      <x:sz val="10"/>
      <x:color rgb="FF243447"/>
      <x:name val="Arial"/>
    </x:font>
    <x:font>
      <x:b/>
      <x:sz val="14"/>
      <x:color rgb="FF213C5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57"/>
      </x:patternFill>
    </x:fill>
    <x:fill>
      <x:patternFill patternType="solid">
        <x:fgColor rgb="FFF3F5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12F35"/>
      </x:font>
      <x:fill>
        <x:patternFill patternType="solid">
          <x:bgColor rgb="FFF4D8D8"/>
        </x:patternFill>
      </x:fill>
    </x:dxf>
    <x:dxf>
      <x:font>
        <x:color rgb="FF246446"/>
      </x:font>
      <x:fill>
        <x:patternFill patternType="solid">
          <x:bgColor rgb="FFDF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99875c9994faf" /><Relationship Type="http://schemas.openxmlformats.org/officeDocument/2006/relationships/theme" Target="/xl/theme/theme1.xml" Id="Rb6eef5fb1ee3468e" /><Relationship Type="http://schemas.openxmlformats.org/officeDocument/2006/relationships/sharedStrings" Target="/xl/sharedStrings.xml" Id="R40492548f5114eed" /><Relationship Type="http://schemas.openxmlformats.org/officeDocument/2006/relationships/worksheet" Target="/xl/worksheets/sheet1.xml" Id="R8d6fb16a50a84437" /><Relationship Type="http://schemas.openxmlformats.org/officeDocument/2006/relationships/worksheet" Target="/xl/worksheets/sheet2.xml" Id="Rc556a18fa25e48d3" /><Relationship Type="http://schemas.openxmlformats.org/officeDocument/2006/relationships/worksheet" Target="/xl/worksheets/sheet3.xml" Id="R5aaca52f9b62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fbf3160c014c33" /><Relationship Type="http://schemas.openxmlformats.org/officeDocument/2006/relationships/chart" Target="/xl/drawings/charts/chart2.xml" Id="R355853df50824467" /><Relationship Type="http://schemas.openxmlformats.org/officeDocument/2006/relationships/chart" Target="/xl/drawings/charts/chart3.xml" Id="Rcb676eb4b7894b97" /><Relationship Type="http://schemas.openxmlformats.org/officeDocument/2006/relationships/chart" Target="/xl/drawings/charts/chart4.xml" Id="R39501bd0f365435c" /><Relationship Type="http://schemas.openxmlformats.org/officeDocument/2006/relationships/chart" Target="/xl/drawings/charts/chart5.xml" Id="R1e5fae55e1024f0e" /><Relationship Type="http://schemas.openxmlformats.org/officeDocument/2006/relationships/chart" Target="/xl/drawings/charts/chart6.xml" Id="R79de48db8efc4438" /><Relationship Type="http://schemas.openxmlformats.org/officeDocument/2006/relationships/chart" Target="/xl/drawings/charts/chart7.xml" Id="Rff82bea3bfe94380" /><Relationship Type="http://schemas.openxmlformats.org/officeDocument/2006/relationships/chart" Target="/xl/drawings/charts/chart8.xml" Id="R6962fd76b7084bbb" /><Relationship Type="http://schemas.openxmlformats.org/officeDocument/2006/relationships/chart" Target="/xl/drawings/charts/chart9.xml" Id="Rb3a46ad6eef246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Agriculture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'MSE图表'!$A$29:$A$32</c:f>
              <c:strCache>
                <c:ptCount val="0"/>
              </c:strCache>
            </c:strRef>
          </c:cat>
          <c:val>
            <c:numRef>
              <c:f>'MSE图表'!$B$29:$B$32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'MSE图表'!$A$29:$A$32</c:f>
              <c:strCache>
                <c:ptCount val="0"/>
              </c:strCache>
            </c:strRef>
          </c:cat>
          <c:val>
            <c:numRef>
              <c:f>'MSE图表'!$C$29:$C$32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'MSE图表'!$A$29:$A$32</c:f>
              <c:strCache>
                <c:ptCount val="0"/>
              </c:strCache>
            </c:strRef>
          </c:cat>
          <c:val>
            <c:numRef>
              <c:f>'MSE图表'!$D$29:$D$32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'MSE图表'!$A$29:$A$32</c:f>
              <c:strCache>
                <c:ptCount val="0"/>
              </c:strCache>
            </c:strRef>
          </c:cat>
          <c:val>
            <c:numRef>
              <c:f>'MSE图表'!$E$29:$E$32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'MSE图表'!$A$29:$A$32</c:f>
              <c:strCache>
                <c:ptCount val="0"/>
              </c:strCache>
            </c:strRef>
          </c:cat>
          <c:val>
            <c:numRef>
              <c:f>'MSE图表'!$F$29:$F$32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Climate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'MSE图表'!$A$59:$A$62</c:f>
              <c:strCache>
                <c:ptCount val="0"/>
              </c:strCache>
            </c:strRef>
          </c:cat>
          <c:val>
            <c:numRef>
              <c:f>'MSE图表'!$B$59:$B$62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'MSE图表'!$A$59:$A$62</c:f>
              <c:strCache>
                <c:ptCount val="0"/>
              </c:strCache>
            </c:strRef>
          </c:cat>
          <c:val>
            <c:numRef>
              <c:f>'MSE图表'!$C$59:$C$62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'MSE图表'!$A$59:$A$62</c:f>
              <c:strCache>
                <c:ptCount val="0"/>
              </c:strCache>
            </c:strRef>
          </c:cat>
          <c:val>
            <c:numRef>
              <c:f>'MSE图表'!$D$59:$D$62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'MSE图表'!$A$59:$A$62</c:f>
              <c:strCache>
                <c:ptCount val="0"/>
              </c:strCache>
            </c:strRef>
          </c:cat>
          <c:val>
            <c:numRef>
              <c:f>'MSE图表'!$E$59:$E$62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'MSE图表'!$A$59:$A$62</c:f>
              <c:strCache>
                <c:ptCount val="0"/>
              </c:strCache>
            </c:strRef>
          </c:cat>
          <c:val>
            <c:numRef>
              <c:f>'MSE图表'!$F$59:$F$62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Economy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'MSE图表'!$A$89:$A$92</c:f>
              <c:strCache>
                <c:ptCount val="0"/>
              </c:strCache>
            </c:strRef>
          </c:cat>
          <c:val>
            <c:numRef>
              <c:f>'MSE图表'!$B$89:$B$92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'MSE图表'!$A$89:$A$92</c:f>
              <c:strCache>
                <c:ptCount val="0"/>
              </c:strCache>
            </c:strRef>
          </c:cat>
          <c:val>
            <c:numRef>
              <c:f>'MSE图表'!$C$89:$C$92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'MSE图表'!$A$89:$A$92</c:f>
              <c:strCache>
                <c:ptCount val="0"/>
              </c:strCache>
            </c:strRef>
          </c:cat>
          <c:val>
            <c:numRef>
              <c:f>'MSE图表'!$D$89:$D$92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'MSE图表'!$A$89:$A$92</c:f>
              <c:strCache>
                <c:ptCount val="0"/>
              </c:strCache>
            </c:strRef>
          </c:cat>
          <c:val>
            <c:numRef>
              <c:f>'MSE图表'!$E$89:$E$92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'MSE图表'!$A$89:$A$92</c:f>
              <c:strCache>
                <c:ptCount val="0"/>
              </c:strCache>
            </c:strRef>
          </c:cat>
          <c:val>
            <c:numRef>
              <c:f>'MSE图表'!$F$89:$F$92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Energy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'MSE图表'!$A$119:$A$122</c:f>
              <c:strCache>
                <c:ptCount val="0"/>
              </c:strCache>
            </c:strRef>
          </c:cat>
          <c:val>
            <c:numRef>
              <c:f>'MSE图表'!$B$119:$B$122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'MSE图表'!$A$119:$A$122</c:f>
              <c:strCache>
                <c:ptCount val="0"/>
              </c:strCache>
            </c:strRef>
          </c:cat>
          <c:val>
            <c:numRef>
              <c:f>'MSE图表'!$C$119:$C$122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'MSE图表'!$A$119:$A$122</c:f>
              <c:strCache>
                <c:ptCount val="0"/>
              </c:strCache>
            </c:strRef>
          </c:cat>
          <c:val>
            <c:numRef>
              <c:f>'MSE图表'!$D$119:$D$122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'MSE图表'!$A$119:$A$122</c:f>
              <c:strCache>
                <c:ptCount val="0"/>
              </c:strCache>
            </c:strRef>
          </c:cat>
          <c:val>
            <c:numRef>
              <c:f>'MSE图表'!$E$119:$E$122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'MSE图表'!$A$119:$A$122</c:f>
              <c:strCache>
                <c:ptCount val="0"/>
              </c:strCache>
            </c:strRef>
          </c:cat>
          <c:val>
            <c:numRef>
              <c:f>'MSE图表'!$F$119:$F$122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Environment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'MSE图表'!$A$149:$A$152</c:f>
              <c:strCache>
                <c:ptCount val="0"/>
              </c:strCache>
            </c:strRef>
          </c:cat>
          <c:val>
            <c:numRef>
              <c:f>'MSE图表'!$B$149:$B$152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'MSE图表'!$A$149:$A$152</c:f>
              <c:strCache>
                <c:ptCount val="0"/>
              </c:strCache>
            </c:strRef>
          </c:cat>
          <c:val>
            <c:numRef>
              <c:f>'MSE图表'!$C$149:$C$152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'MSE图表'!$A$149:$A$152</c:f>
              <c:strCache>
                <c:ptCount val="0"/>
              </c:strCache>
            </c:strRef>
          </c:cat>
          <c:val>
            <c:numRef>
              <c:f>'MSE图表'!$D$149:$D$152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'MSE图表'!$A$149:$A$152</c:f>
              <c:strCache>
                <c:ptCount val="0"/>
              </c:strCache>
            </c:strRef>
          </c:cat>
          <c:val>
            <c:numRef>
              <c:f>'MSE图表'!$E$149:$E$152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'MSE图表'!$A$149:$A$152</c:f>
              <c:strCache>
                <c:ptCount val="0"/>
              </c:strCache>
            </c:strRef>
          </c:cat>
          <c:val>
            <c:numRef>
              <c:f>'MSE图表'!$F$149:$F$152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Health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'MSE图表'!$A$179:$A$182</c:f>
              <c:strCache>
                <c:ptCount val="0"/>
              </c:strCache>
            </c:strRef>
          </c:cat>
          <c:val>
            <c:numRef>
              <c:f>'MSE图表'!$B$179:$B$182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'MSE图表'!$A$179:$A$182</c:f>
              <c:strCache>
                <c:ptCount val="0"/>
              </c:strCache>
            </c:strRef>
          </c:cat>
          <c:val>
            <c:numRef>
              <c:f>'MSE图表'!$C$179:$C$182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'MSE图表'!$A$179:$A$182</c:f>
              <c:strCache>
                <c:ptCount val="0"/>
              </c:strCache>
            </c:strRef>
          </c:cat>
          <c:val>
            <c:numRef>
              <c:f>'MSE图表'!$D$179:$D$182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'MSE图表'!$A$179:$A$182</c:f>
              <c:strCache>
                <c:ptCount val="0"/>
              </c:strCache>
            </c:strRef>
          </c:cat>
          <c:val>
            <c:numRef>
              <c:f>'MSE图表'!$E$179:$E$182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'MSE图表'!$A$179:$A$182</c:f>
              <c:strCache>
                <c:ptCount val="0"/>
              </c:strCache>
            </c:strRef>
          </c:cat>
          <c:val>
            <c:numRef>
              <c:f>'MSE图表'!$F$179:$F$182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Security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'MSE图表'!$A$209:$A$212</c:f>
              <c:strCache>
                <c:ptCount val="0"/>
              </c:strCache>
            </c:strRef>
          </c:cat>
          <c:val>
            <c:numRef>
              <c:f>'MSE图表'!$B$209:$B$212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'MSE图表'!$A$209:$A$212</c:f>
              <c:strCache>
                <c:ptCount val="0"/>
              </c:strCache>
            </c:strRef>
          </c:cat>
          <c:val>
            <c:numRef>
              <c:f>'MSE图表'!$C$209:$C$212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'MSE图表'!$A$209:$A$212</c:f>
              <c:strCache>
                <c:ptCount val="0"/>
              </c:strCache>
            </c:strRef>
          </c:cat>
          <c:val>
            <c:numRef>
              <c:f>'MSE图表'!$D$209:$D$212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'MSE图表'!$A$209:$A$212</c:f>
              <c:strCache>
                <c:ptCount val="0"/>
              </c:strCache>
            </c:strRef>
          </c:cat>
          <c:val>
            <c:numRef>
              <c:f>'MSE图表'!$E$209:$E$212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'MSE图表'!$A$209:$A$212</c:f>
              <c:strCache>
                <c:ptCount val="0"/>
              </c:strCache>
            </c:strRef>
          </c:cat>
          <c:val>
            <c:numRef>
              <c:f>'MSE图表'!$F$209:$F$212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SocialGood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'MSE图表'!$A$239:$A$242</c:f>
              <c:strCache>
                <c:ptCount val="0"/>
              </c:strCache>
            </c:strRef>
          </c:cat>
          <c:val>
            <c:numRef>
              <c:f>'MSE图表'!$B$239:$B$242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'MSE图表'!$A$239:$A$242</c:f>
              <c:strCache>
                <c:ptCount val="0"/>
              </c:strCache>
            </c:strRef>
          </c:cat>
          <c:val>
            <c:numRef>
              <c:f>'MSE图表'!$C$239:$C$242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'MSE图表'!$A$239:$A$242</c:f>
              <c:strCache>
                <c:ptCount val="0"/>
              </c:strCache>
            </c:strRef>
          </c:cat>
          <c:val>
            <c:numRef>
              <c:f>'MSE图表'!$D$239:$D$242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'MSE图表'!$A$239:$A$242</c:f>
              <c:strCache>
                <c:ptCount val="0"/>
              </c:strCache>
            </c:strRef>
          </c:cat>
          <c:val>
            <c:numRef>
              <c:f>'MSE图表'!$E$239:$E$242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'MSE图表'!$A$239:$A$242</c:f>
              <c:strCache>
                <c:ptCount val="0"/>
              </c:strCache>
            </c:strRef>
          </c:cat>
          <c:val>
            <c:numRef>
              <c:f>'MSE图表'!$F$239:$F$242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Traffic  V1 MSE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TaTS</c:v>
          </c:tx>
          <c:spPr>
            <a:ln xmlns:a="http://schemas.openxmlformats.org/drawingml/2006/main" w="19050">
              <a:solidFill>
                <a:srgbClr val="3779B5"/>
              </a:solidFill>
              <a:prstDash val="solid"/>
            </a:ln>
          </c:spPr>
          <c:marker>
            <c:symbol val="none"/>
          </c:marker>
          <c:cat>
            <c:strRef>
              <c:f>'MSE图表'!$A$269:$A$272</c:f>
              <c:strCache>
                <c:ptCount val="0"/>
              </c:strCache>
            </c:strRef>
          </c:cat>
          <c:val>
            <c:numRef>
              <c:f>'MSE图表'!$B$269:$B$272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MM-TSFlib</c:v>
          </c:tx>
          <c:spPr>
            <a:ln xmlns:a="http://schemas.openxmlformats.org/drawingml/2006/main" w="19050">
              <a:solidFill>
                <a:srgbClr val="8061AF"/>
              </a:solidFill>
              <a:prstDash val="solid"/>
            </a:ln>
          </c:spPr>
          <c:marker>
            <c:symbol val="none"/>
          </c:marker>
          <c:cat>
            <c:strRef>
              <c:f>'MSE图表'!$A$269:$A$272</c:f>
              <c:strCache>
                <c:ptCount val="0"/>
              </c:strCache>
            </c:strRef>
          </c:cat>
          <c:val>
            <c:numRef>
              <c:f>'MSE图表'!$C$269:$C$272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SpecTF</c:v>
          </c:tx>
          <c:spPr>
            <a:ln xmlns:a="http://schemas.openxmlformats.org/drawingml/2006/main" w="19050">
              <a:solidFill>
                <a:srgbClr val="D69038"/>
              </a:solidFill>
              <a:prstDash val="solid"/>
            </a:ln>
          </c:spPr>
          <c:marker>
            <c:symbol val="none"/>
          </c:marker>
          <c:cat>
            <c:strRef>
              <c:f>'MSE图表'!$A$269:$A$272</c:f>
              <c:strCache>
                <c:ptCount val="0"/>
              </c:strCache>
            </c:strRef>
          </c:cat>
          <c:val>
            <c:numRef>
              <c:f>'MSE图表'!$D$269:$D$272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CFA</c:v>
          </c:tx>
          <c:spPr>
            <a:ln xmlns:a="http://schemas.openxmlformats.org/drawingml/2006/main" w="19050">
              <a:solidFill>
                <a:srgbClr val="329E9A"/>
              </a:solidFill>
              <a:prstDash val="solid"/>
            </a:ln>
          </c:spPr>
          <c:marker>
            <c:symbol val="none"/>
          </c:marker>
          <c:cat>
            <c:strRef>
              <c:f>'MSE图表'!$A$269:$A$272</c:f>
              <c:strCache>
                <c:ptCount val="0"/>
              </c:strCache>
            </c:strRef>
          </c:cat>
          <c:val>
            <c:numRef>
              <c:f>'MSE图表'!$E$269:$E$272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Aurora</c:v>
          </c:tx>
          <c:spPr>
            <a:ln xmlns:a="http://schemas.openxmlformats.org/drawingml/2006/main" w="19050">
              <a:solidFill>
                <a:srgbClr val="BC5576"/>
              </a:solidFill>
              <a:prstDash val="solid"/>
            </a:ln>
          </c:spPr>
          <c:marker>
            <c:symbol val="none"/>
          </c:marker>
          <c:cat>
            <c:strRef>
              <c:f>'MSE图表'!$A$269:$A$272</c:f>
              <c:strCache>
                <c:ptCount val="0"/>
              </c:strCache>
            </c:strRef>
          </c:cat>
          <c:val>
            <c:numRef>
              <c:f>'MSE图表'!$F$269:$F$272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34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fbf3160c014c33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14</xdr:col>
      <xdr:colOff>0</xdr:colOff>
      <xdr:row>83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853df50824467"/>
        </a:graphicData>
      </a:graphic>
    </xdr:graphicFrame>
    <xdr:clientData/>
  </xdr:twoCellAnchor>
  <xdr:twoCellAnchor>
    <xdr:from>
      <xdr:col>7</xdr:col>
      <xdr:colOff>0</xdr:colOff>
      <xdr:row>94</xdr:row>
      <xdr:rowOff>0</xdr:rowOff>
    </xdr:from>
    <xdr:to>
      <xdr:col>14</xdr:col>
      <xdr:colOff>0</xdr:colOff>
      <xdr:row>113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76eb4b7894b97"/>
        </a:graphicData>
      </a:graphic>
    </xdr:graphicFrame>
    <xdr:clientData/>
  </xdr:twoCellAnchor>
  <xdr:twoCellAnchor>
    <xdr:from>
      <xdr:col>7</xdr:col>
      <xdr:colOff>0</xdr:colOff>
      <xdr:row>124</xdr:row>
      <xdr:rowOff>0</xdr:rowOff>
    </xdr:from>
    <xdr:to>
      <xdr:col>14</xdr:col>
      <xdr:colOff>0</xdr:colOff>
      <xdr:row>143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501bd0f365435c"/>
        </a:graphicData>
      </a:graphic>
    </xdr:graphicFrame>
    <xdr:clientData/>
  </xdr:twoCellAnchor>
  <xdr:twoCellAnchor>
    <xdr:from>
      <xdr:col>7</xdr:col>
      <xdr:colOff>0</xdr:colOff>
      <xdr:row>154</xdr:row>
      <xdr:rowOff>0</xdr:rowOff>
    </xdr:from>
    <xdr:to>
      <xdr:col>14</xdr:col>
      <xdr:colOff>0</xdr:colOff>
      <xdr:row>173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5fae55e1024f0e"/>
        </a:graphicData>
      </a:graphic>
    </xdr:graphicFrame>
    <xdr:clientData/>
  </xdr:twoCellAnchor>
  <xdr:twoCellAnchor>
    <xdr:from>
      <xdr:col>7</xdr:col>
      <xdr:colOff>0</xdr:colOff>
      <xdr:row>184</xdr:row>
      <xdr:rowOff>0</xdr:rowOff>
    </xdr:from>
    <xdr:to>
      <xdr:col>14</xdr:col>
      <xdr:colOff>0</xdr:colOff>
      <xdr:row>203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de48db8efc4438"/>
        </a:graphicData>
      </a:graphic>
    </xdr:graphicFrame>
    <xdr:clientData/>
  </xdr:twoCellAnchor>
  <xdr:twoCellAnchor>
    <xdr:from>
      <xdr:col>7</xdr:col>
      <xdr:colOff>0</xdr:colOff>
      <xdr:row>214</xdr:row>
      <xdr:rowOff>0</xdr:rowOff>
    </xdr:from>
    <xdr:to>
      <xdr:col>14</xdr:col>
      <xdr:colOff>0</xdr:colOff>
      <xdr:row>233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2bea3bfe94380"/>
        </a:graphicData>
      </a:graphic>
    </xdr:graphicFrame>
    <xdr:clientData/>
  </xdr:twoCellAnchor>
  <xdr:twoCellAnchor>
    <xdr:from>
      <xdr:col>7</xdr:col>
      <xdr:colOff>0</xdr:colOff>
      <xdr:row>244</xdr:row>
      <xdr:rowOff>0</xdr:rowOff>
    </xdr:from>
    <xdr:to>
      <xdr:col>14</xdr:col>
      <xdr:colOff>0</xdr:colOff>
      <xdr:row>263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62fd76b7084bbb"/>
        </a:graphicData>
      </a:graphic>
    </xdr:graphicFrame>
    <xdr:clientData/>
  </xdr:twoCellAnchor>
  <xdr:twoCellAnchor>
    <xdr:from>
      <xdr:col>7</xdr:col>
      <xdr:colOff>0</xdr:colOff>
      <xdr:row>274</xdr:row>
      <xdr:rowOff>0</xdr:rowOff>
    </xdr:from>
    <xdr:to>
      <xdr:col>14</xdr:col>
      <xdr:colOff>0</xdr:colOff>
      <xdr:row>293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a46ad6eef246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aseComparison" displayName="CaseComparison" ref="A5:L185" headerRowCount="1" totalsRowCount="0" totalsRowShown="0">
  <x:tableColumns count="12">
    <x:tableColumn id="1" name="领域"/>
    <x:tableColumn id="2" name="步长"/>
    <x:tableColumn id="3" name="模型"/>
    <x:tableColumn id="4" name="原版MSE"/>
    <x:tableColumn id="5" name="V1平均MSE"/>
    <x:tableColumn id="6" name="V1种子标准差"/>
    <x:tableColumn id="7" name="MSE改善率"/>
    <x:tableColumn id="8" name="直接插件MSE"/>
    <x:tableColumn id="9" name="直接插件改善率"/>
    <x:tableColumn id="10" name="有效插件种子数"/>
    <x:tableColumn id="11" name="MSE状态"/>
    <x:tableColumn id="12" name="验证选用alpha均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edObservations" displayName="SeedObservations" ref="A5:Q545" headerRowCount="1" totalsRowCount="0" totalsRowShown="0">
  <x:tableColumns count="17">
    <x:tableColumn id="1" name="领域"/>
    <x:tableColumn id="2" name="预测步长"/>
    <x:tableColumn id="3" name="模型"/>
    <x:tableColumn id="4" name="插件种子"/>
    <x:tableColumn id="5" name="原版MSE"/>
    <x:tableColumn id="6" name="直接插件MSE"/>
    <x:tableColumn id="7" name="选择后MSE"/>
    <x:tableColumn id="8" name="验证alpha"/>
    <x:tableColumn id="9" name="最佳轮次"/>
    <x:tableColumn id="10" name="运行轮次"/>
    <x:tableColumn id="11" name="验证平台期"/>
    <x:tableColumn id="12" name="原版MAE"/>
    <x:tableColumn id="13" name="直接插件MAE"/>
    <x:tableColumn id="14" name="选择后MAE"/>
    <x:tableColumn id="15" name="测试窗口数"/>
    <x:tableColumn id="16" name="验证MSE比"/>
    <x:tableColumn id="17" name="验证MAE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34caca107146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b4e2f07419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1c044641ad43f7" /></Relationships>
</file>

<file path=xl/worksheets/sheet1.xml><?xml version="1.0" encoding="utf-8"?>
<x:worksheet xmlns:x="http://schemas.openxmlformats.org/spreadsheetml/2006/main">
  <x:sheetPr>
    <x:tabColor rgb="FF213C57"/>
  </x:sheetPr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V1 九领域五模型 MSE 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2026-10-06 实验室全新复跑；9 领域 × 4 步长 × 5 模型；每项为 3 个插件种子的指标平均。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正百分比表示误差减小；绿色改善，红色退化，灰色持平。绝对MSE越小越好。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7" customHeight="1">
      <x:c r="A6" s="7" t="str">
        <x:v>模型</x:v>
      </x:c>
      <x:c r="B6" s="8" t="str">
        <x:v>任务数</x:v>
      </x:c>
      <x:c r="C6" s="8" t="str">
        <x:v>MSE下降</x:v>
      </x:c>
      <x:c r="D6" s="8" t="str">
        <x:v>MSE上升</x:v>
      </x:c>
      <x:c r="E6" s="8" t="str">
        <x:v>MSE持平</x:v>
      </x:c>
      <x:c r="F6" s="9" t="str">
        <x:v>平均改善率</x:v>
      </x:c>
      <x:c r="G6" s="2"/>
      <x:c r="H6" s="7" t="str">
        <x:v>模型</x:v>
      </x:c>
      <x:c r="I6" s="8" t="str">
        <x:v>直接插件改善率</x:v>
      </x:c>
      <x:c r="J6" s="9" t="str">
        <x:v>选用后改善率</x:v>
      </x:c>
      <x:c r="K6" s="2"/>
      <x:c r="L6" s="2"/>
      <x:c r="M6" s="2"/>
      <x:c r="N6" s="2"/>
    </x:row>
    <x:row r="7" ht="23" customHeight="1">
      <x:c r="A7" s="2" t="str">
        <x:v>TaTS</x:v>
      </x:c>
      <x:c r="B7" s="2" t="n">
        <x:f>COUNTIF('180项对比'!$C$6:$C$185,A7)</x:f>
        <x:v>36</x:v>
      </x:c>
      <x:c r="C7" s="2" t="n">
        <x:f>COUNTIFS('180项对比'!$C$6:$C$185,A7,'180项对比'!$K$6:$K$185,"改善")</x:f>
        <x:v>16</x:v>
      </x:c>
      <x:c r="D7" s="2" t="n">
        <x:f>COUNTIFS('180项对比'!$C$6:$C$185,A7,'180项对比'!$K$6:$K$185,"退化")</x:f>
        <x:v>3</x:v>
      </x:c>
      <x:c r="E7" s="2" t="n">
        <x:f>COUNTIFS('180项对比'!$C$6:$C$185,A7,'180项对比'!$K$6:$K$185,"持平")</x:f>
        <x:v>17</x:v>
      </x:c>
      <x:c r="F7" s="12" t="n">
        <x:f>AVERAGEIF('180项对比'!$C$6:$C$185,A7,'180项对比'!$G$6:$G$185)</x:f>
        <x:v>0.026795986284100917</x:v>
      </x:c>
      <x:c r="G7" s="2"/>
      <x:c r="H7" s="2" t="str">
        <x:f>A7</x:f>
        <x:v>TaTS</x:v>
      </x:c>
      <x:c r="I7" s="12" t="n">
        <x:f>AVERAGEIF('180项对比'!$C$6:$C$185,A7,'180项对比'!$I$6:$I$185)</x:f>
        <x:v>0.021513730632992358</x:v>
      </x:c>
      <x:c r="J7" s="12" t="n">
        <x:f>F7</x:f>
        <x:v>0.026795986284100917</x:v>
      </x:c>
      <x:c r="K7" s="2"/>
      <x:c r="L7" s="2"/>
      <x:c r="M7" s="2"/>
      <x:c r="N7" s="2"/>
    </x:row>
    <x:row r="8" ht="23" customHeight="1">
      <x:c r="A8" s="2" t="str">
        <x:v>MM-TSFlib</x:v>
      </x:c>
      <x:c r="B8" s="2" t="n">
        <x:f>COUNTIF('180项对比'!$C$6:$C$185,A8)</x:f>
        <x:v>36</x:v>
      </x:c>
      <x:c r="C8" s="2" t="n">
        <x:f>COUNTIFS('180项对比'!$C$6:$C$185,A8,'180项对比'!$K$6:$K$185,"改善")</x:f>
        <x:v>20</x:v>
      </x:c>
      <x:c r="D8" s="2" t="n">
        <x:f>COUNTIFS('180项对比'!$C$6:$C$185,A8,'180项对比'!$K$6:$K$185,"退化")</x:f>
        <x:v>0</x:v>
      </x:c>
      <x:c r="E8" s="2" t="n">
        <x:f>COUNTIFS('180项对比'!$C$6:$C$185,A8,'180项对比'!$K$6:$K$185,"持平")</x:f>
        <x:v>16</x:v>
      </x:c>
      <x:c r="F8" s="12" t="n">
        <x:f>AVERAGEIF('180项对比'!$C$6:$C$185,A8,'180项对比'!$G$6:$G$185)</x:f>
        <x:v>0.053210078269132245</x:v>
      </x:c>
      <x:c r="G8" s="2"/>
      <x:c r="H8" s="2" t="str">
        <x:f>A8</x:f>
        <x:v>MM-TSFlib</x:v>
      </x:c>
      <x:c r="I8" s="12" t="n">
        <x:f>AVERAGEIF('180项对比'!$C$6:$C$185,A8,'180项对比'!$I$6:$I$185)</x:f>
        <x:v>0.057319272021882015</x:v>
      </x:c>
      <x:c r="J8" s="12" t="n">
        <x:f>F8</x:f>
        <x:v>0.053210078269132245</x:v>
      </x:c>
      <x:c r="K8" s="2"/>
      <x:c r="L8" s="2"/>
      <x:c r="M8" s="2"/>
      <x:c r="N8" s="2"/>
    </x:row>
    <x:row r="9" ht="23" customHeight="1">
      <x:c r="A9" s="2" t="str">
        <x:v>SpecTF</x:v>
      </x:c>
      <x:c r="B9" s="2" t="n">
        <x:f>COUNTIF('180项对比'!$C$6:$C$185,A9)</x:f>
        <x:v>36</x:v>
      </x:c>
      <x:c r="C9" s="2" t="n">
        <x:f>COUNTIFS('180项对比'!$C$6:$C$185,A9,'180项对比'!$K$6:$K$185,"改善")</x:f>
        <x:v>10</x:v>
      </x:c>
      <x:c r="D9" s="2" t="n">
        <x:f>COUNTIFS('180项对比'!$C$6:$C$185,A9,'180项对比'!$K$6:$K$185,"退化")</x:f>
        <x:v>1</x:v>
      </x:c>
      <x:c r="E9" s="2" t="n">
        <x:f>COUNTIFS('180项对比'!$C$6:$C$185,A9,'180项对比'!$K$6:$K$185,"持平")</x:f>
        <x:v>25</x:v>
      </x:c>
      <x:c r="F9" s="12" t="n">
        <x:f>AVERAGEIF('180项对比'!$C$6:$C$185,A9,'180项对比'!$G$6:$G$185)</x:f>
        <x:v>0.005911231950663121</x:v>
      </x:c>
      <x:c r="G9" s="2"/>
      <x:c r="H9" s="2" t="str">
        <x:f>A9</x:f>
        <x:v>SpecTF</x:v>
      </x:c>
      <x:c r="I9" s="12" t="n">
        <x:f>AVERAGEIF('180项对比'!$C$6:$C$185,A9,'180项对比'!$I$6:$I$185)</x:f>
        <x:v>0.006219061660623838</x:v>
      </x:c>
      <x:c r="J9" s="12" t="n">
        <x:f>F9</x:f>
        <x:v>0.005911231950663121</x:v>
      </x:c>
      <x:c r="K9" s="2"/>
      <x:c r="L9" s="2"/>
      <x:c r="M9" s="2"/>
      <x:c r="N9" s="2"/>
    </x:row>
    <x:row r="10" ht="23" customHeight="1">
      <x:c r="A10" s="2" t="str">
        <x:v>CFA</x:v>
      </x:c>
      <x:c r="B10" s="2" t="n">
        <x:f>COUNTIF('180项对比'!$C$6:$C$185,A10)</x:f>
        <x:v>36</x:v>
      </x:c>
      <x:c r="C10" s="2" t="n">
        <x:f>COUNTIFS('180项对比'!$C$6:$C$185,A10,'180项对比'!$K$6:$K$185,"改善")</x:f>
        <x:v>7</x:v>
      </x:c>
      <x:c r="D10" s="2" t="n">
        <x:f>COUNTIFS('180项对比'!$C$6:$C$185,A10,'180项对比'!$K$6:$K$185,"退化")</x:f>
        <x:v>3</x:v>
      </x:c>
      <x:c r="E10" s="2" t="n">
        <x:f>COUNTIFS('180项对比'!$C$6:$C$185,A10,'180项对比'!$K$6:$K$185,"持平")</x:f>
        <x:v>26</x:v>
      </x:c>
      <x:c r="F10" s="12" t="n">
        <x:f>AVERAGEIF('180项对比'!$C$6:$C$185,A10,'180项对比'!$G$6:$G$185)</x:f>
        <x:v>0.0042160123390990074</x:v>
      </x:c>
      <x:c r="G10" s="2"/>
      <x:c r="H10" s="2" t="str">
        <x:f>A10</x:f>
        <x:v>CFA</x:v>
      </x:c>
      <x:c r="I10" s="12" t="n">
        <x:f>AVERAGEIF('180项对比'!$C$6:$C$185,A10,'180项对比'!$I$6:$I$185)</x:f>
        <x:v>-0.009412733839981143</x:v>
      </x:c>
      <x:c r="J10" s="12" t="n">
        <x:f>F10</x:f>
        <x:v>0.0042160123390990074</x:v>
      </x:c>
      <x:c r="K10" s="2"/>
      <x:c r="L10" s="2"/>
      <x:c r="M10" s="2"/>
      <x:c r="N10" s="2"/>
    </x:row>
    <x:row r="11" ht="23" customHeight="1">
      <x:c r="A11" s="2" t="str">
        <x:v>Aurora</x:v>
      </x:c>
      <x:c r="B11" s="2" t="n">
        <x:f>COUNTIF('180项对比'!$C$6:$C$185,A11)</x:f>
        <x:v>36</x:v>
      </x:c>
      <x:c r="C11" s="2" t="n">
        <x:f>COUNTIFS('180项对比'!$C$6:$C$185,A11,'180项对比'!$K$6:$K$185,"改善")</x:f>
        <x:v>11</x:v>
      </x:c>
      <x:c r="D11" s="2" t="n">
        <x:f>COUNTIFS('180项对比'!$C$6:$C$185,A11,'180项对比'!$K$6:$K$185,"退化")</x:f>
        <x:v>5</x:v>
      </x:c>
      <x:c r="E11" s="2" t="n">
        <x:f>COUNTIFS('180项对比'!$C$6:$C$185,A11,'180项对比'!$K$6:$K$185,"持平")</x:f>
        <x:v>20</x:v>
      </x:c>
      <x:c r="F11" s="12" t="n">
        <x:f>AVERAGEIF('180项对比'!$C$6:$C$185,A11,'180项对比'!$G$6:$G$185)</x:f>
        <x:v>0.04531891795733616</x:v>
      </x:c>
      <x:c r="G11" s="2"/>
      <x:c r="H11" s="2" t="str">
        <x:f>A11</x:f>
        <x:v>Aurora</x:v>
      </x:c>
      <x:c r="I11" s="12" t="n">
        <x:f>AVERAGEIF('180项对比'!$C$6:$C$185,A11,'180项对比'!$I$6:$I$185)</x:f>
        <x:v>0.04208470387596072</x:v>
      </x:c>
      <x:c r="J11" s="12" t="n">
        <x:f>F11</x:f>
        <x:v>0.04531891795733616</x:v>
      </x:c>
      <x:c r="K11" s="2"/>
      <x:c r="L11" s="2"/>
      <x:c r="M11" s="2"/>
      <x:c r="N11" s="2"/>
    </x:row>
    <x:row r="12" ht="23" customHeight="1">
      <x:c r="A12" s="14" t="str">
        <x:v>总计</x:v>
      </x:c>
      <x:c r="B12" s="14" t="n">
        <x:f>SUM(B7:B11)</x:f>
        <x:v>180</x:v>
      </x:c>
      <x:c r="C12" s="14" t="n">
        <x:f>SUM(C7:C11)</x:f>
        <x:v>64</x:v>
      </x:c>
      <x:c r="D12" s="14" t="n">
        <x:f>SUM(D7:D11)</x:f>
        <x:v>12</x:v>
      </x:c>
      <x:c r="E12" s="14" t="n">
        <x:f>SUM(E7:E11)</x:f>
        <x:v>104</x:v>
      </x:c>
      <x:c r="F12" s="15" t="n">
        <x:f>AVERAGE('180项对比'!G6:G185)</x:f>
        <x:v>0.027090445360066297</x:v>
      </x:c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 t="str">
        <x:v>平均改善率是 36 项相对改善率的算术平均。不同领域绝对MSE的量级不同，不直接混合比较。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 t="str">
        <x:v>并非所有任务下降：非零alpha仅要求验证集MSE与MAE同时改善，不能保证测试集也改善。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3" customHeight="1">
      <x:c r="A16" s="2" t="str">
        <x:v>alpha=0 保留原版预测。种子页提供alpha、最佳轮次、验证误差比，可核对选择规则。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 t="str">
        <x:v>底模使用原版冻结预测；重新训练的是共享后置V1插件。归一化和指标尺度沿用原版缓存。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 t="str">
        <x:v>沿用截图版80轮预算；19/108次拟合达到上限且未满足验证平台期，不能称为全部充分收敛。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 t="str">
        <x:v>领域MSE表：原版与V1使用相同的领域内热力刻度，绿低红高。改善率热力刻度固定为 −10% / 0 / +10%。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2" t="str">
        <x:v>每张折线图展示该领域五个模型的V1平均MSE；原版数值并列列出。所有预测步长均显示真实长度。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3" t="str">
        <x:v>Agriculture  MSE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 t="str">
        <x:v>V1 平均MSE</x:v>
      </x:c>
      <x:c r="B27" s="2"/>
      <x:c r="C27" s="2"/>
      <x:c r="D27" s="2"/>
      <x:c r="E27" s="2"/>
      <x:c r="F27" s="2"/>
      <x:c r="G27" s="2"/>
      <x:c r="H27" s="2" t="str">
        <x:v>原版 MSE</x:v>
      </x:c>
      <x:c r="I27" s="2"/>
      <x:c r="J27" s="2"/>
      <x:c r="K27" s="2"/>
      <x:c r="L27" s="2"/>
      <x:c r="M27" s="2"/>
      <x:c r="N27" s="2"/>
    </x:row>
    <x:row r="28" ht="27" customHeight="1">
      <x:c r="A28" s="7" t="str">
        <x:v>步长</x:v>
      </x:c>
      <x:c r="B28" s="8" t="str">
        <x:v>TaTS</x:v>
      </x:c>
      <x:c r="C28" s="8" t="str">
        <x:v>MM-TSFlib</x:v>
      </x:c>
      <x:c r="D28" s="8" t="str">
        <x:v>SpecTF</x:v>
      </x:c>
      <x:c r="E28" s="8" t="str">
        <x:v>CFA</x:v>
      </x:c>
      <x:c r="F28" s="9" t="str">
        <x:v>Aurora</x:v>
      </x:c>
      <x:c r="G28" s="2"/>
      <x:c r="H28" s="7" t="str">
        <x:v>步长</x:v>
      </x:c>
      <x:c r="I28" s="8" t="str">
        <x:v>TaTS</x:v>
      </x:c>
      <x:c r="J28" s="8" t="str">
        <x:v>MM-TSFlib</x:v>
      </x:c>
      <x:c r="K28" s="8" t="str">
        <x:v>SpecTF</x:v>
      </x:c>
      <x:c r="L28" s="8" t="str">
        <x:v>CFA</x:v>
      </x:c>
      <x:c r="M28" s="9" t="str">
        <x:v>Aurora</x:v>
      </x:c>
      <x:c r="N28" s="2"/>
    </x:row>
    <x:row r="29" ht="23" customHeight="1">
      <x:c r="A29" s="2" t="str">
        <x:v>6步</x:v>
      </x:c>
      <x:c r="B29" s="10" t="n">
        <x:f>'180项对比'!E6</x:f>
        <x:v>0.4014099573914715</x:v>
      </x:c>
      <x:c r="C29" s="10" t="n">
        <x:f>'180项对比'!E7</x:f>
        <x:v>2.352992130939326</x:v>
      </x:c>
      <x:c r="D29" s="10" t="n">
        <x:f>'180项对比'!E8</x:f>
        <x:v>0.19651180213955355</x:v>
      </x:c>
      <x:c r="E29" s="10" t="n">
        <x:f>'180项对比'!E9</x:f>
        <x:v>0.16785088749539434</x:v>
      </x:c>
      <x:c r="F29" s="10" t="n">
        <x:f>'180项对比'!E10</x:f>
        <x:v>0.6160356474338037</x:v>
      </x:c>
      <x:c r="G29" s="2"/>
      <x:c r="H29" s="2" t="str">
        <x:v>6步</x:v>
      </x:c>
      <x:c r="I29" s="10" t="n">
        <x:f>'180项对比'!D6</x:f>
        <x:v>0.49579507604065326</x:v>
      </x:c>
      <x:c r="J29" s="10" t="n">
        <x:f>'180项对比'!D7</x:f>
        <x:v>3.0201228416151027</x:v>
      </x:c>
      <x:c r="K29" s="10" t="n">
        <x:f>'180项对比'!D8</x:f>
        <x:v>0.2098411645526121</x:v>
      </x:c>
      <x:c r="L29" s="10" t="n">
        <x:f>'180项对比'!D9</x:f>
        <x:v>0.16785088749539434</x:v>
      </x:c>
      <x:c r="M29" s="10" t="n">
        <x:f>'180项对比'!D10</x:f>
        <x:v>0.9220825499208489</x:v>
      </x:c>
      <x:c r="N29" s="2"/>
    </x:row>
    <x:row r="30" ht="23" customHeight="1">
      <x:c r="A30" s="2" t="str">
        <x:v>8步</x:v>
      </x:c>
      <x:c r="B30" s="10" t="n">
        <x:f>'180项对比'!E11</x:f>
        <x:v>0.44542332624822273</x:v>
      </x:c>
      <x:c r="C30" s="10" t="n">
        <x:f>'180项对比'!E12</x:f>
        <x:v>2.438409532022639</x:v>
      </x:c>
      <x:c r="D30" s="10" t="n">
        <x:f>'180项对比'!E13</x:f>
        <x:v>0.285905947009229</x:v>
      </x:c>
      <x:c r="E30" s="10" t="n">
        <x:f>'180项对比'!E14</x:f>
        <x:v>0.2135153200313922</x:v>
      </x:c>
      <x:c r="F30" s="10" t="n">
        <x:f>'180项对比'!E15</x:f>
        <x:v>0.6853185893626463</x:v>
      </x:c>
      <x:c r="G30" s="2"/>
      <x:c r="H30" s="2" t="str">
        <x:v>8步</x:v>
      </x:c>
      <x:c r="I30" s="10" t="n">
        <x:f>'180项对比'!D11</x:f>
        <x:v>0.4841925676786266</x:v>
      </x:c>
      <x:c r="J30" s="10" t="n">
        <x:f>'180项对比'!D12</x:f>
        <x:v>3.1082829187258283</x:v>
      </x:c>
      <x:c r="K30" s="10" t="n">
        <x:f>'180项对比'!D13</x:f>
        <x:v>0.285905947009229</x:v>
      </x:c>
      <x:c r="L30" s="10" t="n">
        <x:f>'180项对比'!D14</x:f>
        <x:v>0.2135153200313922</x:v>
      </x:c>
      <x:c r="M30" s="10" t="n">
        <x:f>'180项对比'!D15</x:f>
        <x:v>1.000703602706396</x:v>
      </x:c>
      <x:c r="N30" s="2"/>
    </x:row>
    <x:row r="31" ht="23" customHeight="1">
      <x:c r="A31" s="2" t="str">
        <x:v>10步</x:v>
      </x:c>
      <x:c r="B31" s="10" t="n">
        <x:f>'180项对比'!E16</x:f>
        <x:v>0.5686815968912184</x:v>
      </x:c>
      <x:c r="C31" s="10" t="n">
        <x:f>'180项对比'!E17</x:f>
        <x:v>2.471275613394934</x:v>
      </x:c>
      <x:c r="D31" s="10" t="n">
        <x:f>'180项对比'!E18</x:f>
        <x:v>0.3581095384883252</x:v>
      </x:c>
      <x:c r="E31" s="10" t="n">
        <x:f>'180项对比'!E19</x:f>
        <x:v>0.29576657031370107</x:v>
      </x:c>
      <x:c r="F31" s="10" t="n">
        <x:f>'180项对比'!E20</x:f>
        <x:v>0.7377202577328122</x:v>
      </x:c>
      <x:c r="G31" s="2"/>
      <x:c r="H31" s="2" t="str">
        <x:v>10步</x:v>
      </x:c>
      <x:c r="I31" s="10" t="n">
        <x:f>'180项对比'!D16</x:f>
        <x:v>0.6602757535858196</x:v>
      </x:c>
      <x:c r="J31" s="10" t="n">
        <x:f>'180项对比'!D17</x:f>
        <x:v>3.1341403583348333</x:v>
      </x:c>
      <x:c r="K31" s="10" t="n">
        <x:f>'180项对比'!D18</x:f>
        <x:v>0.3745156939748262</x:v>
      </x:c>
      <x:c r="L31" s="10" t="n">
        <x:f>'180项对比'!D19</x:f>
        <x:v>0.29576657031370107</x:v>
      </x:c>
      <x:c r="M31" s="10" t="n">
        <x:f>'180项对比'!D20</x:f>
        <x:v>1.0489926219606276</x:v>
      </x:c>
      <x:c r="N31" s="2"/>
    </x:row>
    <x:row r="32" ht="23" customHeight="1">
      <x:c r="A32" s="2" t="str">
        <x:v>12步</x:v>
      </x:c>
      <x:c r="B32" s="10" t="n">
        <x:f>'180项对比'!E21</x:f>
        <x:v>0.6863420606258496</x:v>
      </x:c>
      <x:c r="C32" s="10" t="n">
        <x:f>'180项对比'!E22</x:f>
        <x:v>2.7743474664125984</x:v>
      </x:c>
      <x:c r="D32" s="10" t="n">
        <x:f>'180项对比'!E23</x:f>
        <x:v>0.35785318025578033</x:v>
      </x:c>
      <x:c r="E32" s="10" t="n">
        <x:f>'180项对比'!E24</x:f>
        <x:v>0.33713840813842477</x:v>
      </x:c>
      <x:c r="F32" s="10" t="n">
        <x:f>'180项对比'!E25</x:f>
        <x:v>0.7661397881194146</x:v>
      </x:c>
      <x:c r="G32" s="2"/>
      <x:c r="H32" s="2" t="str">
        <x:v>12步</x:v>
      </x:c>
      <x:c r="I32" s="10" t="n">
        <x:f>'180项对比'!D21</x:f>
        <x:v>0.8091895099223382</x:v>
      </x:c>
      <x:c r="J32" s="10" t="n">
        <x:f>'180项对比'!D22</x:f>
        <x:v>3.444487867309843</x:v>
      </x:c>
      <x:c r="K32" s="10" t="n">
        <x:f>'180项对比'!D23</x:f>
        <x:v>0.35785318025578033</x:v>
      </x:c>
      <x:c r="L32" s="10" t="n">
        <x:f>'180项对比'!D24</x:f>
        <x:v>0.37551116732851375</x:v>
      </x:c>
      <x:c r="M32" s="10" t="n">
        <x:f>'180项对比'!D25</x:f>
        <x:v>1.0627157999916093</x:v>
      </x:c>
      <x:c r="N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 t="str">
        <x:v>MSE 改善率（正值改善）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7" customHeight="1">
      <x:c r="A36" s="7" t="str">
        <x:v>步长</x:v>
      </x:c>
      <x:c r="B36" s="8" t="str">
        <x:v>TaTS</x:v>
      </x:c>
      <x:c r="C36" s="8" t="str">
        <x:v>MM-TSFlib</x:v>
      </x:c>
      <x:c r="D36" s="8" t="str">
        <x:v>SpecTF</x:v>
      </x:c>
      <x:c r="E36" s="8" t="str">
        <x:v>CFA</x:v>
      </x:c>
      <x:c r="F36" s="9" t="str">
        <x:v>Aurora</x:v>
      </x:c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 t="str">
        <x:v>6步</x:v>
      </x:c>
      <x:c r="B37" s="12" t="n">
        <x:f>'180项对比'!G6</x:f>
        <x:v>0.19037123039407222</x:v>
      </x:c>
      <x:c r="C37" s="12" t="n">
        <x:f>'180项对比'!G7</x:f>
        <x:v>0.22089522369196354</x:v>
      </x:c>
      <x:c r="D37" s="12" t="n">
        <x:f>'180项对比'!G8</x:f>
        <x:v>0.06352119919595929</x:v>
      </x:c>
      <x:c r="E37" s="12" t="n">
        <x:f>'180项对比'!G9</x:f>
        <x:v>0</x:v>
      </x:c>
      <x:c r="F37" s="12" t="n">
        <x:f>'180项对比'!G10</x:f>
        <x:v>0.33190835518285877</x:v>
      </x:c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 t="str">
        <x:v>8步</x:v>
      </x:c>
      <x:c r="B38" s="12" t="n">
        <x:f>'180项对比'!G11</x:f>
        <x:v>0.08006988132072324</x:v>
      </x:c>
      <x:c r="C38" s="12" t="n">
        <x:f>'180项对比'!G12</x:f>
        <x:v>0.21551235978795302</x:v>
      </x:c>
      <x:c r="D38" s="12" t="n">
        <x:f>'180项对比'!G13</x:f>
        <x:v>0</x:v>
      </x:c>
      <x:c r="E38" s="12" t="n">
        <x:f>'180项对比'!G14</x:f>
        <x:v>0</x:v>
      </x:c>
      <x:c r="F38" s="12" t="n">
        <x:f>'180项对比'!G15</x:f>
        <x:v>0.3151632636185111</x:v>
      </x:c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 t="str">
        <x:v>10步</x:v>
      </x:c>
      <x:c r="B39" s="12" t="n">
        <x:f>'180项对比'!G16</x:f>
        <x:v>0.1387210664592368</x:v>
      </x:c>
      <x:c r="C39" s="12" t="n">
        <x:f>'180项对比'!G17</x:f>
        <x:v>0.21149810447292125</x:v>
      </x:c>
      <x:c r="D39" s="12" t="n">
        <x:f>'180项对比'!G18</x:f>
        <x:v>0.04380632307388367</x:v>
      </x:c>
      <x:c r="E39" s="12" t="n">
        <x:f>'180项对比'!G19</x:f>
        <x:v>0</x:v>
      </x:c>
      <x:c r="F39" s="12" t="n">
        <x:f>'180项对比'!G20</x:f>
        <x:v>0.296734560102081</x:v>
      </x:c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 t="str">
        <x:v>12步</x:v>
      </x:c>
      <x:c r="B40" s="12" t="n">
        <x:f>'180项对比'!G21</x:f>
        <x:v>0.151815424928431</x:v>
      </x:c>
      <x:c r="C40" s="12" t="n">
        <x:f>'180项对比'!G22</x:f>
        <x:v>0.19455443790563462</x:v>
      </x:c>
      <x:c r="D40" s="12" t="n">
        <x:f>'180项对比'!G23</x:f>
        <x:v>0</x:v>
      </x:c>
      <x:c r="E40" s="12" t="n">
        <x:f>'180项对比'!G24</x:f>
        <x:v>0.10218806397445644</x:v>
      </x:c>
      <x:c r="F40" s="12" t="n">
        <x:f>'180项对比'!G25</x:f>
        <x:v>0.27907368261066245</x:v>
      </x:c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 t="str">
        <x:v>红色负值 = 测试集MSE增加。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 t="str">
        <x:v>持平主要来自验证alpha=0的回退。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3" t="str">
        <x:v>Climate  MSE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 t="str">
        <x:v>V1 平均MSE</x:v>
      </x:c>
      <x:c r="B57" s="2"/>
      <x:c r="C57" s="2"/>
      <x:c r="D57" s="2"/>
      <x:c r="E57" s="2"/>
      <x:c r="F57" s="2"/>
      <x:c r="G57" s="2"/>
      <x:c r="H57" s="2" t="str">
        <x:v>原版 MSE</x:v>
      </x:c>
      <x:c r="I57" s="2"/>
      <x:c r="J57" s="2"/>
      <x:c r="K57" s="2"/>
      <x:c r="L57" s="2"/>
      <x:c r="M57" s="2"/>
      <x:c r="N57" s="2"/>
    </x:row>
    <x:row r="58" ht="27" customHeight="1">
      <x:c r="A58" s="7" t="str">
        <x:v>步长</x:v>
      </x:c>
      <x:c r="B58" s="8" t="str">
        <x:v>TaTS</x:v>
      </x:c>
      <x:c r="C58" s="8" t="str">
        <x:v>MM-TSFlib</x:v>
      </x:c>
      <x:c r="D58" s="8" t="str">
        <x:v>SpecTF</x:v>
      </x:c>
      <x:c r="E58" s="8" t="str">
        <x:v>CFA</x:v>
      </x:c>
      <x:c r="F58" s="9" t="str">
        <x:v>Aurora</x:v>
      </x:c>
      <x:c r="G58" s="2"/>
      <x:c r="H58" s="7" t="str">
        <x:v>步长</x:v>
      </x:c>
      <x:c r="I58" s="8" t="str">
        <x:v>TaTS</x:v>
      </x:c>
      <x:c r="J58" s="8" t="str">
        <x:v>MM-TSFlib</x:v>
      </x:c>
      <x:c r="K58" s="8" t="str">
        <x:v>SpecTF</x:v>
      </x:c>
      <x:c r="L58" s="8" t="str">
        <x:v>CFA</x:v>
      </x:c>
      <x:c r="M58" s="9" t="str">
        <x:v>Aurora</x:v>
      </x:c>
      <x:c r="N58" s="2"/>
    </x:row>
    <x:row r="59" ht="23" customHeight="1">
      <x:c r="A59" s="2" t="str">
        <x:v>6步</x:v>
      </x:c>
      <x:c r="B59" s="10" t="n">
        <x:f>'180项对比'!E26</x:f>
        <x:v>1.1433486550950163</x:v>
      </x:c>
      <x:c r="C59" s="10" t="n">
        <x:f>'180项对比'!E27</x:f>
        <x:v>1.1941477400109357</x:v>
      </x:c>
      <x:c r="D59" s="10" t="n">
        <x:f>'180项对比'!E28</x:f>
        <x:v>1.0572414052328372</x:v>
      </x:c>
      <x:c r="E59" s="10" t="n">
        <x:f>'180项对比'!E29</x:f>
        <x:v>1.207252451827332</x:v>
      </x:c>
      <x:c r="F59" s="10" t="n">
        <x:f>'180项对比'!E30</x:f>
        <x:v>1.1349327105976588</x:v>
      </x:c>
      <x:c r="G59" s="2"/>
      <x:c r="H59" s="2" t="str">
        <x:v>6步</x:v>
      </x:c>
      <x:c r="I59" s="10" t="n">
        <x:f>'180项对比'!D26</x:f>
        <x:v>1.1433486550950163</x:v>
      </x:c>
      <x:c r="J59" s="10" t="n">
        <x:f>'180项对比'!D27</x:f>
        <x:v>1.1941477400109357</x:v>
      </x:c>
      <x:c r="K59" s="10" t="n">
        <x:f>'180项对比'!D28</x:f>
        <x:v>1.0572414052259043</x:v>
      </x:c>
      <x:c r="L59" s="10" t="n">
        <x:f>'180项对比'!D29</x:f>
        <x:v>1.2072524518723515</x:v>
      </x:c>
      <x:c r="M59" s="10" t="n">
        <x:f>'180项对比'!D30</x:f>
        <x:v>1.1349327105336318</x:v>
      </x:c>
      <x:c r="N59" s="2"/>
    </x:row>
    <x:row r="60" ht="23" customHeight="1">
      <x:c r="A60" s="2" t="str">
        <x:v>8步</x:v>
      </x:c>
      <x:c r="B60" s="10" t="n">
        <x:f>'180项对比'!E31</x:f>
        <x:v>1.1675973043756265</x:v>
      </x:c>
      <x:c r="C60" s="10" t="n">
        <x:f>'180项对比'!E32</x:f>
        <x:v>1.3202855790648724</x:v>
      </x:c>
      <x:c r="D60" s="10" t="n">
        <x:f>'180项对比'!E33</x:f>
        <x:v>1.07353160690252</x:v>
      </x:c>
      <x:c r="E60" s="10" t="n">
        <x:f>'180项对比'!E34</x:f>
        <x:v>1.1615048166871749</x:v>
      </x:c>
      <x:c r="F60" s="10" t="n">
        <x:f>'180项对比'!E35</x:f>
        <x:v>1.1448523384243392</x:v>
      </x:c>
      <x:c r="G60" s="2"/>
      <x:c r="H60" s="2" t="str">
        <x:v>8步</x:v>
      </x:c>
      <x:c r="I60" s="10" t="n">
        <x:f>'180项对比'!D31</x:f>
        <x:v>1.1675973042594807</x:v>
      </x:c>
      <x:c r="J60" s="10" t="n">
        <x:f>'180项对比'!D32</x:f>
        <x:v>1.3202855790609833</x:v>
      </x:c>
      <x:c r="K60" s="10" t="n">
        <x:f>'180项对比'!D33</x:f>
        <x:v>1.07353160690252</x:v>
      </x:c>
      <x:c r="L60" s="10" t="n">
        <x:f>'180项对比'!D34</x:f>
        <x:v>1.1615048166871749</x:v>
      </x:c>
      <x:c r="M60" s="10" t="n">
        <x:f>'180项对比'!D35</x:f>
        <x:v>1.1448523384243392</x:v>
      </x:c>
      <x:c r="N60" s="2"/>
    </x:row>
    <x:row r="61" ht="23" customHeight="1">
      <x:c r="A61" s="2" t="str">
        <x:v>10步</x:v>
      </x:c>
      <x:c r="B61" s="10" t="n">
        <x:f>'180项对比'!E36</x:f>
        <x:v>1.1619446589774514</x:v>
      </x:c>
      <x:c r="C61" s="10" t="n">
        <x:f>'180项对比'!E37</x:f>
        <x:v>1.2405914477497597</x:v>
      </x:c>
      <x:c r="D61" s="10" t="n">
        <x:f>'180项对比'!E38</x:f>
        <x:v>1.1226732238917876</x:v>
      </x:c>
      <x:c r="E61" s="10" t="n">
        <x:f>'180项对比'!E39</x:f>
        <x:v>1.0921057930063105</x:v>
      </x:c>
      <x:c r="F61" s="10" t="n">
        <x:f>'180项对比'!E40</x:f>
        <x:v>1.1609872381995572</x:v>
      </x:c>
      <x:c r="G61" s="2"/>
      <x:c r="H61" s="2" t="str">
        <x:v>10步</x:v>
      </x:c>
      <x:c r="I61" s="10" t="n">
        <x:f>'180项对比'!D36</x:f>
        <x:v>1.1619446589645592</x:v>
      </x:c>
      <x:c r="J61" s="10" t="n">
        <x:f>'180项对比'!D37</x:f>
        <x:v>1.2405914477230617</x:v>
      </x:c>
      <x:c r="K61" s="10" t="n">
        <x:f>'180项对比'!D38</x:f>
        <x:v>1.1226732238917876</x:v>
      </x:c>
      <x:c r="L61" s="10" t="n">
        <x:f>'180项对比'!D39</x:f>
        <x:v>1.0921057930035716</x:v>
      </x:c>
      <x:c r="M61" s="10" t="n">
        <x:f>'180项对比'!D40</x:f>
        <x:v>1.160987237939077</x:v>
      </x:c>
      <x:c r="N61" s="2"/>
    </x:row>
    <x:row r="62" ht="23" customHeight="1">
      <x:c r="A62" s="2" t="str">
        <x:v>12步</x:v>
      </x:c>
      <x:c r="B62" s="10" t="n">
        <x:f>'180项对比'!E41</x:f>
        <x:v>1.1409304659432564</x:v>
      </x:c>
      <x:c r="C62" s="10" t="n">
        <x:f>'180项对比'!E42</x:f>
        <x:v>1.2162667169387846</x:v>
      </x:c>
      <x:c r="D62" s="10" t="n">
        <x:f>'180项对比'!E43</x:f>
        <x:v>1.1263081593985549</x:v>
      </x:c>
      <x:c r="E62" s="10" t="n">
        <x:f>'180项对比'!E44</x:f>
        <x:v>1.1168280277392026</x:v>
      </x:c>
      <x:c r="F62" s="10" t="n">
        <x:f>'180项对比'!E45</x:f>
        <x:v>1.1706371855200317</x:v>
      </x:c>
      <x:c r="G62" s="2"/>
      <x:c r="H62" s="2" t="str">
        <x:v>12步</x:v>
      </x:c>
      <x:c r="I62" s="10" t="n">
        <x:f>'180项对比'!D41</x:f>
        <x:v>1.1409304660185637</x:v>
      </x:c>
      <x:c r="J62" s="10" t="n">
        <x:f>'180项对比'!D42</x:f>
        <x:v>1.216266717246754</x:v>
      </x:c>
      <x:c r="K62" s="10" t="n">
        <x:f>'180项对比'!D43</x:f>
        <x:v>1.1263081593985549</x:v>
      </x:c>
      <x:c r="L62" s="10" t="n">
        <x:f>'180项对比'!D44</x:f>
        <x:v>1.116828027737457</x:v>
      </x:c>
      <x:c r="M62" s="10" t="n">
        <x:f>'180项对比'!D45</x:f>
        <x:v>1.1706371855200317</x:v>
      </x:c>
      <x:c r="N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3" customHeight="1">
      <x:c r="A65" s="2" t="str">
        <x:v>MSE 改善率（正值改善）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7" customHeight="1">
      <x:c r="A66" s="7" t="str">
        <x:v>步长</x:v>
      </x:c>
      <x:c r="B66" s="8" t="str">
        <x:v>TaTS</x:v>
      </x:c>
      <x:c r="C66" s="8" t="str">
        <x:v>MM-TSFlib</x:v>
      </x:c>
      <x:c r="D66" s="8" t="str">
        <x:v>SpecTF</x:v>
      </x:c>
      <x:c r="E66" s="8" t="str">
        <x:v>CFA</x:v>
      </x:c>
      <x:c r="F66" s="9" t="str">
        <x:v>Aurora</x:v>
      </x:c>
      <x:c r="G66" s="2"/>
      <x:c r="H66" s="2"/>
      <x:c r="I66" s="2"/>
      <x:c r="J66" s="2"/>
      <x:c r="K66" s="2"/>
      <x:c r="L66" s="2"/>
      <x:c r="M66" s="2"/>
      <x:c r="N66" s="2"/>
    </x:row>
    <x:row r="67" ht="23" customHeight="1">
      <x:c r="A67" s="2" t="str">
        <x:v>6步</x:v>
      </x:c>
      <x:c r="B67" s="12" t="n">
        <x:f>'180项对比'!G26</x:f>
        <x:v>0</x:v>
      </x:c>
      <x:c r="C67" s="12" t="n">
        <x:f>'180项对比'!G27</x:f>
        <x:v>0</x:v>
      </x:c>
      <x:c r="D67" s="12" t="n">
        <x:f>'180项对比'!G28</x:f>
        <x:v>-6.557536117394946e-12</x:v>
      </x:c>
      <x:c r="E67" s="12" t="n">
        <x:f>'180项对比'!G29</x:f>
        <x:v>3.729091092648303e-11</x:v>
      </x:c>
      <x:c r="F67" s="12" t="n">
        <x:f>'180项对比'!G30</x:f>
        <x:v>-5.641480356067797e-11</x:v>
      </x:c>
      <x:c r="G67" s="2"/>
      <x:c r="H67" s="2"/>
      <x:c r="I67" s="2"/>
      <x:c r="J67" s="2"/>
      <x:c r="K67" s="2"/>
      <x:c r="L67" s="2"/>
      <x:c r="M67" s="2"/>
      <x:c r="N67" s="2"/>
    </x:row>
    <x:row r="68" ht="23" customHeight="1">
      <x:c r="A68" s="2" t="str">
        <x:v>8步</x:v>
      </x:c>
      <x:c r="B68" s="12" t="n">
        <x:f>'180项对比'!G31</x:f>
        <x:v>-9.947415881558442e-11</x:v>
      </x:c>
      <x:c r="C68" s="12" t="n">
        <x:f>'180项对比'!G32</x:f>
        <x:v>-2.945659118709716e-12</x:v>
      </x:c>
      <x:c r="D68" s="12" t="n">
        <x:f>'180项对比'!G33</x:f>
        <x:v>0</x:v>
      </x:c>
      <x:c r="E68" s="12" t="n">
        <x:f>'180项对比'!G34</x:f>
        <x:v>0</x:v>
      </x:c>
      <x:c r="F68" s="12" t="n">
        <x:f>'180项对比'!G35</x:f>
        <x:v>0</x:v>
      </x:c>
      <x:c r="G68" s="2"/>
      <x:c r="H68" s="2"/>
      <x:c r="I68" s="2"/>
      <x:c r="J68" s="2"/>
      <x:c r="K68" s="2"/>
      <x:c r="L68" s="2"/>
      <x:c r="M68" s="2"/>
      <x:c r="N68" s="2"/>
    </x:row>
    <x:row r="69" ht="23" customHeight="1">
      <x:c r="A69" s="2" t="str">
        <x:v>10步</x:v>
      </x:c>
      <x:c r="B69" s="12" t="n">
        <x:f>'180项对比'!G36</x:f>
        <x:v>-1.1095306223999321e-11</x:v>
      </x:c>
      <x:c r="C69" s="12" t="n">
        <x:f>'180项对比'!G37</x:f>
        <x:v>-2.1520362091300505e-11</x:v>
      </x:c>
      <x:c r="D69" s="12" t="n">
        <x:f>'180项对比'!G38</x:f>
        <x:v>0</x:v>
      </x:c>
      <x:c r="E69" s="12" t="n">
        <x:f>'180项对比'!G39</x:f>
        <x:v>-2.5079257149781497e-12</x:v>
      </x:c>
      <x:c r="F69" s="12" t="n">
        <x:f>'180项对比'!G40</x:f>
        <x:v>-2.2436084862632494e-10</x:v>
      </x:c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2" t="str">
        <x:v>12步</x:v>
      </x:c>
      <x:c r="B70" s="12" t="n">
        <x:f>'180项对比'!G41</x:f>
        <x:v>6.600517575934269e-11</x:v>
      </x:c>
      <x:c r="C70" s="12" t="n">
        <x:f>'180项对比'!G42</x:f>
        <x:v>2.5320879324447987e-10</x:v>
      </x:c>
      <x:c r="D70" s="12" t="n">
        <x:f>'180项对比'!G43</x:f>
        <x:v>0</x:v>
      </x:c>
      <x:c r="E70" s="12" t="n">
        <x:f>'180项对比'!G44</x:f>
        <x:v>-1.5631007107308892e-12</x:v>
      </x:c>
      <x:c r="F70" s="12" t="n">
        <x:f>'180项对比'!G45</x:f>
        <x:v>0</x:v>
      </x:c>
      <x:c r="G70" s="2"/>
      <x:c r="H70" s="2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3" customHeight="1">
      <x:c r="A73" s="2" t="str">
        <x:v>红色负值 = 测试集MSE增加。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3" customHeight="1">
      <x:c r="A74" s="2" t="str">
        <x:v>持平主要来自验证alpha=0的回退。</x:v>
      </x:c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3" t="str">
        <x:v>Economy  MSE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2" t="str">
        <x:v>V1 平均MSE</x:v>
      </x:c>
      <x:c r="B87" s="2"/>
      <x:c r="C87" s="2"/>
      <x:c r="D87" s="2"/>
      <x:c r="E87" s="2"/>
      <x:c r="F87" s="2"/>
      <x:c r="G87" s="2"/>
      <x:c r="H87" s="2" t="str">
        <x:v>原版 MSE</x:v>
      </x:c>
      <x:c r="I87" s="2"/>
      <x:c r="J87" s="2"/>
      <x:c r="K87" s="2"/>
      <x:c r="L87" s="2"/>
      <x:c r="M87" s="2"/>
      <x:c r="N87" s="2"/>
    </x:row>
    <x:row r="88" ht="27" customHeight="1">
      <x:c r="A88" s="7" t="str">
        <x:v>步长</x:v>
      </x:c>
      <x:c r="B88" s="8" t="str">
        <x:v>TaTS</x:v>
      </x:c>
      <x:c r="C88" s="8" t="str">
        <x:v>MM-TSFlib</x:v>
      </x:c>
      <x:c r="D88" s="8" t="str">
        <x:v>SpecTF</x:v>
      </x:c>
      <x:c r="E88" s="8" t="str">
        <x:v>CFA</x:v>
      </x:c>
      <x:c r="F88" s="9" t="str">
        <x:v>Aurora</x:v>
      </x:c>
      <x:c r="G88" s="2"/>
      <x:c r="H88" s="7" t="str">
        <x:v>步长</x:v>
      </x:c>
      <x:c r="I88" s="8" t="str">
        <x:v>TaTS</x:v>
      </x:c>
      <x:c r="J88" s="8" t="str">
        <x:v>MM-TSFlib</x:v>
      </x:c>
      <x:c r="K88" s="8" t="str">
        <x:v>SpecTF</x:v>
      </x:c>
      <x:c r="L88" s="8" t="str">
        <x:v>CFA</x:v>
      </x:c>
      <x:c r="M88" s="9" t="str">
        <x:v>Aurora</x:v>
      </x:c>
      <x:c r="N88" s="2"/>
    </x:row>
    <x:row r="89" ht="23" customHeight="1">
      <x:c r="A89" s="2" t="str">
        <x:v>6步</x:v>
      </x:c>
      <x:c r="B89" s="10" t="n">
        <x:f>'180项对比'!E46</x:f>
        <x:v>0.16335459751249948</x:v>
      </x:c>
      <x:c r="C89" s="10" t="n">
        <x:f>'180项对比'!E47</x:f>
        <x:v>0.8429338381750222</x:v>
      </x:c>
      <x:c r="D89" s="10" t="n">
        <x:f>'180项对比'!E48</x:f>
        <x:v>0.1542564141217095</x:v>
      </x:c>
      <x:c r="E89" s="10" t="n">
        <x:f>'180项对比'!E49</x:f>
        <x:v>0.1749326772734787</x:v>
      </x:c>
      <x:c r="F89" s="10" t="n">
        <x:f>'180项对比'!E50</x:f>
        <x:v>0.2772371906169744</x:v>
      </x:c>
      <x:c r="G89" s="2"/>
      <x:c r="H89" s="2" t="str">
        <x:v>6步</x:v>
      </x:c>
      <x:c r="I89" s="10" t="n">
        <x:f>'180项对比'!D46</x:f>
        <x:v>0.16271074981363087</x:v>
      </x:c>
      <x:c r="J89" s="10" t="n">
        <x:f>'180项对比'!D47</x:f>
        <x:v>0.8565175914521214</x:v>
      </x:c>
      <x:c r="K89" s="10" t="n">
        <x:f>'180项对比'!D48</x:f>
        <x:v>0.15398558090161274</x:v>
      </x:c>
      <x:c r="L89" s="10" t="n">
        <x:f>'180项对比'!D49</x:f>
        <x:v>0.17158745546126114</x:v>
      </x:c>
      <x:c r="M89" s="10" t="n">
        <x:f>'180项对比'!D50</x:f>
        <x:v>0.276509449314873</x:v>
      </x:c>
      <x:c r="N89" s="2"/>
    </x:row>
    <x:row r="90" ht="23" customHeight="1">
      <x:c r="A90" s="2" t="str">
        <x:v>8步</x:v>
      </x:c>
      <x:c r="B90" s="10" t="n">
        <x:f>'180项对比'!E51</x:f>
        <x:v>0.16786330002046856</x:v>
      </x:c>
      <x:c r="C90" s="10" t="n">
        <x:f>'180项对比'!E52</x:f>
        <x:v>0.8157366025368908</x:v>
      </x:c>
      <x:c r="D90" s="10" t="n">
        <x:f>'180项对比'!E53</x:f>
        <x:v>0.19934704701231057</x:v>
      </x:c>
      <x:c r="E90" s="10" t="n">
        <x:f>'180项对比'!E54</x:f>
        <x:v>0.1836090674726584</x:v>
      </x:c>
      <x:c r="F90" s="10" t="n">
        <x:f>'180项对比'!E55</x:f>
        <x:v>0.30134888800131915</x:v>
      </x:c>
      <x:c r="G90" s="2"/>
      <x:c r="H90" s="2" t="str">
        <x:v>8步</x:v>
      </x:c>
      <x:c r="I90" s="10" t="n">
        <x:f>'180项对比'!D51</x:f>
        <x:v>0.17193530537689122</x:v>
      </x:c>
      <x:c r="J90" s="10" t="n">
        <x:f>'180项对比'!D52</x:f>
        <x:v>0.9900096828286012</x:v>
      </x:c>
      <x:c r="K90" s="10" t="n">
        <x:f>'180项对比'!D53</x:f>
        <x:v>0.20794032049325598</x:v>
      </x:c>
      <x:c r="L90" s="10" t="n">
        <x:f>'180项对比'!D54</x:f>
        <x:v>0.19030338745728353</x:v>
      </x:c>
      <x:c r="M90" s="10" t="n">
        <x:f>'180项对比'!D55</x:f>
        <x:v>0.30134888800131915</x:v>
      </x:c>
      <x:c r="N90" s="2"/>
    </x:row>
    <x:row r="91" ht="23" customHeight="1">
      <x:c r="A91" s="2" t="str">
        <x:v>10步</x:v>
      </x:c>
      <x:c r="B91" s="10" t="n">
        <x:f>'180项对比'!E56</x:f>
        <x:v>0.17703266322367373</x:v>
      </x:c>
      <x:c r="C91" s="10" t="n">
        <x:f>'180项对比'!E57</x:f>
        <x:v>0.8228522108370374</x:v>
      </x:c>
      <x:c r="D91" s="10" t="n">
        <x:f>'180项对比'!E58</x:f>
        <x:v>0.19630235467279442</x:v>
      </x:c>
      <x:c r="E91" s="10" t="n">
        <x:f>'180项对比'!E59</x:f>
        <x:v>0.23149315931431738</x:v>
      </x:c>
      <x:c r="F91" s="10" t="n">
        <x:f>'180项对比'!E60</x:f>
        <x:v>0.31950637541484384</x:v>
      </x:c>
      <x:c r="G91" s="2"/>
      <x:c r="H91" s="2" t="str">
        <x:v>10步</x:v>
      </x:c>
      <x:c r="I91" s="10" t="n">
        <x:f>'180项对比'!D56</x:f>
        <x:v>0.18058548881660597</x:v>
      </x:c>
      <x:c r="J91" s="10" t="n">
        <x:f>'180项对比'!D57</x:f>
        <x:v>0.9352328334071817</x:v>
      </x:c>
      <x:c r="K91" s="10" t="n">
        <x:f>'180项对比'!D58</x:f>
        <x:v>0.19822602470059905</x:v>
      </x:c>
      <x:c r="L91" s="10" t="n">
        <x:f>'180项对比'!D59</x:f>
        <x:v>0.23586643317586922</x:v>
      </x:c>
      <x:c r="M91" s="10" t="n">
        <x:f>'180项对比'!D60</x:f>
        <x:v>0.31950637541484384</x:v>
      </x:c>
      <x:c r="N91" s="2"/>
    </x:row>
    <x:row r="92" ht="23" customHeight="1">
      <x:c r="A92" s="2" t="str">
        <x:v>12步</x:v>
      </x:c>
      <x:c r="B92" s="10" t="n">
        <x:f>'180项对比'!E61</x:f>
        <x:v>0.20261828458814246</x:v>
      </x:c>
      <x:c r="C92" s="10" t="n">
        <x:f>'180项对比'!E62</x:f>
        <x:v>0.9709953251999625</x:v>
      </x:c>
      <x:c r="D92" s="10" t="n">
        <x:f>'180项对比'!E63</x:f>
        <x:v>0.22845241864998087</x:v>
      </x:c>
      <x:c r="E92" s="10" t="n">
        <x:f>'180项对比'!E64</x:f>
        <x:v>0.23668466176642303</x:v>
      </x:c>
      <x:c r="F92" s="10" t="n">
        <x:f>'180项对比'!E65</x:f>
        <x:v>0.3338778963764754</x:v>
      </x:c>
      <x:c r="G92" s="2"/>
      <x:c r="H92" s="2" t="str">
        <x:v>12步</x:v>
      </x:c>
      <x:c r="I92" s="10" t="n">
        <x:f>'180项对比'!D61</x:f>
        <x:v>0.20261828458814246</x:v>
      </x:c>
      <x:c r="J92" s="10" t="n">
        <x:f>'180项对比'!D62</x:f>
        <x:v>0.9899457956350605</x:v>
      </x:c>
      <x:c r="K92" s="10" t="n">
        <x:f>'180项对比'!D63</x:f>
        <x:v>0.22845241864998087</x:v>
      </x:c>
      <x:c r="L92" s="10" t="n">
        <x:f>'180项对比'!D64</x:f>
        <x:v>0.23668466176642305</x:v>
      </x:c>
      <x:c r="M92" s="10" t="n">
        <x:f>'180项对比'!D65</x:f>
        <x:v>0.3338778963764754</x:v>
      </x:c>
      <x:c r="N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3" customHeight="1">
      <x:c r="A95" s="2" t="str">
        <x:v>MSE 改善率（正值改善）</x:v>
      </x:c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7" customHeight="1">
      <x:c r="A96" s="7" t="str">
        <x:v>步长</x:v>
      </x:c>
      <x:c r="B96" s="8" t="str">
        <x:v>TaTS</x:v>
      </x:c>
      <x:c r="C96" s="8" t="str">
        <x:v>MM-TSFlib</x:v>
      </x:c>
      <x:c r="D96" s="8" t="str">
        <x:v>SpecTF</x:v>
      </x:c>
      <x:c r="E96" s="8" t="str">
        <x:v>CFA</x:v>
      </x:c>
      <x:c r="F96" s="9" t="str">
        <x:v>Aurora</x:v>
      </x:c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2" t="str">
        <x:v>6步</x:v>
      </x:c>
      <x:c r="B97" s="12" t="n">
        <x:f>'180项对比'!G46</x:f>
        <x:v>-0.003957007755210205</x:v>
      </x:c>
      <x:c r="C97" s="12" t="n">
        <x:f>'180项对比'!G47</x:f>
        <x:v>0.01585928113171564</x:v>
      </x:c>
      <x:c r="D97" s="12" t="n">
        <x:f>'180项对比'!G48</x:f>
        <x:v>-0.0017588219527503548</x:v>
      </x:c>
      <x:c r="E97" s="12" t="n">
        <x:f>'180项对比'!G49</x:f>
        <x:v>-0.019495724808232234</x:v>
      </x:c>
      <x:c r="F97" s="12" t="n">
        <x:f>'180项对比'!G50</x:f>
        <x:v>-0.0026318858321282674</x:v>
      </x:c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2" t="str">
        <x:v>8步</x:v>
      </x:c>
      <x:c r="B98" s="12" t="n">
        <x:f>'180项对比'!G51</x:f>
        <x:v>0.023683357804242758</x:v>
      </x:c>
      <x:c r="C98" s="12" t="n">
        <x:f>'180项对比'!G52</x:f>
        <x:v>0.1760316927343447</x:v>
      </x:c>
      <x:c r="D98" s="12" t="n">
        <x:f>'180项对比'!G53</x:f>
        <x:v>0.04132567200320396</x:v>
      </x:c>
      <x:c r="E98" s="12" t="n">
        <x:f>'180项对比'!G54</x:f>
        <x:v>0.03517709313570562</x:v>
      </x:c>
      <x:c r="F98" s="12" t="n">
        <x:f>'180项对比'!G55</x:f>
        <x:v>0</x:v>
      </x:c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2" t="str">
        <x:v>10步</x:v>
      </x:c>
      <x:c r="B99" s="12" t="n">
        <x:f>'180项对比'!G56</x:f>
        <x:v>0.019673926272892953</x:v>
      </x:c>
      <x:c r="C99" s="12" t="n">
        <x:f>'180项对比'!G57</x:f>
        <x:v>0.12016325620297805</x:v>
      </x:c>
      <x:c r="D99" s="12" t="n">
        <x:f>'180项对比'!G58</x:f>
        <x:v>0.00970442720984871</x:v>
      </x:c>
      <x:c r="E99" s="12" t="n">
        <x:f>'180项对比'!G59</x:f>
        <x:v>0.018541315110705024</x:v>
      </x:c>
      <x:c r="F99" s="12" t="n">
        <x:f>'180项对比'!G60</x:f>
        <x:v>0</x:v>
      </x:c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2" t="str">
        <x:v>12步</x:v>
      </x:c>
      <x:c r="B100" s="12" t="n">
        <x:f>'180项对比'!G61</x:f>
        <x:v>0</x:v>
      </x:c>
      <x:c r="C100" s="12" t="n">
        <x:f>'180项对比'!G62</x:f>
        <x:v>0.019142937440267713</x:v>
      </x:c>
      <x:c r="D100" s="12" t="n">
        <x:f>'180项对比'!G63</x:f>
        <x:v>0</x:v>
      </x:c>
      <x:c r="E100" s="12" t="n">
        <x:f>'180项对比'!G64</x:f>
        <x:v>1.1726816350702122e-16</x:v>
      </x:c>
      <x:c r="F100" s="12" t="n">
        <x:f>'180项对比'!G65</x:f>
        <x:v>0</x:v>
      </x:c>
      <x:c r="G100" s="2"/>
      <x:c r="H100" s="2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3" customHeight="1">
      <x:c r="A103" s="2" t="str">
        <x:v>红色负值 = 测试集MSE增加。</x:v>
      </x:c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3" customHeight="1">
      <x:c r="A104" s="2" t="str">
        <x:v>持平主要来自验证alpha=0的回退。</x:v>
      </x:c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 ht="23" customHeight="1">
      <x:c r="A116" s="3" t="str">
        <x:v>Energy  MSE</x:v>
      </x:c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 ht="23" customHeight="1">
      <x:c r="A117" s="2" t="str">
        <x:v>V1 平均MSE</x:v>
      </x:c>
      <x:c r="B117" s="2"/>
      <x:c r="C117" s="2"/>
      <x:c r="D117" s="2"/>
      <x:c r="E117" s="2"/>
      <x:c r="F117" s="2"/>
      <x:c r="G117" s="2"/>
      <x:c r="H117" s="2" t="str">
        <x:v>原版 MSE</x:v>
      </x:c>
      <x:c r="I117" s="2"/>
      <x:c r="J117" s="2"/>
      <x:c r="K117" s="2"/>
      <x:c r="L117" s="2"/>
      <x:c r="M117" s="2"/>
      <x:c r="N117" s="2"/>
    </x:row>
    <x:row r="118" ht="27" customHeight="1">
      <x:c r="A118" s="7" t="str">
        <x:v>步长</x:v>
      </x:c>
      <x:c r="B118" s="8" t="str">
        <x:v>TaTS</x:v>
      </x:c>
      <x:c r="C118" s="8" t="str">
        <x:v>MM-TSFlib</x:v>
      </x:c>
      <x:c r="D118" s="8" t="str">
        <x:v>SpecTF</x:v>
      </x:c>
      <x:c r="E118" s="8" t="str">
        <x:v>CFA</x:v>
      </x:c>
      <x:c r="F118" s="9" t="str">
        <x:v>Aurora</x:v>
      </x:c>
      <x:c r="G118" s="2"/>
      <x:c r="H118" s="7" t="str">
        <x:v>步长</x:v>
      </x:c>
      <x:c r="I118" s="8" t="str">
        <x:v>TaTS</x:v>
      </x:c>
      <x:c r="J118" s="8" t="str">
        <x:v>MM-TSFlib</x:v>
      </x:c>
      <x:c r="K118" s="8" t="str">
        <x:v>SpecTF</x:v>
      </x:c>
      <x:c r="L118" s="8" t="str">
        <x:v>CFA</x:v>
      </x:c>
      <x:c r="M118" s="9" t="str">
        <x:v>Aurora</x:v>
      </x:c>
      <x:c r="N118" s="2"/>
    </x:row>
    <x:row r="119" ht="23" customHeight="1">
      <x:c r="A119" s="2" t="str">
        <x:v>12步</x:v>
      </x:c>
      <x:c r="B119" s="10" t="n">
        <x:f>'180项对比'!E66</x:f>
        <x:v>0.1838611601559035</x:v>
      </x:c>
      <x:c r="C119" s="10" t="n">
        <x:f>'180项对比'!E67</x:f>
        <x:v>0.1333271211084098</x:v>
      </x:c>
      <x:c r="D119" s="10" t="n">
        <x:f>'180项对比'!E68</x:f>
        <x:v>0.09577729990129709</x:v>
      </x:c>
      <x:c r="E119" s="10" t="n">
        <x:f>'180项对比'!E69</x:f>
        <x:v>0.10983223824033</x:v>
      </x:c>
      <x:c r="F119" s="10" t="n">
        <x:f>'180项对比'!E70</x:f>
        <x:v>0.2606396293829479</x:v>
      </x:c>
      <x:c r="G119" s="2"/>
      <x:c r="H119" s="2" t="str">
        <x:v>12步</x:v>
      </x:c>
      <x:c r="I119" s="10" t="n">
        <x:f>'180项对比'!D66</x:f>
        <x:v>0.1838611601559035</x:v>
      </x:c>
      <x:c r="J119" s="10" t="n">
        <x:f>'180项对比'!D67</x:f>
        <x:v>0.1333271211084098</x:v>
      </x:c>
      <x:c r="K119" s="10" t="n">
        <x:f>'180项对比'!D68</x:f>
        <x:v>0.09577729990129709</x:v>
      </x:c>
      <x:c r="L119" s="10" t="n">
        <x:f>'180项对比'!D69</x:f>
        <x:v>0.10983223824033</x:v>
      </x:c>
      <x:c r="M119" s="10" t="n">
        <x:f>'180项对比'!D70</x:f>
        <x:v>0.2606396293829479</x:v>
      </x:c>
      <x:c r="N119" s="2"/>
    </x:row>
    <x:row r="120" ht="23" customHeight="1">
      <x:c r="A120" s="2" t="str">
        <x:v>24步</x:v>
      </x:c>
      <x:c r="B120" s="10" t="n">
        <x:f>'180项对比'!E71</x:f>
        <x:v>0.2679513517190791</x:v>
      </x:c>
      <x:c r="C120" s="10" t="n">
        <x:f>'180项对比'!E72</x:f>
        <x:v>0.1919605954890086</x:v>
      </x:c>
      <x:c r="D120" s="10" t="n">
        <x:f>'180项对比'!E73</x:f>
        <x:v>0.2114401345279641</x:v>
      </x:c>
      <x:c r="E120" s="10" t="n">
        <x:f>'180项对比'!E74</x:f>
        <x:v>0.22252381884649639</x:v>
      </x:c>
      <x:c r="F120" s="10" t="n">
        <x:f>'180项对比'!E75</x:f>
        <x:v>0.3169472024030514</x:v>
      </x:c>
      <x:c r="G120" s="2"/>
      <x:c r="H120" s="2" t="str">
        <x:v>24步</x:v>
      </x:c>
      <x:c r="I120" s="10" t="n">
        <x:f>'180项对比'!D71</x:f>
        <x:v>0.2679513517190791</x:v>
      </x:c>
      <x:c r="J120" s="10" t="n">
        <x:f>'180项对比'!D72</x:f>
        <x:v>0.19196059548900862</x:v>
      </x:c>
      <x:c r="K120" s="10" t="n">
        <x:f>'180项对比'!D73</x:f>
        <x:v>0.2114401345279641</x:v>
      </x:c>
      <x:c r="L120" s="10" t="n">
        <x:f>'180项对比'!D74</x:f>
        <x:v>0.22252381884649639</x:v>
      </x:c>
      <x:c r="M120" s="10" t="n">
        <x:f>'180项对比'!D75</x:f>
        <x:v>0.3169472024030514</x:v>
      </x:c>
      <x:c r="N120" s="2"/>
    </x:row>
    <x:row r="121" ht="23" customHeight="1">
      <x:c r="A121" s="2" t="str">
        <x:v>36步</x:v>
      </x:c>
      <x:c r="B121" s="10" t="n">
        <x:f>'180项对比'!E76</x:f>
        <x:v>0.36693449751565527</x:v>
      </x:c>
      <x:c r="C121" s="10" t="n">
        <x:f>'180项对比'!E77</x:f>
        <x:v>0.3349672405660706</x:v>
      </x:c>
      <x:c r="D121" s="10" t="n">
        <x:f>'180项对比'!E78</x:f>
        <x:v>0.30615976416374785</x:v>
      </x:c>
      <x:c r="E121" s="10" t="n">
        <x:f>'180项对比'!E79</x:f>
        <x:v>0.3763866597826457</x:v>
      </x:c>
      <x:c r="F121" s="10" t="n">
        <x:f>'180项对比'!E80</x:f>
        <x:v>0.3960474992539366</x:v>
      </x:c>
      <x:c r="G121" s="2"/>
      <x:c r="H121" s="2" t="str">
        <x:v>36步</x:v>
      </x:c>
      <x:c r="I121" s="10" t="n">
        <x:f>'180项对比'!D76</x:f>
        <x:v>0.3669344975156553</x:v>
      </x:c>
      <x:c r="J121" s="10" t="n">
        <x:f>'180项对比'!D77</x:f>
        <x:v>0.33496724056529875</x:v>
      </x:c>
      <x:c r="K121" s="10" t="n">
        <x:f>'180项对比'!D78</x:f>
        <x:v>0.30615976416374785</x:v>
      </x:c>
      <x:c r="L121" s="10" t="n">
        <x:f>'180项对比'!D79</x:f>
        <x:v>0.3763866597826456</x:v>
      </x:c>
      <x:c r="M121" s="10" t="n">
        <x:f>'180项对比'!D80</x:f>
        <x:v>0.3960474992539366</x:v>
      </x:c>
      <x:c r="N121" s="2"/>
    </x:row>
    <x:row r="122" ht="23" customHeight="1">
      <x:c r="A122" s="2" t="str">
        <x:v>48步</x:v>
      </x:c>
      <x:c r="B122" s="10" t="n">
        <x:f>'180项对比'!E81</x:f>
        <x:v>0.40905897884304054</x:v>
      </x:c>
      <x:c r="C122" s="10" t="n">
        <x:f>'180项对比'!E82</x:f>
        <x:v>0.4709858384610747</x:v>
      </x:c>
      <x:c r="D122" s="10" t="n">
        <x:f>'180项对比'!E83</x:f>
        <x:v>0.3815823420985616</x:v>
      </x:c>
      <x:c r="E122" s="10" t="n">
        <x:f>'180项对比'!E84</x:f>
        <x:v>0.3953827732857235</x:v>
      </x:c>
      <x:c r="F122" s="10" t="n">
        <x:f>'180项对比'!E85</x:f>
        <x:v>0.46755543909884273</x:v>
      </x:c>
      <x:c r="G122" s="2"/>
      <x:c r="H122" s="2" t="str">
        <x:v>48步</x:v>
      </x:c>
      <x:c r="I122" s="10" t="n">
        <x:f>'180项对比'!D81</x:f>
        <x:v>0.40905897884304054</x:v>
      </x:c>
      <x:c r="J122" s="10" t="n">
        <x:f>'180项对比'!D82</x:f>
        <x:v>0.47098583846107467</x:v>
      </x:c>
      <x:c r="K122" s="10" t="n">
        <x:f>'180项对比'!D83</x:f>
        <x:v>0.3815823420985617</x:v>
      </x:c>
      <x:c r="L122" s="10" t="n">
        <x:f>'180项对比'!D84</x:f>
        <x:v>0.3953827732857235</x:v>
      </x:c>
      <x:c r="M122" s="10" t="n">
        <x:f>'180项对比'!D85</x:f>
        <x:v>0.4675554391113816</x:v>
      </x:c>
      <x:c r="N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 ht="23" customHeight="1">
      <x:c r="A125" s="2" t="str">
        <x:v>MSE 改善率（正值改善）</x:v>
      </x:c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 ht="27" customHeight="1">
      <x:c r="A126" s="7" t="str">
        <x:v>步长</x:v>
      </x:c>
      <x:c r="B126" s="8" t="str">
        <x:v>TaTS</x:v>
      </x:c>
      <x:c r="C126" s="8" t="str">
        <x:v>MM-TSFlib</x:v>
      </x:c>
      <x:c r="D126" s="8" t="str">
        <x:v>SpecTF</x:v>
      </x:c>
      <x:c r="E126" s="8" t="str">
        <x:v>CFA</x:v>
      </x:c>
      <x:c r="F126" s="9" t="str">
        <x:v>Aurora</x:v>
      </x:c>
      <x:c r="G126" s="2"/>
      <x:c r="H126" s="2"/>
      <x:c r="I126" s="2"/>
      <x:c r="J126" s="2"/>
      <x:c r="K126" s="2"/>
      <x:c r="L126" s="2"/>
      <x:c r="M126" s="2"/>
      <x:c r="N126" s="2"/>
    </x:row>
    <x:row r="127" ht="23" customHeight="1">
      <x:c r="A127" s="2" t="str">
        <x:v>12步</x:v>
      </x:c>
      <x:c r="B127" s="12" t="n">
        <x:f>'180项对比'!G66</x:f>
        <x:v>0</x:v>
      </x:c>
      <x:c r="C127" s="12" t="n">
        <x:f>'180项对比'!G67</x:f>
        <x:v>0</x:v>
      </x:c>
      <x:c r="D127" s="12" t="n">
        <x:f>'180项对比'!G68</x:f>
        <x:v>0</x:v>
      </x:c>
      <x:c r="E127" s="12" t="n">
        <x:f>'180项对比'!G69</x:f>
        <x:v>0</x:v>
      </x:c>
      <x:c r="F127" s="12" t="n">
        <x:f>'180项对比'!G70</x:f>
        <x:v>0</x:v>
      </x:c>
      <x:c r="G127" s="2"/>
      <x:c r="H127" s="2"/>
      <x:c r="I127" s="2"/>
      <x:c r="J127" s="2"/>
      <x:c r="K127" s="2"/>
      <x:c r="L127" s="2"/>
      <x:c r="M127" s="2"/>
      <x:c r="N127" s="2"/>
    </x:row>
    <x:row r="128" ht="23" customHeight="1">
      <x:c r="A128" s="2" t="str">
        <x:v>24步</x:v>
      </x:c>
      <x:c r="B128" s="12" t="n">
        <x:f>'180项对比'!G71</x:f>
        <x:v>0</x:v>
      </x:c>
      <x:c r="C128" s="12" t="n">
        <x:f>'180项对比'!G72</x:f>
        <x:v>1.4458996412739382e-16</x:v>
      </x:c>
      <x:c r="D128" s="12" t="n">
        <x:f>'180项对比'!G73</x:f>
        <x:v>0</x:v>
      </x:c>
      <x:c r="E128" s="12" t="n">
        <x:f>'180项对比'!G74</x:f>
        <x:v>0</x:v>
      </x:c>
      <x:c r="F128" s="12" t="n">
        <x:f>'180项对比'!G75</x:f>
        <x:v>0</x:v>
      </x:c>
      <x:c r="G128" s="2"/>
      <x:c r="H128" s="2"/>
      <x:c r="I128" s="2"/>
      <x:c r="J128" s="2"/>
      <x:c r="K128" s="2"/>
      <x:c r="L128" s="2"/>
      <x:c r="M128" s="2"/>
      <x:c r="N128" s="2"/>
    </x:row>
    <x:row r="129" ht="23" customHeight="1">
      <x:c r="A129" s="2" t="str">
        <x:v>36步</x:v>
      </x:c>
      <x:c r="B129" s="12" t="n">
        <x:f>'180项对比'!G76</x:f>
        <x:v>1.5128354408511136e-16</x:v>
      </x:c>
      <x:c r="C129" s="12" t="n">
        <x:f>'180项对比'!G77</x:f>
        <x:v>-2.3041866584232385e-12</x:v>
      </x:c>
      <x:c r="D129" s="12" t="n">
        <x:f>'180项对比'!G78</x:f>
        <x:v>0</x:v>
      </x:c>
      <x:c r="E129" s="12" t="n">
        <x:f>'180项对比'!G79</x:f>
        <x:v>-1.474843748801145e-16</x:v>
      </x:c>
      <x:c r="F129" s="12" t="n">
        <x:f>'180项对比'!G80</x:f>
        <x:v>0</x:v>
      </x:c>
      <x:c r="G129" s="2"/>
      <x:c r="H129" s="2"/>
      <x:c r="I129" s="2"/>
      <x:c r="J129" s="2"/>
      <x:c r="K129" s="2"/>
      <x:c r="L129" s="2"/>
      <x:c r="M129" s="2"/>
      <x:c r="N129" s="2"/>
    </x:row>
    <x:row r="130" ht="23" customHeight="1">
      <x:c r="A130" s="2" t="str">
        <x:v>48步</x:v>
      </x:c>
      <x:c r="B130" s="12" t="n">
        <x:f>'180项对比'!G81</x:f>
        <x:v>0</x:v>
      </x:c>
      <x:c r="C130" s="12" t="n">
        <x:f>'180项对比'!G82</x:f>
        <x:v>-1.178616142953216e-16</x:v>
      </x:c>
      <x:c r="D130" s="12" t="n">
        <x:f>'180项对比'!G83</x:f>
        <x:v>1.4547620554443646e-16</x:v>
      </x:c>
      <x:c r="E130" s="12" t="n">
        <x:f>'180项对比'!G84</x:f>
        <x:v>0</x:v>
      </x:c>
      <x:c r="F130" s="12" t="n">
        <x:f>'180项对比'!G85</x:f>
        <x:v>2.6817908190625276e-11</x:v>
      </x:c>
      <x:c r="G130" s="2"/>
      <x:c r="H130" s="2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 ht="23" customHeight="1">
      <x:c r="A133" s="2" t="str">
        <x:v>红色负值 = 测试集MSE增加。</x:v>
      </x:c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 ht="23" customHeight="1">
      <x:c r="A134" s="2" t="str">
        <x:v>持平主要来自验证alpha=0的回退。</x:v>
      </x:c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 ht="23" customHeight="1">
      <x:c r="A146" s="3" t="str">
        <x:v>Environment  MSE</x:v>
      </x:c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 ht="23" customHeight="1">
      <x:c r="A147" s="2" t="str">
        <x:v>V1 平均MSE</x:v>
      </x:c>
      <x:c r="B147" s="2"/>
      <x:c r="C147" s="2"/>
      <x:c r="D147" s="2"/>
      <x:c r="E147" s="2"/>
      <x:c r="F147" s="2"/>
      <x:c r="G147" s="2"/>
      <x:c r="H147" s="2" t="str">
        <x:v>原版 MSE</x:v>
      </x:c>
      <x:c r="I147" s="2"/>
      <x:c r="J147" s="2"/>
      <x:c r="K147" s="2"/>
      <x:c r="L147" s="2"/>
      <x:c r="M147" s="2"/>
      <x:c r="N147" s="2"/>
    </x:row>
    <x:row r="148" ht="27" customHeight="1">
      <x:c r="A148" s="7" t="str">
        <x:v>步长</x:v>
      </x:c>
      <x:c r="B148" s="8" t="str">
        <x:v>TaTS</x:v>
      </x:c>
      <x:c r="C148" s="8" t="str">
        <x:v>MM-TSFlib</x:v>
      </x:c>
      <x:c r="D148" s="8" t="str">
        <x:v>SpecTF</x:v>
      </x:c>
      <x:c r="E148" s="8" t="str">
        <x:v>CFA</x:v>
      </x:c>
      <x:c r="F148" s="9" t="str">
        <x:v>Aurora</x:v>
      </x:c>
      <x:c r="G148" s="2"/>
      <x:c r="H148" s="7" t="str">
        <x:v>步长</x:v>
      </x:c>
      <x:c r="I148" s="8" t="str">
        <x:v>TaTS</x:v>
      </x:c>
      <x:c r="J148" s="8" t="str">
        <x:v>MM-TSFlib</x:v>
      </x:c>
      <x:c r="K148" s="8" t="str">
        <x:v>SpecTF</x:v>
      </x:c>
      <x:c r="L148" s="8" t="str">
        <x:v>CFA</x:v>
      </x:c>
      <x:c r="M148" s="9" t="str">
        <x:v>Aurora</x:v>
      </x:c>
      <x:c r="N148" s="2"/>
    </x:row>
    <x:row r="149" ht="23" customHeight="1">
      <x:c r="A149" s="2" t="str">
        <x:v>48步</x:v>
      </x:c>
      <x:c r="B149" s="10" t="n">
        <x:f>'180项对比'!E86</x:f>
        <x:v>0.2830269421453498</x:v>
      </x:c>
      <x:c r="C149" s="10" t="n">
        <x:f>'180项对比'!E87</x:f>
        <x:v>0.27880730590540437</x:v>
      </x:c>
      <x:c r="D149" s="10" t="n">
        <x:f>'180项对比'!E88</x:f>
        <x:v>0.2971148428935524</x:v>
      </x:c>
      <x:c r="E149" s="10" t="n">
        <x:f>'180项对比'!E89</x:f>
        <x:v>0.3167987155848255</x:v>
      </x:c>
      <x:c r="F149" s="10" t="n">
        <x:f>'180项对比'!E90</x:f>
        <x:v>0.3937167859329862</x:v>
      </x:c>
      <x:c r="G149" s="2"/>
      <x:c r="H149" s="2" t="str">
        <x:v>48步</x:v>
      </x:c>
      <x:c r="I149" s="10" t="n">
        <x:f>'180项对比'!D86</x:f>
        <x:v>0.3035071647381012</x:v>
      </x:c>
      <x:c r="J149" s="10" t="n">
        <x:f>'180项对比'!D87</x:f>
        <x:v>0.29596647508290747</x:v>
      </x:c>
      <x:c r="K149" s="10" t="n">
        <x:f>'180项对比'!D88</x:f>
        <x:v>0.30443698331933344</x:v>
      </x:c>
      <x:c r="L149" s="10" t="n">
        <x:f>'180项对比'!D89</x:f>
        <x:v>0.31664634101683053</x:v>
      </x:c>
      <x:c r="M149" s="10" t="n">
        <x:f>'180项对比'!D90</x:f>
        <x:v>0.39488863757207215</x:v>
      </x:c>
      <x:c r="N149" s="2"/>
    </x:row>
    <x:row r="150" ht="23" customHeight="1">
      <x:c r="A150" s="2" t="str">
        <x:v>96步</x:v>
      </x:c>
      <x:c r="B150" s="10" t="n">
        <x:f>'180项对比'!E91</x:f>
        <x:v>0.28206907585868085</x:v>
      </x:c>
      <x:c r="C150" s="10" t="n">
        <x:f>'180项对比'!E92</x:f>
        <x:v>0.3126895143997499</x:v>
      </x:c>
      <x:c r="D150" s="10" t="n">
        <x:f>'180项对比'!E93</x:f>
        <x:v>0.3284657818383463</x:v>
      </x:c>
      <x:c r="E150" s="10" t="n">
        <x:f>'180项对比'!E94</x:f>
        <x:v>0.35793619412366623</x:v>
      </x:c>
      <x:c r="F150" s="10" t="n">
        <x:f>'180项对比'!E95</x:f>
        <x:v>0.43287769144768995</x:v>
      </x:c>
      <x:c r="G150" s="2"/>
      <x:c r="H150" s="2" t="str">
        <x:v>96步</x:v>
      </x:c>
      <x:c r="I150" s="10" t="n">
        <x:f>'180项对比'!D91</x:f>
        <x:v>0.29697008480248327</x:v>
      </x:c>
      <x:c r="J150" s="10" t="n">
        <x:f>'180项对比'!D92</x:f>
        <x:v>0.3455599921922928</x:v>
      </x:c>
      <x:c r="K150" s="10" t="n">
        <x:f>'180项对比'!D93</x:f>
        <x:v>0.3294876408245237</x:v>
      </x:c>
      <x:c r="L150" s="10" t="n">
        <x:f>'180项对比'!D94</x:f>
        <x:v>0.35261779682305505</x:v>
      </x:c>
      <x:c r="M150" s="10" t="n">
        <x:f>'180项对比'!D95</x:f>
        <x:v>0.43624974417127504</x:v>
      </x:c>
      <x:c r="N150" s="2"/>
    </x:row>
    <x:row r="151" ht="23" customHeight="1">
      <x:c r="A151" s="2" t="str">
        <x:v>192步</x:v>
      </x:c>
      <x:c r="B151" s="10" t="n">
        <x:f>'180项对比'!E96</x:f>
        <x:v>0.2676948192214623</x:v>
      </x:c>
      <x:c r="C151" s="10" t="n">
        <x:f>'180项对比'!E97</x:f>
        <x:v>0.3694306601731849</x:v>
      </x:c>
      <x:c r="D151" s="10" t="n">
        <x:f>'180项对比'!E98</x:f>
        <x:v>0.2946514782892825</x:v>
      </x:c>
      <x:c r="E151" s="10" t="n">
        <x:f>'180项对比'!E99</x:f>
        <x:v>0.3542128981426486</x:v>
      </x:c>
      <x:c r="F151" s="10" t="n">
        <x:f>'180项对比'!E100</x:f>
        <x:v>0.4243422256382483</x:v>
      </x:c>
      <x:c r="G151" s="2"/>
      <x:c r="H151" s="2" t="str">
        <x:v>192步</x:v>
      </x:c>
      <x:c r="I151" s="10" t="n">
        <x:f>'180项对比'!D96</x:f>
        <x:v>0.2819047584851864</x:v>
      </x:c>
      <x:c r="J151" s="10" t="n">
        <x:f>'180项对比'!D97</x:f>
        <x:v>0.424233536785341</x:v>
      </x:c>
      <x:c r="K151" s="10" t="n">
        <x:f>'180项对比'!D98</x:f>
        <x:v>0.3021611736934637</x:v>
      </x:c>
      <x:c r="L151" s="10" t="n">
        <x:f>'180项对比'!D99</x:f>
        <x:v>0.35717743889884385</x:v>
      </x:c>
      <x:c r="M151" s="10" t="n">
        <x:f>'180项对比'!D100</x:f>
        <x:v>0.4248413094029132</x:v>
      </x:c>
      <x:c r="N151" s="2"/>
    </x:row>
    <x:row r="152" ht="23" customHeight="1">
      <x:c r="A152" s="2" t="str">
        <x:v>336步</x:v>
      </x:c>
      <x:c r="B152" s="10" t="n">
        <x:f>'180项对比'!E101</x:f>
        <x:v>0.2822530093932814</x:v>
      </x:c>
      <x:c r="C152" s="10" t="n">
        <x:f>'180项对比'!E102</x:f>
        <x:v>0.3820149120554676</x:v>
      </x:c>
      <x:c r="D152" s="10" t="n">
        <x:f>'180项对比'!E103</x:f>
        <x:v>0.30386739224670056</x:v>
      </x:c>
      <x:c r="E152" s="10" t="n">
        <x:f>'180项对比'!E104</x:f>
        <x:v>0.3476158792907182</x:v>
      </x:c>
      <x:c r="F152" s="10" t="n">
        <x:f>'180项对比'!E105</x:f>
        <x:v>0.4190524482224485</x:v>
      </x:c>
      <x:c r="G152" s="2"/>
      <x:c r="H152" s="2" t="str">
        <x:v>336步</x:v>
      </x:c>
      <x:c r="I152" s="10" t="n">
        <x:f>'180项对比'!D101</x:f>
        <x:v>0.3033101027995199</x:v>
      </x:c>
      <x:c r="J152" s="10" t="n">
        <x:f>'180项对比'!D102</x:f>
        <x:v>0.4371093961378358</x:v>
      </x:c>
      <x:c r="K152" s="10" t="n">
        <x:f>'180项对比'!D103</x:f>
        <x:v>0.3039387794760956</x:v>
      </x:c>
      <x:c r="L152" s="10" t="n">
        <x:f>'180项对比'!D104</x:f>
        <x:v>0.34801837631476107</x:v>
      </x:c>
      <x:c r="M152" s="10" t="n">
        <x:f>'180项对比'!D105</x:f>
        <x:v>0.4190524482224486</x:v>
      </x:c>
      <x:c r="N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</x:row>
    <x:row r="155" ht="23" customHeight="1">
      <x:c r="A155" s="2" t="str">
        <x:v>MSE 改善率（正值改善）</x:v>
      </x:c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</x:row>
    <x:row r="156" ht="27" customHeight="1">
      <x:c r="A156" s="7" t="str">
        <x:v>步长</x:v>
      </x:c>
      <x:c r="B156" s="8" t="str">
        <x:v>TaTS</x:v>
      </x:c>
      <x:c r="C156" s="8" t="str">
        <x:v>MM-TSFlib</x:v>
      </x:c>
      <x:c r="D156" s="8" t="str">
        <x:v>SpecTF</x:v>
      </x:c>
      <x:c r="E156" s="8" t="str">
        <x:v>CFA</x:v>
      </x:c>
      <x:c r="F156" s="9" t="str">
        <x:v>Aurora</x:v>
      </x:c>
      <x:c r="G156" s="2"/>
      <x:c r="H156" s="2"/>
      <x:c r="I156" s="2"/>
      <x:c r="J156" s="2"/>
      <x:c r="K156" s="2"/>
      <x:c r="L156" s="2"/>
      <x:c r="M156" s="2"/>
      <x:c r="N156" s="2"/>
    </x:row>
    <x:row r="157" ht="23" customHeight="1">
      <x:c r="A157" s="2" t="str">
        <x:v>48步</x:v>
      </x:c>
      <x:c r="B157" s="12" t="n">
        <x:f>'180项对比'!G86</x:f>
        <x:v>0.06747854736946308</x:v>
      </x:c>
      <x:c r="C157" s="12" t="n">
        <x:f>'180项对比'!G87</x:f>
        <x:v>0.05797673257654062</x:v>
      </x:c>
      <x:c r="D157" s="12" t="n">
        <x:f>'180项对比'!G88</x:f>
        <x:v>0.024051415652416423</x:v>
      </x:c>
      <x:c r="E157" s="12" t="n">
        <x:f>'180项对比'!G89</x:f>
        <x:v>-0.0004812137336109008</x:v>
      </x:c>
      <x:c r="F157" s="12" t="n">
        <x:f>'180项对比'!G90</x:f>
        <x:v>0.002967549652203084</x:v>
      </x:c>
      <x:c r="G157" s="2"/>
      <x:c r="H157" s="2"/>
      <x:c r="I157" s="2"/>
      <x:c r="J157" s="2"/>
      <x:c r="K157" s="2"/>
      <x:c r="L157" s="2"/>
      <x:c r="M157" s="2"/>
      <x:c r="N157" s="2"/>
    </x:row>
    <x:row r="158" ht="23" customHeight="1">
      <x:c r="A158" s="2" t="str">
        <x:v>96步</x:v>
      </x:c>
      <x:c r="B158" s="12" t="n">
        <x:f>'180项对比'!G91</x:f>
        <x:v>0.050176801322305495</x:v>
      </x:c>
      <x:c r="C158" s="12" t="n">
        <x:f>'180项对比'!G92</x:f>
        <x:v>0.09512234788525963</x:v>
      </x:c>
      <x:c r="D158" s="12" t="n">
        <x:f>'180项对比'!G93</x:f>
        <x:v>0.003101357561152404</x:v>
      </x:c>
      <x:c r="E158" s="12" t="n">
        <x:f>'180项对比'!G94</x:f>
        <x:v>-0.015082611679069532</x:v>
      </x:c>
      <x:c r="F158" s="12" t="n">
        <x:f>'180项对比'!G95</x:f>
        <x:v>0.007729638283205963</x:v>
      </x:c>
      <x:c r="G158" s="2"/>
      <x:c r="H158" s="2"/>
      <x:c r="I158" s="2"/>
      <x:c r="J158" s="2"/>
      <x:c r="K158" s="2"/>
      <x:c r="L158" s="2"/>
      <x:c r="M158" s="2"/>
      <x:c r="N158" s="2"/>
    </x:row>
    <x:row r="159" ht="23" customHeight="1">
      <x:c r="A159" s="2" t="str">
        <x:v>192步</x:v>
      </x:c>
      <x:c r="B159" s="12" t="n">
        <x:f>'180项对比'!G96</x:f>
        <x:v>0.050406879756415356</x:v>
      </x:c>
      <x:c r="C159" s="12" t="n">
        <x:f>'180项对比'!G97</x:f>
        <x:v>0.12918091536899393</x:v>
      </x:c>
      <x:c r="D159" s="12" t="n">
        <x:f>'180项对比'!G98</x:f>
        <x:v>0.02485327718444595</x:v>
      </x:c>
      <x:c r="E159" s="12" t="n">
        <x:f>'180项对比'!G99</x:f>
        <x:v>0.008299910446008937</x:v>
      </x:c>
      <x:c r="F159" s="12" t="n">
        <x:f>'180项对比'!G100</x:f>
        <x:v>0.0011747533811303048</x:v>
      </x:c>
      <x:c r="G159" s="2"/>
      <x:c r="H159" s="2"/>
      <x:c r="I159" s="2"/>
      <x:c r="J159" s="2"/>
      <x:c r="K159" s="2"/>
      <x:c r="L159" s="2"/>
      <x:c r="M159" s="2"/>
      <x:c r="N159" s="2"/>
    </x:row>
    <x:row r="160" ht="23" customHeight="1">
      <x:c r="A160" s="2" t="str">
        <x:v>336步</x:v>
      </x:c>
      <x:c r="B160" s="12" t="n">
        <x:f>'180项对比'!G101</x:f>
        <x:v>0.06942430605470701</x:v>
      </x:c>
      <x:c r="C160" s="12" t="n">
        <x:f>'180项对比'!G102</x:f>
        <x:v>0.12604278143907702</x:v>
      </x:c>
      <x:c r="D160" s="12" t="n">
        <x:f>'180项对比'!G103</x:f>
        <x:v>0.00023487371212744948</x:v>
      </x:c>
      <x:c r="E160" s="12" t="n">
        <x:f>'180项对比'!G104</x:f>
        <x:v>0.0011565395721484743</x:v>
      </x:c>
      <x:c r="F160" s="12" t="n">
        <x:f>'180项对比'!G105</x:f>
        <x:v>1.3246826612450776e-16</x:v>
      </x:c>
      <x:c r="G160" s="2"/>
      <x:c r="H160" s="2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</x:row>
    <x:row r="163" ht="23" customHeight="1">
      <x:c r="A163" s="2" t="str">
        <x:v>红色负值 = 测试集MSE增加。</x:v>
      </x:c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</x:row>
    <x:row r="164" ht="23" customHeight="1">
      <x:c r="A164" s="2" t="str">
        <x:v>持平主要来自验证alpha=0的回退。</x:v>
      </x:c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</x:row>
    <x:row r="176" ht="23" customHeight="1">
      <x:c r="A176" s="3" t="str">
        <x:v>Health  MSE</x:v>
      </x:c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</x:row>
    <x:row r="177" ht="23" customHeight="1">
      <x:c r="A177" s="2" t="str">
        <x:v>V1 平均MSE</x:v>
      </x:c>
      <x:c r="B177" s="2"/>
      <x:c r="C177" s="2"/>
      <x:c r="D177" s="2"/>
      <x:c r="E177" s="2"/>
      <x:c r="F177" s="2"/>
      <x:c r="G177" s="2"/>
      <x:c r="H177" s="2" t="str">
        <x:v>原版 MSE</x:v>
      </x:c>
      <x:c r="I177" s="2"/>
      <x:c r="J177" s="2"/>
      <x:c r="K177" s="2"/>
      <x:c r="L177" s="2"/>
      <x:c r="M177" s="2"/>
      <x:c r="N177" s="2"/>
    </x:row>
    <x:row r="178" ht="27" customHeight="1">
      <x:c r="A178" s="7" t="str">
        <x:v>步长</x:v>
      </x:c>
      <x:c r="B178" s="8" t="str">
        <x:v>TaTS</x:v>
      </x:c>
      <x:c r="C178" s="8" t="str">
        <x:v>MM-TSFlib</x:v>
      </x:c>
      <x:c r="D178" s="8" t="str">
        <x:v>SpecTF</x:v>
      </x:c>
      <x:c r="E178" s="8" t="str">
        <x:v>CFA</x:v>
      </x:c>
      <x:c r="F178" s="9" t="str">
        <x:v>Aurora</x:v>
      </x:c>
      <x:c r="G178" s="2"/>
      <x:c r="H178" s="7" t="str">
        <x:v>步长</x:v>
      </x:c>
      <x:c r="I178" s="8" t="str">
        <x:v>TaTS</x:v>
      </x:c>
      <x:c r="J178" s="8" t="str">
        <x:v>MM-TSFlib</x:v>
      </x:c>
      <x:c r="K178" s="8" t="str">
        <x:v>SpecTF</x:v>
      </x:c>
      <x:c r="L178" s="8" t="str">
        <x:v>CFA</x:v>
      </x:c>
      <x:c r="M178" s="9" t="str">
        <x:v>Aurora</x:v>
      </x:c>
      <x:c r="N178" s="2"/>
    </x:row>
    <x:row r="179" ht="23" customHeight="1">
      <x:c r="A179" s="2" t="str">
        <x:v>12步</x:v>
      </x:c>
      <x:c r="B179" s="10" t="n">
        <x:f>'180项对比'!E106</x:f>
        <x:v>1.1638449843361165</x:v>
      </x:c>
      <x:c r="C179" s="10" t="n">
        <x:f>'180项对比'!E107</x:f>
        <x:v>1.056841375269993</x:v>
      </x:c>
      <x:c r="D179" s="10" t="n">
        <x:f>'180项对比'!E108</x:f>
        <x:v>1.4038450804546994</x:v>
      </x:c>
      <x:c r="E179" s="10" t="n">
        <x:f>'180项对比'!E109</x:f>
        <x:v>1.2511063849645137</x:v>
      </x:c>
      <x:c r="F179" s="10" t="n">
        <x:f>'180项对比'!E110</x:f>
        <x:v>2.4638170217101805</x:v>
      </x:c>
      <x:c r="G179" s="2"/>
      <x:c r="H179" s="2" t="str">
        <x:v>12步</x:v>
      </x:c>
      <x:c r="I179" s="10" t="n">
        <x:f>'180项对比'!D106</x:f>
        <x:v>1.1624856639502126</x:v>
      </x:c>
      <x:c r="J179" s="10" t="n">
        <x:f>'180项对比'!D107</x:f>
        <x:v>1.1136970518834708</x:v>
      </x:c>
      <x:c r="K179" s="10" t="n">
        <x:f>'180项对比'!D108</x:f>
        <x:v>1.4038450804546994</x:v>
      </x:c>
      <x:c r="L179" s="10" t="n">
        <x:f>'180项对比'!D109</x:f>
        <x:v>1.2511063849645137</x:v>
      </x:c>
      <x:c r="M179" s="10" t="n">
        <x:f>'180项对比'!D110</x:f>
        <x:v>2.9515839192135953</x:v>
      </x:c>
      <x:c r="N179" s="2"/>
    </x:row>
    <x:row r="180" ht="23" customHeight="1">
      <x:c r="A180" s="2" t="str">
        <x:v>24步</x:v>
      </x:c>
      <x:c r="B180" s="10" t="n">
        <x:f>'180项对比'!E111</x:f>
        <x:v>1.9588399705676387</x:v>
      </x:c>
      <x:c r="C180" s="10" t="n">
        <x:f>'180项对比'!E112</x:f>
        <x:v>1.2213412369038972</x:v>
      </x:c>
      <x:c r="D180" s="10" t="n">
        <x:f>'180项对比'!E113</x:f>
        <x:v>1.8022039352865777</x:v>
      </x:c>
      <x:c r="E180" s="10" t="n">
        <x:f>'180项对比'!E114</x:f>
        <x:v>2.22599654140789</x:v>
      </x:c>
      <x:c r="F180" s="10" t="n">
        <x:f>'180项对比'!E115</x:f>
        <x:v>3.0239001352480686</x:v>
      </x:c>
      <x:c r="G180" s="2"/>
      <x:c r="H180" s="2" t="str">
        <x:v>24步</x:v>
      </x:c>
      <x:c r="I180" s="10" t="n">
        <x:f>'180项对比'!D111</x:f>
        <x:v>1.9588399705676387</x:v>
      </x:c>
      <x:c r="J180" s="10" t="n">
        <x:f>'180项对比'!D112</x:f>
        <x:v>1.2781150498056244</x:v>
      </x:c>
      <x:c r="K180" s="10" t="n">
        <x:f>'180项对比'!D113</x:f>
        <x:v>1.8081685181614635</x:v>
      </x:c>
      <x:c r="L180" s="10" t="n">
        <x:f>'180项对比'!D114</x:f>
        <x:v>2.2477706654605583</x:v>
      </x:c>
      <x:c r="M180" s="10" t="n">
        <x:f>'180项对比'!D115</x:f>
        <x:v>3.68080986261969</x:v>
      </x:c>
      <x:c r="N180" s="2"/>
    </x:row>
    <x:row r="181" ht="23" customHeight="1">
      <x:c r="A181" s="2" t="str">
        <x:v>36步</x:v>
      </x:c>
      <x:c r="B181" s="10" t="n">
        <x:f>'180项对比'!E116</x:f>
        <x:v>2.7035868261574847</x:v>
      </x:c>
      <x:c r="C181" s="10" t="n">
        <x:f>'180项对比'!E117</x:f>
        <x:v>1.3416884662270772</x:v>
      </x:c>
      <x:c r="D181" s="10" t="n">
        <x:f>'180项对比'!E118</x:f>
        <x:v>1.9760118218181606</x:v>
      </x:c>
      <x:c r="E181" s="10" t="n">
        <x:f>'180项对比'!E119</x:f>
        <x:v>3.2615469383600995</x:v>
      </x:c>
      <x:c r="F181" s="10" t="n">
        <x:f>'180项对比'!E120</x:f>
        <x:v>3.2140425584838486</x:v>
      </x:c>
      <x:c r="G181" s="2"/>
      <x:c r="H181" s="2" t="str">
        <x:v>36步</x:v>
      </x:c>
      <x:c r="I181" s="10" t="n">
        <x:f>'180项对比'!D116</x:f>
        <x:v>2.6637995198269984</x:v>
      </x:c>
      <x:c r="J181" s="10" t="n">
        <x:f>'180项对比'!D117</x:f>
        <x:v>1.3416884662270774</x:v>
      </x:c>
      <x:c r="K181" s="10" t="n">
        <x:f>'180项对比'!D118</x:f>
        <x:v>1.9760118218181606</x:v>
      </x:c>
      <x:c r="L181" s="10" t="n">
        <x:f>'180项对比'!D119</x:f>
        <x:v>3.2615469383600995</x:v>
      </x:c>
      <x:c r="M181" s="10" t="n">
        <x:f>'180项对比'!D120</x:f>
        <x:v>3.2140425584838486</x:v>
      </x:c>
      <x:c r="N181" s="2"/>
    </x:row>
    <x:row r="182" ht="23" customHeight="1">
      <x:c r="A182" s="2" t="str">
        <x:v>48步</x:v>
      </x:c>
      <x:c r="B182" s="10" t="n">
        <x:f>'180项对比'!E121</x:f>
        <x:v>2.4356994289580025</x:v>
      </x:c>
      <x:c r="C182" s="10" t="n">
        <x:f>'180项对比'!E122</x:f>
        <x:v>1.4874065586171585</x:v>
      </x:c>
      <x:c r="D182" s="10" t="n">
        <x:f>'180项对比'!E123</x:f>
        <x:v>1.8182009804611994</x:v>
      </x:c>
      <x:c r="E182" s="10" t="n">
        <x:f>'180项对比'!E124</x:f>
        <x:v>2.486236831301244</x:v>
      </x:c>
      <x:c r="F182" s="10" t="n">
        <x:f>'180项对比'!E125</x:f>
        <x:v>3.0444135682849605</x:v>
      </x:c>
      <x:c r="G182" s="2"/>
      <x:c r="H182" s="2" t="str">
        <x:v>48步</x:v>
      </x:c>
      <x:c r="I182" s="10" t="n">
        <x:f>'180项对比'!D121</x:f>
        <x:v>2.4391529485784003</x:v>
      </x:c>
      <x:c r="J182" s="10" t="n">
        <x:f>'180项对比'!D122</x:f>
        <x:v>1.5206820696563101</x:v>
      </x:c>
      <x:c r="K182" s="10" t="n">
        <x:f>'180项对比'!D123</x:f>
        <x:v>1.8182009804632495</x:v>
      </x:c>
      <x:c r="L182" s="10" t="n">
        <x:f>'180项对比'!D124</x:f>
        <x:v>2.486236831301244</x:v>
      </x:c>
      <x:c r="M182" s="10" t="n">
        <x:f>'180项对比'!D125</x:f>
        <x:v>3.04441356828496</x:v>
      </x:c>
      <x:c r="N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</x:row>
    <x:row r="185" ht="23" customHeight="1">
      <x:c r="A185" s="2" t="str">
        <x:v>MSE 改善率（正值改善）</x:v>
      </x:c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</x:row>
    <x:row r="186" ht="27" customHeight="1">
      <x:c r="A186" s="7" t="str">
        <x:v>步长</x:v>
      </x:c>
      <x:c r="B186" s="8" t="str">
        <x:v>TaTS</x:v>
      </x:c>
      <x:c r="C186" s="8" t="str">
        <x:v>MM-TSFlib</x:v>
      </x:c>
      <x:c r="D186" s="8" t="str">
        <x:v>SpecTF</x:v>
      </x:c>
      <x:c r="E186" s="8" t="str">
        <x:v>CFA</x:v>
      </x:c>
      <x:c r="F186" s="9" t="str">
        <x:v>Aurora</x:v>
      </x:c>
      <x:c r="G186" s="2"/>
      <x:c r="H186" s="2"/>
      <x:c r="I186" s="2"/>
      <x:c r="J186" s="2"/>
      <x:c r="K186" s="2"/>
      <x:c r="L186" s="2"/>
      <x:c r="M186" s="2"/>
      <x:c r="N186" s="2"/>
    </x:row>
    <x:row r="187" ht="23" customHeight="1">
      <x:c r="A187" s="2" t="str">
        <x:v>12步</x:v>
      </x:c>
      <x:c r="B187" s="12" t="n">
        <x:f>'180项对比'!G106</x:f>
        <x:v>-0.0011693222790247972</x:v>
      </x:c>
      <x:c r="C187" s="12" t="n">
        <x:f>'180项对比'!G107</x:f>
        <x:v>0.05105129488968671</x:v>
      </x:c>
      <x:c r="D187" s="12" t="n">
        <x:f>'180项对比'!G108</x:f>
        <x:v>0</x:v>
      </x:c>
      <x:c r="E187" s="12" t="n">
        <x:f>'180项对比'!G109</x:f>
        <x:v>0</x:v>
      </x:c>
      <x:c r="F187" s="12" t="n">
        <x:f>'180项对比'!G110</x:f>
        <x:v>0.16525598148446782</x:v>
      </x:c>
      <x:c r="G187" s="2"/>
      <x:c r="H187" s="2"/>
      <x:c r="I187" s="2"/>
      <x:c r="J187" s="2"/>
      <x:c r="K187" s="2"/>
      <x:c r="L187" s="2"/>
      <x:c r="M187" s="2"/>
      <x:c r="N187" s="2"/>
    </x:row>
    <x:row r="188" ht="23" customHeight="1">
      <x:c r="A188" s="2" t="str">
        <x:v>24步</x:v>
      </x:c>
      <x:c r="B188" s="12" t="n">
        <x:f>'180项对比'!G111</x:f>
        <x:v>0</x:v>
      </x:c>
      <x:c r="C188" s="12" t="n">
        <x:f>'180项对比'!G112</x:f>
        <x:v>0.04441995492531082</x:v>
      </x:c>
      <x:c r="D188" s="12" t="n">
        <x:f>'180项对比'!G113</x:f>
        <x:v>0.0032986874923309297</x:v>
      </x:c>
      <x:c r="E188" s="12" t="n">
        <x:f>'180项对比'!G114</x:f>
        <x:v>0.00968698648276331</x:v>
      </x:c>
      <x:c r="F188" s="12" t="n">
        <x:f>'180项对比'!G115</x:f>
        <x:v>0.17846880221737083</x:v>
      </x:c>
      <x:c r="G188" s="2"/>
      <x:c r="H188" s="2"/>
      <x:c r="I188" s="2"/>
      <x:c r="J188" s="2"/>
      <x:c r="K188" s="2"/>
      <x:c r="L188" s="2"/>
      <x:c r="M188" s="2"/>
      <x:c r="N188" s="2"/>
    </x:row>
    <x:row r="189" ht="23" customHeight="1">
      <x:c r="A189" s="2" t="str">
        <x:v>36步</x:v>
      </x:c>
      <x:c r="B189" s="12" t="n">
        <x:f>'180项对比'!G116</x:f>
        <x:v>-0.014936299084951532</x:v>
      </x:c>
      <x:c r="C189" s="12" t="n">
        <x:f>'180项对比'!G117</x:f>
        <x:v>1.6549639541095288e-16</x:v>
      </x:c>
      <x:c r="D189" s="12" t="n">
        <x:f>'180项对比'!G118</x:f>
        <x:v>0</x:v>
      </x:c>
      <x:c r="E189" s="12" t="n">
        <x:f>'180项对比'!G119</x:f>
        <x:v>0</x:v>
      </x:c>
      <x:c r="F189" s="12" t="n">
        <x:f>'180项对比'!G120</x:f>
        <x:v>0</x:v>
      </x:c>
      <x:c r="G189" s="2"/>
      <x:c r="H189" s="2"/>
      <x:c r="I189" s="2"/>
      <x:c r="J189" s="2"/>
      <x:c r="K189" s="2"/>
      <x:c r="L189" s="2"/>
      <x:c r="M189" s="2"/>
      <x:c r="N189" s="2"/>
    </x:row>
    <x:row r="190" ht="23" customHeight="1">
      <x:c r="A190" s="2" t="str">
        <x:v>48步</x:v>
      </x:c>
      <x:c r="B190" s="12" t="n">
        <x:f>'180项对比'!G121</x:f>
        <x:v>0.001415868415472079</x:v>
      </x:c>
      <x:c r="C190" s="12" t="n">
        <x:f>'180项对比'!G122</x:f>
        <x:v>0.02188196448365582</x:v>
      </x:c>
      <x:c r="D190" s="12" t="n">
        <x:f>'180项对比'!G123</x:f>
        <x:v>1.1275639268165342e-12</x:v>
      </x:c>
      <x:c r="E190" s="12" t="n">
        <x:f>'180项对比'!G124</x:f>
        <x:v>0</x:v>
      </x:c>
      <x:c r="F190" s="12" t="n">
        <x:f>'180项对比'!G125</x:f>
        <x:v>-1.458701979508769e-16</x:v>
      </x:c>
      <x:c r="G190" s="2"/>
      <x:c r="H190" s="2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</x:row>
    <x:row r="193" ht="23" customHeight="1">
      <x:c r="A193" s="2" t="str">
        <x:v>红色负值 = 测试集MSE增加。</x:v>
      </x:c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</x:row>
    <x:row r="194" ht="23" customHeight="1">
      <x:c r="A194" s="2" t="str">
        <x:v>持平主要来自验证alpha=0的回退。</x:v>
      </x:c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</x:row>
    <x:row r="206" ht="23" customHeight="1">
      <x:c r="A206" s="3" t="str">
        <x:v>Security  MSE</x:v>
      </x:c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</x:row>
    <x:row r="207" ht="23" customHeight="1">
      <x:c r="A207" s="2" t="str">
        <x:v>V1 平均MSE</x:v>
      </x:c>
      <x:c r="B207" s="2"/>
      <x:c r="C207" s="2"/>
      <x:c r="D207" s="2"/>
      <x:c r="E207" s="2"/>
      <x:c r="F207" s="2"/>
      <x:c r="G207" s="2"/>
      <x:c r="H207" s="2" t="str">
        <x:v>原版 MSE</x:v>
      </x:c>
      <x:c r="I207" s="2"/>
      <x:c r="J207" s="2"/>
      <x:c r="K207" s="2"/>
      <x:c r="L207" s="2"/>
      <x:c r="M207" s="2"/>
      <x:c r="N207" s="2"/>
    </x:row>
    <x:row r="208" ht="27" customHeight="1">
      <x:c r="A208" s="7" t="str">
        <x:v>步长</x:v>
      </x:c>
      <x:c r="B208" s="8" t="str">
        <x:v>TaTS</x:v>
      </x:c>
      <x:c r="C208" s="8" t="str">
        <x:v>MM-TSFlib</x:v>
      </x:c>
      <x:c r="D208" s="8" t="str">
        <x:v>SpecTF</x:v>
      </x:c>
      <x:c r="E208" s="8" t="str">
        <x:v>CFA</x:v>
      </x:c>
      <x:c r="F208" s="9" t="str">
        <x:v>Aurora</x:v>
      </x:c>
      <x:c r="G208" s="2"/>
      <x:c r="H208" s="7" t="str">
        <x:v>步长</x:v>
      </x:c>
      <x:c r="I208" s="8" t="str">
        <x:v>TaTS</x:v>
      </x:c>
      <x:c r="J208" s="8" t="str">
        <x:v>MM-TSFlib</x:v>
      </x:c>
      <x:c r="K208" s="8" t="str">
        <x:v>SpecTF</x:v>
      </x:c>
      <x:c r="L208" s="8" t="str">
        <x:v>CFA</x:v>
      </x:c>
      <x:c r="M208" s="9" t="str">
        <x:v>Aurora</x:v>
      </x:c>
      <x:c r="N208" s="2"/>
    </x:row>
    <x:row r="209" ht="23" customHeight="1">
      <x:c r="A209" s="2" t="str">
        <x:v>6步</x:v>
      </x:c>
      <x:c r="B209" s="10" t="n">
        <x:f>'180项对比'!E126</x:f>
        <x:v>72.6991374139132</x:v>
      </x:c>
      <x:c r="C209" s="10" t="n">
        <x:f>'180项对比'!E127</x:f>
        <x:v>74.55925241876317</x:v>
      </x:c>
      <x:c r="D209" s="10" t="n">
        <x:f>'180项对比'!E128</x:f>
        <x:v>67.14183396997961</x:v>
      </x:c>
      <x:c r="E209" s="10" t="n">
        <x:f>'180项对比'!E129</x:f>
        <x:v>73.16995799985796</x:v>
      </x:c>
      <x:c r="F209" s="10" t="n">
        <x:f>'180项对比'!E130</x:f>
        <x:v>79.28809600617852</x:v>
      </x:c>
      <x:c r="G209" s="2"/>
      <x:c r="H209" s="2" t="str">
        <x:v>6步</x:v>
      </x:c>
      <x:c r="I209" s="10" t="n">
        <x:f>'180项对比'!D126</x:f>
        <x:v>72.6991374139132</x:v>
      </x:c>
      <x:c r="J209" s="10" t="n">
        <x:f>'180项对比'!D127</x:f>
        <x:v>93.2256797838897</x:v>
      </x:c>
      <x:c r="K209" s="10" t="n">
        <x:f>'180项对比'!D128</x:f>
        <x:v>67.14183396997961</x:v>
      </x:c>
      <x:c r="L209" s="10" t="n">
        <x:f>'180项对比'!D129</x:f>
        <x:v>73.16995799985796</x:v>
      </x:c>
      <x:c r="M209" s="10" t="n">
        <x:f>'180项对比'!D130</x:f>
        <x:v>77.16228360015839</x:v>
      </x:c>
      <x:c r="N209" s="2"/>
    </x:row>
    <x:row r="210" ht="23" customHeight="1">
      <x:c r="A210" s="2" t="str">
        <x:v>8步</x:v>
      </x:c>
      <x:c r="B210" s="10" t="n">
        <x:f>'180项对比'!E131</x:f>
        <x:v>72.97911949508219</x:v>
      </x:c>
      <x:c r="C210" s="10" t="n">
        <x:f>'180项对比'!E132</x:f>
        <x:v>95.16251747405742</x:v>
      </x:c>
      <x:c r="D210" s="10" t="n">
        <x:f>'180项对比'!E133</x:f>
        <x:v>70.6990198622295</x:v>
      </x:c>
      <x:c r="E210" s="10" t="n">
        <x:f>'180项对比'!E134</x:f>
        <x:v>91.43265867362122</x:v>
      </x:c>
      <x:c r="F210" s="10" t="n">
        <x:f>'180项对比'!E135</x:f>
        <x:v>81.83984320753761</x:v>
      </x:c>
      <x:c r="G210" s="2"/>
      <x:c r="H210" s="2" t="str">
        <x:v>8步</x:v>
      </x:c>
      <x:c r="I210" s="10" t="n">
        <x:f>'180项对比'!D131</x:f>
        <x:v>72.97911949508219</x:v>
      </x:c>
      <x:c r="J210" s="10" t="n">
        <x:f>'180项对比'!D132</x:f>
        <x:v>96.53889005739344</x:v>
      </x:c>
      <x:c r="K210" s="10" t="n">
        <x:f>'180项对比'!D133</x:f>
        <x:v>70.6990198622295</x:v>
      </x:c>
      <x:c r="L210" s="10" t="n">
        <x:f>'180项对比'!D134</x:f>
        <x:v>91.43265867362122</x:v>
      </x:c>
      <x:c r="M210" s="10" t="n">
        <x:f>'180项对比'!D135</x:f>
        <x:v>81.18467338330083</x:v>
      </x:c>
      <x:c r="N210" s="2"/>
    </x:row>
    <x:row r="211" ht="23" customHeight="1">
      <x:c r="A211" s="2" t="str">
        <x:v>10步</x:v>
      </x:c>
      <x:c r="B211" s="10" t="n">
        <x:f>'180项对比'!E136</x:f>
        <x:v>83.3917024227843</x:v>
      </x:c>
      <x:c r="C211" s="10" t="n">
        <x:f>'180项对比'!E137</x:f>
        <x:v>97.42273132558635</x:v>
      </x:c>
      <x:c r="D211" s="10" t="n">
        <x:f>'180项对比'!E138</x:f>
        <x:v>73.9949897801101</x:v>
      </x:c>
      <x:c r="E211" s="10" t="n">
        <x:f>'180项对比'!E139</x:f>
        <x:v>81.72534727800492</x:v>
      </x:c>
      <x:c r="F211" s="10" t="n">
        <x:f>'180项对比'!E140</x:f>
        <x:v>84.9097071622486</x:v>
      </x:c>
      <x:c r="G211" s="2"/>
      <x:c r="H211" s="2" t="str">
        <x:v>10步</x:v>
      </x:c>
      <x:c r="I211" s="10" t="n">
        <x:f>'180项对比'!D136</x:f>
        <x:v>83.39170242577858</x:v>
      </x:c>
      <x:c r="J211" s="10" t="n">
        <x:f>'180项对比'!D137</x:f>
        <x:v>97.48980175008192</x:v>
      </x:c>
      <x:c r="K211" s="10" t="n">
        <x:f>'180项对比'!D138</x:f>
        <x:v>73.9949897801101</x:v>
      </x:c>
      <x:c r="L211" s="10" t="n">
        <x:f>'180项对比'!D139</x:f>
        <x:v>81.72534727849892</x:v>
      </x:c>
      <x:c r="M211" s="10" t="n">
        <x:f>'180项对比'!D140</x:f>
        <x:v>84.90057875764339</x:v>
      </x:c>
      <x:c r="N211" s="2"/>
    </x:row>
    <x:row r="212" ht="23" customHeight="1">
      <x:c r="A212" s="2" t="str">
        <x:v>12步</x:v>
      </x:c>
      <x:c r="B212" s="10" t="n">
        <x:f>'180项对比'!E141</x:f>
        <x:v>80.98327342565297</x:v>
      </x:c>
      <x:c r="C212" s="10" t="n">
        <x:f>'180项对比'!E142</x:f>
        <x:v>96.55755705345467</x:v>
      </x:c>
      <x:c r="D212" s="10" t="n">
        <x:f>'180项对比'!E143</x:f>
        <x:v>78.07562570941445</x:v>
      </x:c>
      <x:c r="E212" s="10" t="n">
        <x:f>'180项对比'!E144</x:f>
        <x:v>101.2261170885544</x:v>
      </x:c>
      <x:c r="F212" s="10" t="n">
        <x:f>'180项对比'!E145</x:f>
        <x:v>89.24185869772852</x:v>
      </x:c>
      <x:c r="G212" s="2"/>
      <x:c r="H212" s="2" t="str">
        <x:v>12步</x:v>
      </x:c>
      <x:c r="I212" s="10" t="n">
        <x:f>'180项对比'!D141</x:f>
        <x:v>80.98327342565297</x:v>
      </x:c>
      <x:c r="J212" s="10" t="n">
        <x:f>'180项对比'!D142</x:f>
        <x:v>96.64963786673496</x:v>
      </x:c>
      <x:c r="K212" s="10" t="n">
        <x:f>'180项对比'!D143</x:f>
        <x:v>78.07562570941445</x:v>
      </x:c>
      <x:c r="L212" s="10" t="n">
        <x:f>'180项对比'!D144</x:f>
        <x:v>101.22611710260571</x:v>
      </x:c>
      <x:c r="M212" s="10" t="n">
        <x:f>'180项对比'!D145</x:f>
        <x:v>89.22429087175277</x:v>
      </x:c>
      <x:c r="N212" s="2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</x:row>
    <x:row r="215" ht="23" customHeight="1">
      <x:c r="A215" s="2" t="str">
        <x:v>MSE 改善率（正值改善）</x:v>
      </x:c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</x:row>
    <x:row r="216" ht="27" customHeight="1">
      <x:c r="A216" s="7" t="str">
        <x:v>步长</x:v>
      </x:c>
      <x:c r="B216" s="8" t="str">
        <x:v>TaTS</x:v>
      </x:c>
      <x:c r="C216" s="8" t="str">
        <x:v>MM-TSFlib</x:v>
      </x:c>
      <x:c r="D216" s="8" t="str">
        <x:v>SpecTF</x:v>
      </x:c>
      <x:c r="E216" s="8" t="str">
        <x:v>CFA</x:v>
      </x:c>
      <x:c r="F216" s="9" t="str">
        <x:v>Aurora</x:v>
      </x:c>
      <x:c r="G216" s="2"/>
      <x:c r="H216" s="2"/>
      <x:c r="I216" s="2"/>
      <x:c r="J216" s="2"/>
      <x:c r="K216" s="2"/>
      <x:c r="L216" s="2"/>
      <x:c r="M216" s="2"/>
      <x:c r="N216" s="2"/>
    </x:row>
    <x:row r="217" ht="23" customHeight="1">
      <x:c r="A217" s="2" t="str">
        <x:v>6步</x:v>
      </x:c>
      <x:c r="B217" s="12" t="n">
        <x:f>'180项对比'!G126</x:f>
        <x:v>0</x:v>
      </x:c>
      <x:c r="C217" s="12" t="n">
        <x:f>'180项对比'!G127</x:f>
        <x:v>0.20022838565938006</x:v>
      </x:c>
      <x:c r="D217" s="12" t="n">
        <x:f>'180项对比'!G128</x:f>
        <x:v>0</x:v>
      </x:c>
      <x:c r="E217" s="12" t="n">
        <x:f>'180项对比'!G129</x:f>
        <x:v>0</x:v>
      </x:c>
      <x:c r="F217" s="12" t="n">
        <x:f>'180项对比'!G130</x:f>
        <x:v>-0.02754988974970885</x:v>
      </x:c>
      <x:c r="G217" s="2"/>
      <x:c r="H217" s="2"/>
      <x:c r="I217" s="2"/>
      <x:c r="J217" s="2"/>
      <x:c r="K217" s="2"/>
      <x:c r="L217" s="2"/>
      <x:c r="M217" s="2"/>
      <x:c r="N217" s="2"/>
    </x:row>
    <x:row r="218" ht="23" customHeight="1">
      <x:c r="A218" s="2" t="str">
        <x:v>8步</x:v>
      </x:c>
      <x:c r="B218" s="12" t="n">
        <x:f>'180项对比'!G131</x:f>
        <x:v>0</x:v>
      </x:c>
      <x:c r="C218" s="12" t="n">
        <x:f>'180项对比'!G132</x:f>
        <x:v>0.014257182597787818</x:v>
      </x:c>
      <x:c r="D218" s="12" t="n">
        <x:f>'180项对比'!G133</x:f>
        <x:v>0</x:v>
      </x:c>
      <x:c r="E218" s="12" t="n">
        <x:f>'180项对比'!G134</x:f>
        <x:v>0</x:v>
      </x:c>
      <x:c r="F218" s="12" t="n">
        <x:f>'180项对比'!G135</x:f>
        <x:v>-0.008070117140750158</x:v>
      </x:c>
      <x:c r="G218" s="2"/>
      <x:c r="H218" s="2"/>
      <x:c r="I218" s="2"/>
      <x:c r="J218" s="2"/>
      <x:c r="K218" s="2"/>
      <x:c r="L218" s="2"/>
      <x:c r="M218" s="2"/>
      <x:c r="N218" s="2"/>
    </x:row>
    <x:row r="219" ht="23" customHeight="1">
      <x:c r="A219" s="2" t="str">
        <x:v>10步</x:v>
      </x:c>
      <x:c r="B219" s="12" t="n">
        <x:f>'180项对比'!G136</x:f>
        <x:v>3.590608698416019e-11</x:v>
      </x:c>
      <x:c r="C219" s="12" t="n">
        <x:f>'180项对比'!G137</x:f>
        <x:v>0.0006879737499877755</x:v>
      </x:c>
      <x:c r="D219" s="12" t="n">
        <x:f>'180项对比'!G138</x:f>
        <x:v>0</x:v>
      </x:c>
      <x:c r="E219" s="12" t="n">
        <x:f>'180项对比'!G139</x:f>
        <x:v>6.044608534074932e-12</x:v>
      </x:c>
      <x:c r="F219" s="12" t="n">
        <x:f>'180项对比'!G140</x:f>
        <x:v>-0.00010751875592349704</x:v>
      </x:c>
      <x:c r="G219" s="2"/>
      <x:c r="H219" s="2"/>
      <x:c r="I219" s="2"/>
      <x:c r="J219" s="2"/>
      <x:c r="K219" s="2"/>
      <x:c r="L219" s="2"/>
      <x:c r="M219" s="2"/>
      <x:c r="N219" s="2"/>
    </x:row>
    <x:row r="220" ht="23" customHeight="1">
      <x:c r="A220" s="2" t="str">
        <x:v>12步</x:v>
      </x:c>
      <x:c r="B220" s="12" t="n">
        <x:f>'180项对比'!G141</x:f>
        <x:v>0</x:v>
      </x:c>
      <x:c r="C220" s="12" t="n">
        <x:f>'180项对比'!G142</x:f>
        <x:v>0.000952727969940826</x:v>
      </x:c>
      <x:c r="D220" s="12" t="n">
        <x:f>'180项对比'!G143</x:f>
        <x:v>0</x:v>
      </x:c>
      <x:c r="E220" s="12" t="n">
        <x:f>'180项对比'!G144</x:f>
        <x:v>1.3881110776057544e-10</x:v>
      </x:c>
      <x:c r="F220" s="12" t="n">
        <x:f>'180项对比'!G145</x:f>
        <x:v>-0.0001968951033861102</x:v>
      </x:c>
      <x:c r="G220" s="2"/>
      <x:c r="H220" s="2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</x:row>
    <x:row r="223" ht="23" customHeight="1">
      <x:c r="A223" s="2" t="str">
        <x:v>红色负值 = 测试集MSE增加。</x:v>
      </x:c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</x:row>
    <x:row r="224" ht="23" customHeight="1">
      <x:c r="A224" s="2" t="str">
        <x:v>持平主要来自验证alpha=0的回退。</x:v>
      </x:c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</x:row>
    <x:row r="236" ht="23" customHeight="1">
      <x:c r="A236" s="3" t="str">
        <x:v>SocialGood  MSE</x:v>
      </x:c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</x:row>
    <x:row r="237" ht="23" customHeight="1">
      <x:c r="A237" s="2" t="str">
        <x:v>V1 平均MSE</x:v>
      </x:c>
      <x:c r="B237" s="2"/>
      <x:c r="C237" s="2"/>
      <x:c r="D237" s="2"/>
      <x:c r="E237" s="2"/>
      <x:c r="F237" s="2"/>
      <x:c r="G237" s="2"/>
      <x:c r="H237" s="2" t="str">
        <x:v>原版 MSE</x:v>
      </x:c>
      <x:c r="I237" s="2"/>
      <x:c r="J237" s="2"/>
      <x:c r="K237" s="2"/>
      <x:c r="L237" s="2"/>
      <x:c r="M237" s="2"/>
      <x:c r="N237" s="2"/>
    </x:row>
    <x:row r="238" ht="27" customHeight="1">
      <x:c r="A238" s="7" t="str">
        <x:v>步长</x:v>
      </x:c>
      <x:c r="B238" s="8" t="str">
        <x:v>TaTS</x:v>
      </x:c>
      <x:c r="C238" s="8" t="str">
        <x:v>MM-TSFlib</x:v>
      </x:c>
      <x:c r="D238" s="8" t="str">
        <x:v>SpecTF</x:v>
      </x:c>
      <x:c r="E238" s="8" t="str">
        <x:v>CFA</x:v>
      </x:c>
      <x:c r="F238" s="9" t="str">
        <x:v>Aurora</x:v>
      </x:c>
      <x:c r="G238" s="2"/>
      <x:c r="H238" s="7" t="str">
        <x:v>步长</x:v>
      </x:c>
      <x:c r="I238" s="8" t="str">
        <x:v>TaTS</x:v>
      </x:c>
      <x:c r="J238" s="8" t="str">
        <x:v>MM-TSFlib</x:v>
      </x:c>
      <x:c r="K238" s="8" t="str">
        <x:v>SpecTF</x:v>
      </x:c>
      <x:c r="L238" s="8" t="str">
        <x:v>CFA</x:v>
      </x:c>
      <x:c r="M238" s="9" t="str">
        <x:v>Aurora</x:v>
      </x:c>
      <x:c r="N238" s="2"/>
    </x:row>
    <x:row r="239" ht="23" customHeight="1">
      <x:c r="A239" s="2" t="str">
        <x:v>6步</x:v>
      </x:c>
      <x:c r="B239" s="10" t="n">
        <x:f>'180项对比'!E146</x:f>
        <x:v>1.0527372108545727</x:v>
      </x:c>
      <x:c r="C239" s="10" t="n">
        <x:f>'180项对比'!E147</x:f>
        <x:v>0.7169099234673274</x:v>
      </x:c>
      <x:c r="D239" s="10" t="n">
        <x:f>'180项对比'!E148</x:f>
        <x:v>0.9929525026766165</x:v>
      </x:c>
      <x:c r="E239" s="10" t="n">
        <x:f>'180项对比'!E149</x:f>
        <x:v>0.9942550613286398</x:v>
      </x:c>
      <x:c r="F239" s="10" t="n">
        <x:f>'180项对比'!E150</x:f>
        <x:v>1.6768303962961066</x:v>
      </x:c>
      <x:c r="G239" s="2"/>
      <x:c r="H239" s="2" t="str">
        <x:v>6步</x:v>
      </x:c>
      <x:c r="I239" s="10" t="n">
        <x:f>'180项对比'!D146</x:f>
        <x:v>1.064878293277627</x:v>
      </x:c>
      <x:c r="J239" s="10" t="n">
        <x:f>'180项对比'!D147</x:f>
        <x:v>0.7169099234673274</x:v>
      </x:c>
      <x:c r="K239" s="10" t="n">
        <x:f>'180项对比'!D148</x:f>
        <x:v>0.9929525026766165</x:v>
      </x:c>
      <x:c r="L239" s="10" t="n">
        <x:f>'180项对比'!D149</x:f>
        <x:v>0.9942550612647435</x:v>
      </x:c>
      <x:c r="M239" s="10" t="n">
        <x:f>'180项对比'!D150</x:f>
        <x:v>1.6768303961171411</x:v>
      </x:c>
      <x:c r="N239" s="2"/>
    </x:row>
    <x:row r="240" ht="23" customHeight="1">
      <x:c r="A240" s="2" t="str">
        <x:v>8步</x:v>
      </x:c>
      <x:c r="B240" s="10" t="n">
        <x:f>'180项对比'!E151</x:f>
        <x:v>1.1195366188388725</x:v>
      </x:c>
      <x:c r="C240" s="10" t="n">
        <x:f>'180项对比'!E152</x:f>
        <x:v>0.845313280627705</x:v>
      </x:c>
      <x:c r="D240" s="10" t="n">
        <x:f>'180项对比'!E153</x:f>
        <x:v>1.095261793243276</x:v>
      </x:c>
      <x:c r="E240" s="10" t="n">
        <x:f>'180项对比'!E154</x:f>
        <x:v>0.8982351743012068</x:v>
      </x:c>
      <x:c r="F240" s="10" t="n">
        <x:f>'180项对比'!E155</x:f>
        <x:v>1.7228705185063113</x:v>
      </x:c>
      <x:c r="G240" s="2"/>
      <x:c r="H240" s="2" t="str">
        <x:v>8步</x:v>
      </x:c>
      <x:c r="I240" s="10" t="n">
        <x:f>'180项对比'!D151</x:f>
        <x:v>1.1622191062566747</x:v>
      </x:c>
      <x:c r="J240" s="10" t="n">
        <x:f>'180项对比'!D152</x:f>
        <x:v>0.845313280627705</x:v>
      </x:c>
      <x:c r="K240" s="10" t="n">
        <x:f>'180项对比'!D153</x:f>
        <x:v>1.0952617932062743</x:v>
      </x:c>
      <x:c r="L240" s="10" t="n">
        <x:f>'180项对比'!D154</x:f>
        <x:v>0.8982351742735893</x:v>
      </x:c>
      <x:c r="M240" s="10" t="n">
        <x:f>'180项对比'!D155</x:f>
        <x:v>1.787518923563987</x:v>
      </x:c>
      <x:c r="N240" s="2"/>
    </x:row>
    <x:row r="241" ht="23" customHeight="1">
      <x:c r="A241" s="2" t="str">
        <x:v>10步</x:v>
      </x:c>
      <x:c r="B241" s="10" t="n">
        <x:f>'180项对比'!E156</x:f>
        <x:v>1.1891676277675314</x:v>
      </x:c>
      <x:c r="C241" s="10" t="n">
        <x:f>'180项对比'!E157</x:f>
        <x:v>0.8738624749434614</x:v>
      </x:c>
      <x:c r="D241" s="10" t="n">
        <x:f>'180项对比'!E158</x:f>
        <x:v>1.397332776017638</x:v>
      </x:c>
      <x:c r="E241" s="10" t="n">
        <x:f>'180项对比'!E159</x:f>
        <x:v>0.9862629560847868</x:v>
      </x:c>
      <x:c r="F241" s="10" t="n">
        <x:f>'180项对比'!E160</x:f>
        <x:v>1.7435649850457795</x:v>
      </x:c>
      <x:c r="G241" s="2"/>
      <x:c r="H241" s="2" t="str">
        <x:v>10步</x:v>
      </x:c>
      <x:c r="I241" s="10" t="n">
        <x:f>'180项对比'!D156</x:f>
        <x:v>1.2931527146674995</x:v>
      </x:c>
      <x:c r="J241" s="10" t="n">
        <x:f>'180项对比'!D157</x:f>
        <x:v>0.8738624749434614</x:v>
      </x:c>
      <x:c r="K241" s="10" t="n">
        <x:f>'180项对比'!D158</x:f>
        <x:v>1.3973327760600354</x:v>
      </x:c>
      <x:c r="L241" s="10" t="n">
        <x:f>'180项对比'!D159</x:f>
        <x:v>0.9862629560847868</x:v>
      </x:c>
      <x:c r="M241" s="10" t="n">
        <x:f>'180项对比'!D160</x:f>
        <x:v>1.8458122988986667</x:v>
      </x:c>
      <x:c r="N241" s="2"/>
    </x:row>
    <x:row r="242" ht="23" customHeight="1">
      <x:c r="A242" s="2" t="str">
        <x:v>12步</x:v>
      </x:c>
      <x:c r="B242" s="10" t="n">
        <x:f>'180项对比'!E161</x:f>
        <x:v>1.322838435281429</x:v>
      </x:c>
      <x:c r="C242" s="10" t="n">
        <x:f>'180项对比'!E162</x:f>
        <x:v>0.959403889069738</x:v>
      </x:c>
      <x:c r="D242" s="10" t="n">
        <x:f>'180项对比'!E163</x:f>
        <x:v>1.302310829209715</x:v>
      </x:c>
      <x:c r="E242" s="10" t="n">
        <x:f>'180项对比'!E164</x:f>
        <x:v>1.1426291047609711</x:v>
      </x:c>
      <x:c r="F242" s="10" t="n">
        <x:f>'180项对比'!E165</x:f>
        <x:v>1.8754868897925865</x:v>
      </x:c>
      <x:c r="G242" s="2"/>
      <x:c r="H242" s="2" t="str">
        <x:v>12步</x:v>
      </x:c>
      <x:c r="I242" s="10" t="n">
        <x:f>'180项对比'!D161</x:f>
        <x:v>1.322838435281429</x:v>
      </x:c>
      <x:c r="J242" s="10" t="n">
        <x:f>'180项对比'!D162</x:f>
        <x:v>0.9595029697920977</x:v>
      </x:c>
      <x:c r="K242" s="10" t="n">
        <x:f>'180项对比'!D163</x:f>
        <x:v>1.302310829209715</x:v>
      </x:c>
      <x:c r="L242" s="10" t="n">
        <x:f>'180项对比'!D164</x:f>
        <x:v>1.1426291047109751</x:v>
      </x:c>
      <x:c r="M242" s="10" t="n">
        <x:f>'180项对比'!D165</x:f>
        <x:v>1.8754868897925865</x:v>
      </x:c>
      <x:c r="N242" s="2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</x:row>
    <x:row r="245" ht="23" customHeight="1">
      <x:c r="A245" s="2" t="str">
        <x:v>MSE 改善率（正值改善）</x:v>
      </x:c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</x:row>
    <x:row r="246" ht="27" customHeight="1">
      <x:c r="A246" s="7" t="str">
        <x:v>步长</x:v>
      </x:c>
      <x:c r="B246" s="8" t="str">
        <x:v>TaTS</x:v>
      </x:c>
      <x:c r="C246" s="8" t="str">
        <x:v>MM-TSFlib</x:v>
      </x:c>
      <x:c r="D246" s="8" t="str">
        <x:v>SpecTF</x:v>
      </x:c>
      <x:c r="E246" s="8" t="str">
        <x:v>CFA</x:v>
      </x:c>
      <x:c r="F246" s="9" t="str">
        <x:v>Aurora</x:v>
      </x:c>
      <x:c r="G246" s="2"/>
      <x:c r="H246" s="2"/>
      <x:c r="I246" s="2"/>
      <x:c r="J246" s="2"/>
      <x:c r="K246" s="2"/>
      <x:c r="L246" s="2"/>
      <x:c r="M246" s="2"/>
      <x:c r="N246" s="2"/>
    </x:row>
    <x:row r="247" ht="23" customHeight="1">
      <x:c r="A247" s="2" t="str">
        <x:v>6步</x:v>
      </x:c>
      <x:c r="B247" s="12" t="n">
        <x:f>'180项对比'!G146</x:f>
        <x:v>0.011401380326464226</x:v>
      </x:c>
      <x:c r="C247" s="12" t="n">
        <x:f>'180项对比'!G147</x:f>
        <x:v>0</x:v>
      </x:c>
      <x:c r="D247" s="12" t="n">
        <x:f>'180项对比'!G148</x:f>
        <x:v>0</x:v>
      </x:c>
      <x:c r="E247" s="12" t="n">
        <x:f>'180项对比'!G149</x:f>
        <x:v>-6.426553422626265e-11</x:v>
      </x:c>
      <x:c r="F247" s="12" t="n">
        <x:f>'180项对比'!G150</x:f>
        <x:v>-1.0672844999311354e-10</x:v>
      </x:c>
      <x:c r="G247" s="2"/>
      <x:c r="H247" s="2"/>
      <x:c r="I247" s="2"/>
      <x:c r="J247" s="2"/>
      <x:c r="K247" s="2"/>
      <x:c r="L247" s="2"/>
      <x:c r="M247" s="2"/>
      <x:c r="N247" s="2"/>
    </x:row>
    <x:row r="248" ht="23" customHeight="1">
      <x:c r="A248" s="2" t="str">
        <x:v>8步</x:v>
      </x:c>
      <x:c r="B248" s="12" t="n">
        <x:f>'180项对比'!G151</x:f>
        <x:v>0.036724992032935874</x:v>
      </x:c>
      <x:c r="C248" s="12" t="n">
        <x:f>'180项对比'!G152</x:f>
        <x:v>0</x:v>
      </x:c>
      <x:c r="D248" s="12" t="n">
        <x:f>'180项对比'!G153</x:f>
        <x:v>-3.3783461852524864e-11</x:v>
      </x:c>
      <x:c r="E248" s="12" t="n">
        <x:f>'180项对比'!G154</x:f>
        <x:v>-3.0746362046776925e-11</x:v>
      </x:c>
      <x:c r="F248" s="12" t="n">
        <x:f>'180项对比'!G155</x:f>
        <x:v>0.036166557011199925</x:v>
      </x:c>
      <x:c r="G248" s="2"/>
      <x:c r="H248" s="2"/>
      <x:c r="I248" s="2"/>
      <x:c r="J248" s="2"/>
      <x:c r="K248" s="2"/>
      <x:c r="L248" s="2"/>
      <x:c r="M248" s="2"/>
      <x:c r="N248" s="2"/>
    </x:row>
    <x:row r="249" ht="23" customHeight="1">
      <x:c r="A249" s="2" t="str">
        <x:v>10步</x:v>
      </x:c>
      <x:c r="B249" s="12" t="n">
        <x:f>'180项对比'!G156</x:f>
        <x:v>0.08041207022227469</x:v>
      </x:c>
      <x:c r="C249" s="12" t="n">
        <x:f>'180项对比'!G157</x:f>
        <x:v>0</x:v>
      </x:c>
      <x:c r="D249" s="12" t="n">
        <x:f>'180项对比'!G158</x:f>
        <x:v>3.034167639618068e-11</x:v>
      </x:c>
      <x:c r="E249" s="12" t="n">
        <x:f>'180项对比'!G159</x:f>
        <x:v>0</x:v>
      </x:c>
      <x:c r="F249" s="12" t="n">
        <x:f>'180项对比'!G160</x:f>
        <x:v>0.05539420986299349</x:v>
      </x:c>
      <x:c r="G249" s="2"/>
      <x:c r="H249" s="2"/>
      <x:c r="I249" s="2"/>
      <x:c r="J249" s="2"/>
      <x:c r="K249" s="2"/>
      <x:c r="L249" s="2"/>
      <x:c r="M249" s="2"/>
      <x:c r="N249" s="2"/>
    </x:row>
    <x:row r="250" ht="23" customHeight="1">
      <x:c r="A250" s="2" t="str">
        <x:v>12步</x:v>
      </x:c>
      <x:c r="B250" s="12" t="n">
        <x:f>'180项对比'!G161</x:f>
        <x:v>0</x:v>
      </x:c>
      <x:c r="C250" s="12" t="n">
        <x:f>'180项对比'!G162</x:f>
        <x:v>0.00010326254892282956</x:v>
      </x:c>
      <x:c r="D250" s="12" t="n">
        <x:f>'180项对比'!G163</x:f>
        <x:v>0</x:v>
      </x:c>
      <x:c r="E250" s="12" t="n">
        <x:f>'180项对比'!G164</x:f>
        <x:v>-4.375523704761245e-11</x:v>
      </x:c>
      <x:c r="F250" s="12" t="n">
        <x:f>'180项对比'!G165</x:f>
        <x:v>0</x:v>
      </x:c>
      <x:c r="G250" s="2"/>
      <x:c r="H250" s="2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 t="str">
        <x:v>红色负值 = 测试集MSE增加。</x:v>
      </x:c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 t="str">
        <x:v>持平主要来自验证alpha=0的回退。</x:v>
      </x:c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3" t="str">
        <x:v>Traffic  MSE</x:v>
      </x:c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 t="str">
        <x:v>V1 平均MSE</x:v>
      </x:c>
      <x:c r="B267" s="2"/>
      <x:c r="C267" s="2"/>
      <x:c r="D267" s="2"/>
      <x:c r="E267" s="2"/>
      <x:c r="F267" s="2"/>
      <x:c r="G267" s="2"/>
      <x:c r="H267" s="2" t="str">
        <x:v>原版 MSE</x:v>
      </x:c>
      <x:c r="I267" s="2"/>
      <x:c r="J267" s="2"/>
      <x:c r="K267" s="2"/>
      <x:c r="L267" s="2"/>
      <x:c r="M267" s="2"/>
      <x:c r="N267" s="2"/>
    </x:row>
    <x:row r="268" ht="27" customHeight="1">
      <x:c r="A268" s="7" t="str">
        <x:v>步长</x:v>
      </x:c>
      <x:c r="B268" s="8" t="str">
        <x:v>TaTS</x:v>
      </x:c>
      <x:c r="C268" s="8" t="str">
        <x:v>MM-TSFlib</x:v>
      </x:c>
      <x:c r="D268" s="8" t="str">
        <x:v>SpecTF</x:v>
      </x:c>
      <x:c r="E268" s="8" t="str">
        <x:v>CFA</x:v>
      </x:c>
      <x:c r="F268" s="9" t="str">
        <x:v>Aurora</x:v>
      </x:c>
      <x:c r="G268" s="2"/>
      <x:c r="H268" s="7" t="str">
        <x:v>步长</x:v>
      </x:c>
      <x:c r="I268" s="8" t="str">
        <x:v>TaTS</x:v>
      </x:c>
      <x:c r="J268" s="8" t="str">
        <x:v>MM-TSFlib</x:v>
      </x:c>
      <x:c r="K268" s="8" t="str">
        <x:v>SpecTF</x:v>
      </x:c>
      <x:c r="L268" s="8" t="str">
        <x:v>CFA</x:v>
      </x:c>
      <x:c r="M268" s="9" t="str">
        <x:v>Aurora</x:v>
      </x:c>
      <x:c r="N268" s="2"/>
    </x:row>
    <x:row r="269" ht="23" customHeight="1">
      <x:c r="A269" s="2" t="str">
        <x:v>6步</x:v>
      </x:c>
      <x:c r="B269" s="10" t="n">
        <x:f>'180项对比'!E166</x:f>
        <x:v>0.24723389000952123</x:v>
      </x:c>
      <x:c r="C269" s="10" t="n">
        <x:f>'180项对比'!E167</x:f>
        <x:v>0.15184177843025573</x:v>
      </x:c>
      <x:c r="D269" s="10" t="n">
        <x:f>'180项对比'!E168</x:f>
        <x:v>0.16757848338838088</x:v>
      </x:c>
      <x:c r="E269" s="10" t="n">
        <x:f>'180项对比'!E169</x:f>
        <x:v>0.15625621720979446</x:v>
      </x:c>
      <x:c r="F269" s="10" t="n">
        <x:f>'180项对比'!E170</x:f>
        <x:v>0.15602859012632012</x:v>
      </x:c>
      <x:c r="G269" s="2"/>
      <x:c r="H269" s="2" t="str">
        <x:v>6步</x:v>
      </x:c>
      <x:c r="I269" s="10" t="n">
        <x:f>'180项对比'!D166</x:f>
        <x:v>0.24723389000952123</x:v>
      </x:c>
      <x:c r="J269" s="10" t="n">
        <x:f>'180项对比'!D167</x:f>
        <x:v>0.15184177843025573</x:v>
      </x:c>
      <x:c r="K269" s="10" t="n">
        <x:f>'180项对比'!D168</x:f>
        <x:v>0.16757848338838088</x:v>
      </x:c>
      <x:c r="L269" s="10" t="n">
        <x:f>'180项对比'!D169</x:f>
        <x:v>0.15811983108467015</x:v>
      </x:c>
      <x:c r="M269" s="10" t="n">
        <x:f>'180项对比'!D170</x:f>
        <x:v>0.15602859012632012</x:v>
      </x:c>
      <x:c r="N269" s="2"/>
    </x:row>
    <x:row r="270" ht="23" customHeight="1">
      <x:c r="A270" s="2" t="str">
        <x:v>8步</x:v>
      </x:c>
      <x:c r="B270" s="10" t="n">
        <x:f>'180项对比'!E171</x:f>
        <x:v>0.2367828702141799</x:v>
      </x:c>
      <x:c r="C270" s="10" t="n">
        <x:f>'180项对比'!E172</x:f>
        <x:v>0.15819917205889875</x:v>
      </x:c>
      <x:c r="D270" s="10" t="n">
        <x:f>'180项对比'!E173</x:f>
        <x:v>0.1857856013000482</x:v>
      </x:c>
      <x:c r="E270" s="10" t="n">
        <x:f>'180项对比'!E174</x:f>
        <x:v>0.15928932672901436</x:v>
      </x:c>
      <x:c r="F270" s="10" t="n">
        <x:f>'180项对比'!E175</x:f>
        <x:v>0.16190882453397848</x:v>
      </x:c>
      <x:c r="G270" s="2"/>
      <x:c r="H270" s="2" t="str">
        <x:v>8步</x:v>
      </x:c>
      <x:c r="I270" s="10" t="n">
        <x:f>'180项对比'!D171</x:f>
        <x:v>0.23876363465916217</x:v>
      </x:c>
      <x:c r="J270" s="10" t="n">
        <x:f>'180项对比'!D172</x:f>
        <x:v>0.15819917205889875</x:v>
      </x:c>
      <x:c r="K270" s="10" t="n">
        <x:f>'180项对比'!D173</x:f>
        <x:v>0.18590940564234654</x:v>
      </x:c>
      <x:c r="L270" s="10" t="n">
        <x:f>'180项对比'!D174</x:f>
        <x:v>0.15928932672901436</x:v>
      </x:c>
      <x:c r="M270" s="10" t="n">
        <x:f>'180项对比'!D175</x:f>
        <x:v>0.16190882453397848</x:v>
      </x:c>
      <x:c r="N270" s="2"/>
    </x:row>
    <x:row r="271" ht="23" customHeight="1">
      <x:c r="A271" s="2" t="str">
        <x:v>10步</x:v>
      </x:c>
      <x:c r="B271" s="10" t="n">
        <x:f>'180项对比'!E176</x:f>
        <x:v>0.24441621153902268</x:v>
      </x:c>
      <x:c r="C271" s="10" t="n">
        <x:f>'180项对比'!E177</x:f>
        <x:v>0.1666901516930486</x:v>
      </x:c>
      <x:c r="D271" s="10" t="n">
        <x:f>'180项对比'!E178</x:f>
        <x:v>0.19986794571428487</x:v>
      </x:c>
      <x:c r="E271" s="10" t="n">
        <x:f>'180项对比'!E179</x:f>
        <x:v>0.1732082597712524</x:v>
      </x:c>
      <x:c r="F271" s="10" t="n">
        <x:f>'180项对比'!E180</x:f>
        <x:v>0.16721218643952343</x:v>
      </x:c>
      <x:c r="G271" s="2"/>
      <x:c r="H271" s="2" t="str">
        <x:v>10步</x:v>
      </x:c>
      <x:c r="I271" s="10" t="n">
        <x:f>'180项对比'!D176</x:f>
        <x:v>0.24555718831519832</x:v>
      </x:c>
      <x:c r="J271" s="10" t="n">
        <x:f>'180项对比'!D177</x:f>
        <x:v>0.1666901516930486</x:v>
      </x:c>
      <x:c r="K271" s="10" t="n">
        <x:f>'180项对比'!D178</x:f>
        <x:v>0.19986794571428487</x:v>
      </x:c>
      <x:c r="L271" s="10" t="n">
        <x:f>'180项对比'!D179</x:f>
        <x:v>0.1732082597712524</x:v>
      </x:c>
      <x:c r="M271" s="10" t="n">
        <x:f>'180项对比'!D180</x:f>
        <x:v>0.16721218643952346</x:v>
      </x:c>
      <x:c r="N271" s="2"/>
    </x:row>
    <x:row r="272" ht="23" customHeight="1">
      <x:c r="A272" s="2" t="str">
        <x:v>12步</x:v>
      </x:c>
      <x:c r="B272" s="10" t="n">
        <x:f>'180项对比'!E181</x:f>
        <x:v>0.22234044158079816</x:v>
      </x:c>
      <x:c r="C272" s="10" t="n">
        <x:f>'180项对比'!E182</x:f>
        <x:v>0.1754925299691906</x:v>
      </x:c>
      <x:c r="D272" s="10" t="n">
        <x:f>'180项对比'!E183</x:f>
        <x:v>0.18894771280705278</x:v>
      </x:c>
      <x:c r="E272" s="10" t="n">
        <x:f>'180项对比'!E184</x:f>
        <x:v>0.17699060160295385</x:v>
      </x:c>
      <x:c r="F272" s="10" t="n">
        <x:f>'180项对比'!E185</x:f>
        <x:v>0.17349987474511538</x:v>
      </x:c>
      <x:c r="G272" s="2"/>
      <x:c r="H272" s="2" t="str">
        <x:v>12步</x:v>
      </x:c>
      <x:c r="I272" s="10" t="n">
        <x:f>'180项对比'!D181</x:f>
        <x:v>0.22234044158079816</x:v>
      </x:c>
      <x:c r="J272" s="10" t="n">
        <x:f>'180项对比'!D182</x:f>
        <x:v>0.17549252996919057</x:v>
      </x:c>
      <x:c r="K272" s="10" t="n">
        <x:f>'180项对比'!D183</x:f>
        <x:v>0.18894771280705278</x:v>
      </x:c>
      <x:c r="L272" s="10" t="n">
        <x:f>'180项对比'!D184</x:f>
        <x:v>0.17699060160295385</x:v>
      </x:c>
      <x:c r="M272" s="10" t="n">
        <x:f>'180项对比'!D185</x:f>
        <x:v>0.17349987474511538</x:v>
      </x:c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 t="str">
        <x:v>MSE 改善率（正值改善）</x:v>
      </x:c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7" customHeight="1">
      <x:c r="A276" s="7" t="str">
        <x:v>步长</x:v>
      </x:c>
      <x:c r="B276" s="8" t="str">
        <x:v>TaTS</x:v>
      </x:c>
      <x:c r="C276" s="8" t="str">
        <x:v>MM-TSFlib</x:v>
      </x:c>
      <x:c r="D276" s="8" t="str">
        <x:v>SpecTF</x:v>
      </x:c>
      <x:c r="E276" s="8" t="str">
        <x:v>CFA</x:v>
      </x:c>
      <x:c r="F276" s="9" t="str">
        <x:v>Aurora</x:v>
      </x:c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 t="str">
        <x:v>6步</x:v>
      </x:c>
      <x:c r="B277" s="12" t="n">
        <x:f>'180项对比'!G166</x:f>
        <x:v>0</x:v>
      </x:c>
      <x:c r="C277" s="12" t="n">
        <x:f>'180项对比'!G167</x:f>
        <x:v>0</x:v>
      </x:c>
      <x:c r="D277" s="12" t="n">
        <x:f>'180项对比'!G168</x:f>
        <x:v>0</x:v>
      </x:c>
      <x:c r="E277" s="12" t="n">
        <x:f>'180项对比'!G169</x:f>
        <x:v>0.011786085667380685</x:v>
      </x:c>
      <x:c r="F277" s="12" t="n">
        <x:f>'180项对比'!G170</x:f>
        <x:v>0</x:v>
      </x:c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 t="str">
        <x:v>8步</x:v>
      </x:c>
      <x:c r="B278" s="12" t="n">
        <x:f>'180项对比'!G171</x:f>
        <x:v>0.008295921813260353</x:v>
      </x:c>
      <x:c r="C278" s="12" t="n">
        <x:f>'180项对比'!G172</x:f>
        <x:v>0</x:v>
      </x:c>
      <x:c r="D278" s="12" t="n">
        <x:f>'180项对比'!G173</x:f>
        <x:v>0.0006659391001255156</x:v>
      </x:c>
      <x:c r="E278" s="12" t="n">
        <x:f>'180项对比'!G174</x:f>
        <x:v>0</x:v>
      </x:c>
      <x:c r="F278" s="12" t="n">
        <x:f>'180项对比'!G175</x:f>
        <x:v>0</x:v>
      </x:c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 t="str">
        <x:v>10步</x:v>
      </x:c>
      <x:c r="B279" s="12" t="n">
        <x:f>'180项对比'!G176</x:f>
        <x:v>0.004646480862580478</x:v>
      </x:c>
      <x:c r="C279" s="12" t="n">
        <x:f>'180项对比'!G177</x:f>
        <x:v>0</x:v>
      </x:c>
      <x:c r="D279" s="12" t="n">
        <x:f>'180项对比'!G178</x:f>
        <x:v>0</x:v>
      </x:c>
      <x:c r="E279" s="12" t="n">
        <x:f>'180项对比'!G179</x:f>
        <x:v>0</x:v>
      </x:c>
      <x:c r="F279" s="12" t="n">
        <x:f>'180项对比'!G180</x:f>
        <x:v>1.6599014824596786e-16</x:v>
      </x:c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 t="str">
        <x:v>12步</x:v>
      </x:c>
      <x:c r="B280" s="12" t="n">
        <x:f>'180项对比'!G181</x:f>
        <x:v>0</x:v>
      </x:c>
      <x:c r="C280" s="12" t="n">
        <x:f>'180项对比'!G182</x:f>
        <x:v>-1.581581598971858e-16</x:v>
      </x:c>
      <x:c r="D280" s="12" t="n">
        <x:f>'180项对比'!G183</x:f>
        <x:v>0</x:v>
      </x:c>
      <x:c r="E280" s="12" t="n">
        <x:f>'180项对比'!G184</x:f>
        <x:v>0</x:v>
      </x:c>
      <x:c r="F280" s="12" t="n">
        <x:f>'180项对比'!G185</x:f>
        <x:v>0</x:v>
      </x:c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 t="str">
        <x:v>红色负值 = 测试集MSE增加。</x:v>
      </x:c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 t="str">
        <x:v>持平主要来自验证alpha=0的回退。</x:v>
      </x:c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</x:row>
  </x:sheetData>
  <x:conditionalFormatting sqref="F7:F12">
    <x:cfRule type="colorScale" priority="1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I7:J11">
    <x:cfRule type="colorScale" priority="2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29:F32">
    <x:cfRule type="colorScale" priority="3">
      <x:colorScale>
        <x:cfvo type="num" val="0.16785088749539434"/>
        <x:cfvo type="num" val="1.8061693774026186"/>
        <x:cfvo type="num" val="3.444487867309843"/>
        <x:color rgb="FFD2EAD9"/>
        <x:color rgb="FFF3EAC9"/>
        <x:color rgb="FFF0C8C5"/>
      </x:colorScale>
    </x:cfRule>
  </x:conditionalFormatting>
  <x:conditionalFormatting sqref="I29:M32">
    <x:cfRule type="colorScale" priority="4">
      <x:colorScale>
        <x:cfvo type="num" val="0.16785088749539434"/>
        <x:cfvo type="num" val="1.8061693774026186"/>
        <x:cfvo type="num" val="3.444487867309843"/>
        <x:color rgb="FFD2EAD9"/>
        <x:color rgb="FFF3EAC9"/>
        <x:color rgb="FFF0C8C5"/>
      </x:colorScale>
    </x:cfRule>
  </x:conditionalFormatting>
  <x:conditionalFormatting sqref="B37:F40">
    <x:cfRule type="colorScale" priority="5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59:F62">
    <x:cfRule type="colorScale" priority="6">
      <x:colorScale>
        <x:cfvo type="num" val="1.0572414052259043"/>
        <x:cfvo type="num" val="1.1887634921453882"/>
        <x:cfvo type="num" val="1.3202855790648724"/>
        <x:color rgb="FFD2EAD9"/>
        <x:color rgb="FFF3EAC9"/>
        <x:color rgb="FFF0C8C5"/>
      </x:colorScale>
    </x:cfRule>
  </x:conditionalFormatting>
  <x:conditionalFormatting sqref="I59:M62">
    <x:cfRule type="colorScale" priority="7">
      <x:colorScale>
        <x:cfvo type="num" val="1.0572414052259043"/>
        <x:cfvo type="num" val="1.1887634921453882"/>
        <x:cfvo type="num" val="1.3202855790648724"/>
        <x:color rgb="FFD2EAD9"/>
        <x:color rgb="FFF3EAC9"/>
        <x:color rgb="FFF0C8C5"/>
      </x:colorScale>
    </x:cfRule>
  </x:conditionalFormatting>
  <x:conditionalFormatting sqref="B67:F70">
    <x:cfRule type="colorScale" priority="8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89:F92">
    <x:cfRule type="colorScale" priority="9">
      <x:colorScale>
        <x:cfvo type="num" val="0.15398558090161274"/>
        <x:cfvo type="num" val="0.571997631865107"/>
        <x:cfvo type="num" val="0.9900096828286012"/>
        <x:color rgb="FFD2EAD9"/>
        <x:color rgb="FFF3EAC9"/>
        <x:color rgb="FFF0C8C5"/>
      </x:colorScale>
    </x:cfRule>
  </x:conditionalFormatting>
  <x:conditionalFormatting sqref="I89:M92">
    <x:cfRule type="colorScale" priority="10">
      <x:colorScale>
        <x:cfvo type="num" val="0.15398558090161274"/>
        <x:cfvo type="num" val="0.571997631865107"/>
        <x:cfvo type="num" val="0.9900096828286012"/>
        <x:color rgb="FFD2EAD9"/>
        <x:color rgb="FFF3EAC9"/>
        <x:color rgb="FFF0C8C5"/>
      </x:colorScale>
    </x:cfRule>
  </x:conditionalFormatting>
  <x:conditionalFormatting sqref="B97:F100">
    <x:cfRule type="colorScale" priority="11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119:F122">
    <x:cfRule type="colorScale" priority="12">
      <x:colorScale>
        <x:cfvo type="num" val="0.09577729990129709"/>
        <x:cfvo type="num" val="0.2833815691811859"/>
        <x:cfvo type="num" val="0.4709858384610747"/>
        <x:color rgb="FFD2EAD9"/>
        <x:color rgb="FFF3EAC9"/>
        <x:color rgb="FFF0C8C5"/>
      </x:colorScale>
    </x:cfRule>
  </x:conditionalFormatting>
  <x:conditionalFormatting sqref="I119:M122">
    <x:cfRule type="colorScale" priority="13">
      <x:colorScale>
        <x:cfvo type="num" val="0.09577729990129709"/>
        <x:cfvo type="num" val="0.2833815691811859"/>
        <x:cfvo type="num" val="0.4709858384610747"/>
        <x:color rgb="FFD2EAD9"/>
        <x:color rgb="FFF3EAC9"/>
        <x:color rgb="FFF0C8C5"/>
      </x:colorScale>
    </x:cfRule>
  </x:conditionalFormatting>
  <x:conditionalFormatting sqref="B127:F130">
    <x:cfRule type="colorScale" priority="14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149:F152">
    <x:cfRule type="colorScale" priority="15">
      <x:colorScale>
        <x:cfvo type="num" val="0.2676948192214623"/>
        <x:cfvo type="num" val="0.3524021076796491"/>
        <x:cfvo type="num" val="0.4371093961378358"/>
        <x:color rgb="FFD2EAD9"/>
        <x:color rgb="FFF3EAC9"/>
        <x:color rgb="FFF0C8C5"/>
      </x:colorScale>
    </x:cfRule>
  </x:conditionalFormatting>
  <x:conditionalFormatting sqref="I149:M152">
    <x:cfRule type="colorScale" priority="16">
      <x:colorScale>
        <x:cfvo type="num" val="0.2676948192214623"/>
        <x:cfvo type="num" val="0.3524021076796491"/>
        <x:cfvo type="num" val="0.4371093961378358"/>
        <x:color rgb="FFD2EAD9"/>
        <x:color rgb="FFF3EAC9"/>
        <x:color rgb="FFF0C8C5"/>
      </x:colorScale>
    </x:cfRule>
  </x:conditionalFormatting>
  <x:conditionalFormatting sqref="B157:F160">
    <x:cfRule type="colorScale" priority="17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179:F182">
    <x:cfRule type="colorScale" priority="18">
      <x:colorScale>
        <x:cfvo type="num" val="1.056841375269993"/>
        <x:cfvo type="num" val="2.3688256189448413"/>
        <x:cfvo type="num" val="3.68080986261969"/>
        <x:color rgb="FFD2EAD9"/>
        <x:color rgb="FFF3EAC9"/>
        <x:color rgb="FFF0C8C5"/>
      </x:colorScale>
    </x:cfRule>
  </x:conditionalFormatting>
  <x:conditionalFormatting sqref="I179:M182">
    <x:cfRule type="colorScale" priority="19">
      <x:colorScale>
        <x:cfvo type="num" val="1.056841375269993"/>
        <x:cfvo type="num" val="2.3688256189448413"/>
        <x:cfvo type="num" val="3.68080986261969"/>
        <x:color rgb="FFD2EAD9"/>
        <x:color rgb="FFF3EAC9"/>
        <x:color rgb="FFF0C8C5"/>
      </x:colorScale>
    </x:cfRule>
  </x:conditionalFormatting>
  <x:conditionalFormatting sqref="B187:F190">
    <x:cfRule type="colorScale" priority="20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209:F212">
    <x:cfRule type="colorScale" priority="21">
      <x:colorScale>
        <x:cfvo type="num" val="67.14183396997961"/>
        <x:cfvo type="num" val="84.18397553629266"/>
        <x:cfvo type="num" val="101.22611710260571"/>
        <x:color rgb="FFD2EAD9"/>
        <x:color rgb="FFF3EAC9"/>
        <x:color rgb="FFF0C8C5"/>
      </x:colorScale>
    </x:cfRule>
  </x:conditionalFormatting>
  <x:conditionalFormatting sqref="I209:M212">
    <x:cfRule type="colorScale" priority="22">
      <x:colorScale>
        <x:cfvo type="num" val="67.14183396997961"/>
        <x:cfvo type="num" val="84.18397553629266"/>
        <x:cfvo type="num" val="101.22611710260571"/>
        <x:color rgb="FFD2EAD9"/>
        <x:color rgb="FFF3EAC9"/>
        <x:color rgb="FFF0C8C5"/>
      </x:colorScale>
    </x:cfRule>
  </x:conditionalFormatting>
  <x:conditionalFormatting sqref="B217:F220">
    <x:cfRule type="colorScale" priority="23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239:F242">
    <x:cfRule type="colorScale" priority="24">
      <x:colorScale>
        <x:cfvo type="num" val="0.7169099234673274"/>
        <x:cfvo type="num" val="1.296198406629957"/>
        <x:cfvo type="num" val="1.8754868897925865"/>
        <x:color rgb="FFD2EAD9"/>
        <x:color rgb="FFF3EAC9"/>
        <x:color rgb="FFF0C8C5"/>
      </x:colorScale>
    </x:cfRule>
  </x:conditionalFormatting>
  <x:conditionalFormatting sqref="I239:M242">
    <x:cfRule type="colorScale" priority="25">
      <x:colorScale>
        <x:cfvo type="num" val="0.7169099234673274"/>
        <x:cfvo type="num" val="1.296198406629957"/>
        <x:cfvo type="num" val="1.8754868897925865"/>
        <x:color rgb="FFD2EAD9"/>
        <x:color rgb="FFF3EAC9"/>
        <x:color rgb="FFF0C8C5"/>
      </x:colorScale>
    </x:cfRule>
  </x:conditionalFormatting>
  <x:conditionalFormatting sqref="B247:F250">
    <x:cfRule type="colorScale" priority="26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B269:F272">
    <x:cfRule type="colorScale" priority="27">
      <x:colorScale>
        <x:cfvo type="num" val="0.15184177843025573"/>
        <x:cfvo type="num" val="0.19953783421988847"/>
        <x:cfvo type="num" val="0.24723389000952123"/>
        <x:color rgb="FFD2EAD9"/>
        <x:color rgb="FFF3EAC9"/>
        <x:color rgb="FFF0C8C5"/>
      </x:colorScale>
    </x:cfRule>
  </x:conditionalFormatting>
  <x:conditionalFormatting sqref="I269:M272">
    <x:cfRule type="colorScale" priority="28">
      <x:colorScale>
        <x:cfvo type="num" val="0.15184177843025573"/>
        <x:cfvo type="num" val="0.19953783421988847"/>
        <x:cfvo type="num" val="0.24723389000952123"/>
        <x:color rgb="FFD2EAD9"/>
        <x:color rgb="FFF3EAC9"/>
        <x:color rgb="FFF0C8C5"/>
      </x:colorScale>
    </x:cfRule>
  </x:conditionalFormatting>
  <x:conditionalFormatting sqref="B277:F280">
    <x:cfRule type="colorScale" priority="29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pageMargins left="0.7" right="0.7" top="0.75" bottom="0.75" header="0.3" footer="0.3"/>
  <x:drawing xmlns:r="http://schemas.openxmlformats.org/officeDocument/2006/relationships" r:id="Rbc34caca107146c6"/>
</x:worksheet>
</file>

<file path=xl/worksheets/sheet2.xml><?xml version="1.0" encoding="utf-8"?>
<x:worksheet xmlns:x="http://schemas.openxmlformats.org/spreadsheetml/2006/main">
  <x:sheetPr>
    <x:tabColor rgb="FF859BAE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8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1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180 项 MSE 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 t="str">
        <x:v>改善率 =（原版MSE − V1三种子平均MSE）/ 原版MSE；正值改善，负值退化。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直接插件为未经过验证alpha回退的输出；三种子平均为指标平均，非预测集成。状态阈值为 ±0.00001%。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7" t="str">
        <x:v>领域</x:v>
      </x:c>
      <x:c r="B5" s="8" t="str">
        <x:v>步长</x:v>
      </x:c>
      <x:c r="C5" s="8" t="str">
        <x:v>模型</x:v>
      </x:c>
      <x:c r="D5" s="8" t="str">
        <x:v>原版MSE</x:v>
      </x:c>
      <x:c r="E5" s="8" t="str">
        <x:v>V1平均MSE</x:v>
      </x:c>
      <x:c r="F5" s="8" t="str">
        <x:v>V1种子标准差</x:v>
      </x:c>
      <x:c r="G5" s="8" t="str">
        <x:v>MSE改善率</x:v>
      </x:c>
      <x:c r="H5" s="8" t="str">
        <x:v>直接插件MSE</x:v>
      </x:c>
      <x:c r="I5" s="8" t="str">
        <x:v>直接插件改善率</x:v>
      </x:c>
      <x:c r="J5" s="8" t="str">
        <x:v>有效插件种子数</x:v>
      </x:c>
      <x:c r="K5" s="8" t="str">
        <x:v>MSE状态</x:v>
      </x:c>
      <x:c r="L5" s="9" t="str">
        <x:v>验证选用alpha均值</x:v>
      </x:c>
    </x:row>
    <x:row r="6" ht="23" customHeight="1">
      <x:c r="A6" s="2" t="str">
        <x:v>Agriculture</x:v>
      </x:c>
      <x:c r="B6" s="2" t="n">
        <x:v>6</x:v>
      </x:c>
      <x:c r="C6" s="2" t="str">
        <x:v>TaTS</x:v>
      </x:c>
      <x:c r="D6" s="10" t="n">
        <x:f>'540条种子'!E6</x:f>
        <x:v>0.49579507604065326</x:v>
      </x:c>
      <x:c r="E6" s="10" t="n">
        <x:f>AVERAGE('540条种子'!G6:G8)</x:f>
        <x:v>0.4014099573914715</x:v>
      </x:c>
      <x:c r="F6" s="10" t="n">
        <x:f>STDEV.S('540条种子'!G6:G8)</x:f>
        <x:v>0.0024008868843883773</x:v>
      </x:c>
      <x:c r="G6" s="12" t="n">
        <x:f>(D6-E6)/D6</x:f>
        <x:v>0.19037123039407222</x:v>
      </x:c>
      <x:c r="H6" s="10" t="n">
        <x:f>AVERAGE('540条种子'!F6:F8)</x:f>
        <x:v>0.4014099573914715</x:v>
      </x:c>
      <x:c r="I6" s="12" t="n">
        <x:f>(D6-H6)/D6</x:f>
        <x:v>0.19037123039407222</x:v>
      </x:c>
      <x:c r="J6" s="2" t="n">
        <x:f>COUNTIFS('540条种子'!H6:H8,"&gt;0",'540条种子'!I6:I8,"&gt;0")</x:f>
        <x:v>3</x:v>
      </x:c>
      <x:c r="K6" s="2" t="str">
        <x:f>IF(G6&gt;0.0000001,"改善",IF(G6&lt;-0.0000001,"退化","持平"))</x:f>
        <x:v>改善</x:v>
      </x:c>
      <x:c r="L6" s="11" t="n">
        <x:f>AVERAGE('540条种子'!H6:H8)</x:f>
        <x:v>1</x:v>
      </x:c>
    </x:row>
    <x:row r="7" ht="23" customHeight="1">
      <x:c r="A7" s="2" t="str">
        <x:v>Agriculture</x:v>
      </x:c>
      <x:c r="B7" s="2" t="n">
        <x:v>6</x:v>
      </x:c>
      <x:c r="C7" s="2" t="str">
        <x:v>MM-TSFlib</x:v>
      </x:c>
      <x:c r="D7" s="10" t="n">
        <x:f>'540条种子'!E9</x:f>
        <x:v>3.0201228416151027</x:v>
      </x:c>
      <x:c r="E7" s="10" t="n">
        <x:f>AVERAGE('540条种子'!G9:G11)</x:f>
        <x:v>2.352992130939326</x:v>
      </x:c>
      <x:c r="F7" s="10" t="n">
        <x:f>STDEV.S('540条种子'!G9:G11)</x:f>
        <x:v>0.005466591557002553</x:v>
      </x:c>
      <x:c r="G7" s="12" t="n">
        <x:f>(D7-E7)/D7</x:f>
        <x:v>0.22089522369196354</x:v>
      </x:c>
      <x:c r="H7" s="10" t="n">
        <x:f>AVERAGE('540条种子'!F9:F11)</x:f>
        <x:v>2.352992130939326</x:v>
      </x:c>
      <x:c r="I7" s="12" t="n">
        <x:f>(D7-H7)/D7</x:f>
        <x:v>0.22089522369196354</x:v>
      </x:c>
      <x:c r="J7" s="2" t="n">
        <x:f>COUNTIFS('540条种子'!H9:H11,"&gt;0",'540条种子'!I9:I11,"&gt;0")</x:f>
        <x:v>3</x:v>
      </x:c>
      <x:c r="K7" s="2" t="str">
        <x:f>IF(G7&gt;0.0000001,"改善",IF(G7&lt;-0.0000001,"退化","持平"))</x:f>
        <x:v>改善</x:v>
      </x:c>
      <x:c r="L7" s="11" t="n">
        <x:f>AVERAGE('540条种子'!H9:H11)</x:f>
        <x:v>1</x:v>
      </x:c>
    </x:row>
    <x:row r="8" ht="23" customHeight="1">
      <x:c r="A8" s="2" t="str">
        <x:v>Agriculture</x:v>
      </x:c>
      <x:c r="B8" s="2" t="n">
        <x:v>6</x:v>
      </x:c>
      <x:c r="C8" s="2" t="str">
        <x:v>SpecTF</x:v>
      </x:c>
      <x:c r="D8" s="10" t="n">
        <x:f>'540条种子'!E12</x:f>
        <x:v>0.2098411645526121</x:v>
      </x:c>
      <x:c r="E8" s="10" t="n">
        <x:f>AVERAGE('540条种子'!G12:G14)</x:f>
        <x:v>0.19651180213955355</x:v>
      </x:c>
      <x:c r="F8" s="10" t="n">
        <x:f>STDEV.S('540条种子'!G12:G14)</x:f>
        <x:v>0.0013933143249008253</x:v>
      </x:c>
      <x:c r="G8" s="12" t="n">
        <x:f>(D8-E8)/D8</x:f>
        <x:v>0.06352119919595929</x:v>
      </x:c>
      <x:c r="H8" s="10" t="n">
        <x:f>AVERAGE('540条种子'!F12:F14)</x:f>
        <x:v>0.18293691916150134</x:v>
      </x:c>
      <x:c r="I8" s="12" t="n">
        <x:f>(D8-H8)/D8</x:f>
        <x:v>0.12821242890293447</x:v>
      </x:c>
      <x:c r="J8" s="2" t="n">
        <x:f>COUNTIFS('540条种子'!H12:H14,"&gt;0",'540条种子'!I12:I14,"&gt;0")</x:f>
        <x:v>3</x:v>
      </x:c>
      <x:c r="K8" s="2" t="str">
        <x:f>IF(G8&gt;0.0000001,"改善",IF(G8&lt;-0.0000001,"退化","持平"))</x:f>
        <x:v>改善</x:v>
      </x:c>
      <x:c r="L8" s="11" t="n">
        <x:f>AVERAGE('540条种子'!H12:H14)</x:f>
        <x:v>0.25</x:v>
      </x:c>
    </x:row>
    <x:row r="9" ht="23" customHeight="1">
      <x:c r="A9" s="2" t="str">
        <x:v>Agriculture</x:v>
      </x:c>
      <x:c r="B9" s="2" t="n">
        <x:v>6</x:v>
      </x:c>
      <x:c r="C9" s="2" t="str">
        <x:v>CFA</x:v>
      </x:c>
      <x:c r="D9" s="10" t="n">
        <x:f>'540条种子'!E15</x:f>
        <x:v>0.16785088749539434</x:v>
      </x:c>
      <x:c r="E9" s="10" t="n">
        <x:f>AVERAGE('540条种子'!G15:G17)</x:f>
        <x:v>0.16785088749539434</x:v>
      </x:c>
      <x:c r="F9" s="10" t="n">
        <x:f>STDEV.S('540条种子'!G15:G17)</x:f>
        <x:v>0</x:v>
      </x:c>
      <x:c r="G9" s="12" t="n">
        <x:f>(D9-E9)/D9</x:f>
        <x:v>0</x:v>
      </x:c>
      <x:c r="H9" s="10" t="n">
        <x:f>AVERAGE('540条种子'!F15:F17)</x:f>
        <x:v>0.1863464057692721</x:v>
      </x:c>
      <x:c r="I9" s="12" t="n">
        <x:f>(D9-H9)/D9</x:f>
        <x:v>-0.11019017265777202</x:v>
      </x:c>
      <x:c r="J9" s="2" t="n">
        <x:f>COUNTIFS('540条种子'!H15:H17,"&gt;0",'540条种子'!I15:I17,"&gt;0")</x:f>
        <x:v>0</x:v>
      </x:c>
      <x:c r="K9" s="2" t="str">
        <x:f>IF(G9&gt;0.0000001,"改善",IF(G9&lt;-0.0000001,"退化","持平"))</x:f>
        <x:v>持平</x:v>
      </x:c>
      <x:c r="L9" s="11" t="n">
        <x:f>AVERAGE('540条种子'!H15:H17)</x:f>
        <x:v>0</x:v>
      </x:c>
    </x:row>
    <x:row r="10" ht="23" customHeight="1">
      <x:c r="A10" s="2" t="str">
        <x:v>Agriculture</x:v>
      </x:c>
      <x:c r="B10" s="2" t="n">
        <x:v>6</x:v>
      </x:c>
      <x:c r="C10" s="2" t="str">
        <x:v>Aurora</x:v>
      </x:c>
      <x:c r="D10" s="10" t="n">
        <x:f>'540条种子'!E18</x:f>
        <x:v>0.9220825499208489</x:v>
      </x:c>
      <x:c r="E10" s="10" t="n">
        <x:f>AVERAGE('540条种子'!G18:G20)</x:f>
        <x:v>0.6160356474338037</x:v>
      </x:c>
      <x:c r="F10" s="10" t="n">
        <x:f>STDEV.S('540条种子'!G18:G20)</x:f>
        <x:v>0.00206655053441503</x:v>
      </x:c>
      <x:c r="G10" s="12" t="n">
        <x:f>(D10-E10)/D10</x:f>
        <x:v>0.33190835518285877</x:v>
      </x:c>
      <x:c r="H10" s="10" t="n">
        <x:f>AVERAGE('540条种子'!F18:F20)</x:f>
        <x:v>0.6160356474338037</x:v>
      </x:c>
      <x:c r="I10" s="12" t="n">
        <x:f>(D10-H10)/D10</x:f>
        <x:v>0.33190835518285877</x:v>
      </x:c>
      <x:c r="J10" s="2" t="n">
        <x:f>COUNTIFS('540条种子'!H18:H20,"&gt;0",'540条种子'!I18:I20,"&gt;0")</x:f>
        <x:v>3</x:v>
      </x:c>
      <x:c r="K10" s="2" t="str">
        <x:f>IF(G10&gt;0.0000001,"改善",IF(G10&lt;-0.0000001,"退化","持平"))</x:f>
        <x:v>改善</x:v>
      </x:c>
      <x:c r="L10" s="11" t="n">
        <x:f>AVERAGE('540条种子'!H18:H20)</x:f>
        <x:v>1</x:v>
      </x:c>
    </x:row>
    <x:row r="11" ht="23" customHeight="1">
      <x:c r="A11" s="2" t="str">
        <x:v>Agriculture</x:v>
      </x:c>
      <x:c r="B11" s="2" t="n">
        <x:v>8</x:v>
      </x:c>
      <x:c r="C11" s="2" t="str">
        <x:v>TaTS</x:v>
      </x:c>
      <x:c r="D11" s="10" t="n">
        <x:f>'540条种子'!E21</x:f>
        <x:v>0.4841925676786266</x:v>
      </x:c>
      <x:c r="E11" s="10" t="n">
        <x:f>AVERAGE('540条种子'!G21:G23)</x:f>
        <x:v>0.44542332624822273</x:v>
      </x:c>
      <x:c r="F11" s="10" t="n">
        <x:f>STDEV.S('540条种子'!G21:G23)</x:f>
        <x:v>0.002844132098787155</x:v>
      </x:c>
      <x:c r="G11" s="12" t="n">
        <x:f>(D11-E11)/D11</x:f>
        <x:v>0.08006988132072324</x:v>
      </x:c>
      <x:c r="H11" s="10" t="n">
        <x:f>AVERAGE('540条种子'!F21:F23)</x:f>
        <x:v>0.44542332624822273</x:v>
      </x:c>
      <x:c r="I11" s="12" t="n">
        <x:f>(D11-H11)/D11</x:f>
        <x:v>0.08006988132072324</x:v>
      </x:c>
      <x:c r="J11" s="2" t="n">
        <x:f>COUNTIFS('540条种子'!H21:H23,"&gt;0",'540条种子'!I21:I23,"&gt;0")</x:f>
        <x:v>3</x:v>
      </x:c>
      <x:c r="K11" s="2" t="str">
        <x:f>IF(G11&gt;0.0000001,"改善",IF(G11&lt;-0.0000001,"退化","持平"))</x:f>
        <x:v>改善</x:v>
      </x:c>
      <x:c r="L11" s="11" t="n">
        <x:f>AVERAGE('540条种子'!H21:H23)</x:f>
        <x:v>1</x:v>
      </x:c>
    </x:row>
    <x:row r="12" ht="23" customHeight="1">
      <x:c r="A12" s="2" t="str">
        <x:v>Agriculture</x:v>
      </x:c>
      <x:c r="B12" s="2" t="n">
        <x:v>8</x:v>
      </x:c>
      <x:c r="C12" s="2" t="str">
        <x:v>MM-TSFlib</x:v>
      </x:c>
      <x:c r="D12" s="10" t="n">
        <x:f>'540条种子'!E24</x:f>
        <x:v>3.1082829187258283</x:v>
      </x:c>
      <x:c r="E12" s="10" t="n">
        <x:f>AVERAGE('540条种子'!G24:G26)</x:f>
        <x:v>2.438409532022639</x:v>
      </x:c>
      <x:c r="F12" s="10" t="n">
        <x:f>STDEV.S('540条种子'!G24:G26)</x:f>
        <x:v>0.0010674888940163099</x:v>
      </x:c>
      <x:c r="G12" s="12" t="n">
        <x:f>(D12-E12)/D12</x:f>
        <x:v>0.21551235978795302</x:v>
      </x:c>
      <x:c r="H12" s="10" t="n">
        <x:f>AVERAGE('540条种子'!F24:F26)</x:f>
        <x:v>2.438409532022639</x:v>
      </x:c>
      <x:c r="I12" s="12" t="n">
        <x:f>(D12-H12)/D12</x:f>
        <x:v>0.21551235978795302</x:v>
      </x:c>
      <x:c r="J12" s="2" t="n">
        <x:f>COUNTIFS('540条种子'!H24:H26,"&gt;0",'540条种子'!I24:I26,"&gt;0")</x:f>
        <x:v>3</x:v>
      </x:c>
      <x:c r="K12" s="2" t="str">
        <x:f>IF(G12&gt;0.0000001,"改善",IF(G12&lt;-0.0000001,"退化","持平"))</x:f>
        <x:v>改善</x:v>
      </x:c>
      <x:c r="L12" s="11" t="n">
        <x:f>AVERAGE('540条种子'!H24:H26)</x:f>
        <x:v>1</x:v>
      </x:c>
    </x:row>
    <x:row r="13" ht="23" customHeight="1">
      <x:c r="A13" s="2" t="str">
        <x:v>Agriculture</x:v>
      </x:c>
      <x:c r="B13" s="2" t="n">
        <x:v>8</x:v>
      </x:c>
      <x:c r="C13" s="2" t="str">
        <x:v>SpecTF</x:v>
      </x:c>
      <x:c r="D13" s="10" t="n">
        <x:f>'540条种子'!E27</x:f>
        <x:v>0.285905947009229</x:v>
      </x:c>
      <x:c r="E13" s="10" t="n">
        <x:f>AVERAGE('540条种子'!G27:G29)</x:f>
        <x:v>0.285905947009229</x:v>
      </x:c>
      <x:c r="F13" s="10" t="n">
        <x:f>STDEV.S('540条种子'!G27:G29)</x:f>
        <x:v>0</x:v>
      </x:c>
      <x:c r="G13" s="12" t="n">
        <x:f>(D13-E13)/D13</x:f>
        <x:v>0</x:v>
      </x:c>
      <x:c r="H13" s="10" t="n">
        <x:f>AVERAGE('540条种子'!F27:F29)</x:f>
        <x:v>0.2536125212041531</x:v>
      </x:c>
      <x:c r="I13" s="12" t="n">
        <x:f>(D13-H13)/D13</x:f>
        <x:v>0.11295122099727942</x:v>
      </x:c>
      <x:c r="J13" s="2" t="n">
        <x:f>COUNTIFS('540条种子'!H27:H29,"&gt;0",'540条种子'!I27:I29,"&gt;0")</x:f>
        <x:v>0</x:v>
      </x:c>
      <x:c r="K13" s="2" t="str">
        <x:f>IF(G13&gt;0.0000001,"改善",IF(G13&lt;-0.0000001,"退化","持平"))</x:f>
        <x:v>持平</x:v>
      </x:c>
      <x:c r="L13" s="11" t="n">
        <x:f>AVERAGE('540条种子'!H27:H29)</x:f>
        <x:v>0</x:v>
      </x:c>
    </x:row>
    <x:row r="14" ht="23" customHeight="1">
      <x:c r="A14" s="2" t="str">
        <x:v>Agriculture</x:v>
      </x:c>
      <x:c r="B14" s="2" t="n">
        <x:v>8</x:v>
      </x:c>
      <x:c r="C14" s="2" t="str">
        <x:v>CFA</x:v>
      </x:c>
      <x:c r="D14" s="10" t="n">
        <x:f>'540条种子'!E30</x:f>
        <x:v>0.2135153200313922</x:v>
      </x:c>
      <x:c r="E14" s="10" t="n">
        <x:f>AVERAGE('540条种子'!G30:G32)</x:f>
        <x:v>0.2135153200313922</x:v>
      </x:c>
      <x:c r="F14" s="10" t="n">
        <x:f>STDEV.S('540条种子'!G30:G32)</x:f>
        <x:v>0</x:v>
      </x:c>
      <x:c r="G14" s="12" t="n">
        <x:f>(D14-E14)/D14</x:f>
        <x:v>0</x:v>
      </x:c>
      <x:c r="H14" s="10" t="n">
        <x:f>AVERAGE('540条种子'!F30:F32)</x:f>
        <x:v>0.21883080023458987</x:v>
      </x:c>
      <x:c r="I14" s="12" t="n">
        <x:f>(D14-H14)/D14</x:f>
        <x:v>-0.024895076392720452</x:v>
      </x:c>
      <x:c r="J14" s="2" t="n">
        <x:f>COUNTIFS('540条种子'!H30:H32,"&gt;0",'540条种子'!I30:I32,"&gt;0")</x:f>
        <x:v>0</x:v>
      </x:c>
      <x:c r="K14" s="2" t="str">
        <x:f>IF(G14&gt;0.0000001,"改善",IF(G14&lt;-0.0000001,"退化","持平"))</x:f>
        <x:v>持平</x:v>
      </x:c>
      <x:c r="L14" s="11" t="n">
        <x:f>AVERAGE('540条种子'!H30:H32)</x:f>
        <x:v>0</x:v>
      </x:c>
    </x:row>
    <x:row r="15" ht="23" customHeight="1">
      <x:c r="A15" s="2" t="str">
        <x:v>Agriculture</x:v>
      </x:c>
      <x:c r="B15" s="2" t="n">
        <x:v>8</x:v>
      </x:c>
      <x:c r="C15" s="2" t="str">
        <x:v>Aurora</x:v>
      </x:c>
      <x:c r="D15" s="10" t="n">
        <x:f>'540条种子'!E33</x:f>
        <x:v>1.000703602706396</x:v>
      </x:c>
      <x:c r="E15" s="10" t="n">
        <x:f>AVERAGE('540条种子'!G33:G35)</x:f>
        <x:v>0.6853185893626463</x:v>
      </x:c>
      <x:c r="F15" s="10" t="n">
        <x:f>STDEV.S('540条种子'!G33:G35)</x:f>
        <x:v>0.0010042129732207568</x:v>
      </x:c>
      <x:c r="G15" s="12" t="n">
        <x:f>(D15-E15)/D15</x:f>
        <x:v>0.3151632636185111</x:v>
      </x:c>
      <x:c r="H15" s="10" t="n">
        <x:f>AVERAGE('540条种子'!F33:F35)</x:f>
        <x:v>0.6853185893626463</x:v>
      </x:c>
      <x:c r="I15" s="12" t="n">
        <x:f>(D15-H15)/D15</x:f>
        <x:v>0.3151632636185111</x:v>
      </x:c>
      <x:c r="J15" s="2" t="n">
        <x:f>COUNTIFS('540条种子'!H33:H35,"&gt;0",'540条种子'!I33:I35,"&gt;0")</x:f>
        <x:v>3</x:v>
      </x:c>
      <x:c r="K15" s="2" t="str">
        <x:f>IF(G15&gt;0.0000001,"改善",IF(G15&lt;-0.0000001,"退化","持平"))</x:f>
        <x:v>改善</x:v>
      </x:c>
      <x:c r="L15" s="11" t="n">
        <x:f>AVERAGE('540条种子'!H33:H35)</x:f>
        <x:v>1</x:v>
      </x:c>
    </x:row>
    <x:row r="16" ht="23" customHeight="1">
      <x:c r="A16" s="2" t="str">
        <x:v>Agriculture</x:v>
      </x:c>
      <x:c r="B16" s="2" t="n">
        <x:v>10</x:v>
      </x:c>
      <x:c r="C16" s="2" t="str">
        <x:v>TaTS</x:v>
      </x:c>
      <x:c r="D16" s="10" t="n">
        <x:f>'540条种子'!E36</x:f>
        <x:v>0.6602757535858196</x:v>
      </x:c>
      <x:c r="E16" s="10" t="n">
        <x:f>AVERAGE('540条种子'!G36:G38)</x:f>
        <x:v>0.5686815968912184</x:v>
      </x:c>
      <x:c r="F16" s="10" t="n">
        <x:f>STDEV.S('540条种子'!G36:G38)</x:f>
        <x:v>0.0028409512747111154</x:v>
      </x:c>
      <x:c r="G16" s="12" t="n">
        <x:f>(D16-E16)/D16</x:f>
        <x:v>0.1387210664592368</x:v>
      </x:c>
      <x:c r="H16" s="10" t="n">
        <x:f>AVERAGE('540条种子'!F36:F38)</x:f>
        <x:v>0.5686815968912184</x:v>
      </x:c>
      <x:c r="I16" s="12" t="n">
        <x:f>(D16-H16)/D16</x:f>
        <x:v>0.1387210664592368</x:v>
      </x:c>
      <x:c r="J16" s="2" t="n">
        <x:f>COUNTIFS('540条种子'!H36:H38,"&gt;0",'540条种子'!I36:I38,"&gt;0")</x:f>
        <x:v>3</x:v>
      </x:c>
      <x:c r="K16" s="2" t="str">
        <x:f>IF(G16&gt;0.0000001,"改善",IF(G16&lt;-0.0000001,"退化","持平"))</x:f>
        <x:v>改善</x:v>
      </x:c>
      <x:c r="L16" s="11" t="n">
        <x:f>AVERAGE('540条种子'!H36:H38)</x:f>
        <x:v>1</x:v>
      </x:c>
    </x:row>
    <x:row r="17" ht="23" customHeight="1">
      <x:c r="A17" s="2" t="str">
        <x:v>Agriculture</x:v>
      </x:c>
      <x:c r="B17" s="2" t="n">
        <x:v>10</x:v>
      </x:c>
      <x:c r="C17" s="2" t="str">
        <x:v>MM-TSFlib</x:v>
      </x:c>
      <x:c r="D17" s="10" t="n">
        <x:f>'540条种子'!E39</x:f>
        <x:v>3.1341403583348333</x:v>
      </x:c>
      <x:c r="E17" s="10" t="n">
        <x:f>AVERAGE('540条种子'!G39:G41)</x:f>
        <x:v>2.471275613394934</x:v>
      </x:c>
      <x:c r="F17" s="10" t="n">
        <x:f>STDEV.S('540条种子'!G39:G41)</x:f>
        <x:v>0.0016016412351206708</x:v>
      </x:c>
      <x:c r="G17" s="12" t="n">
        <x:f>(D17-E17)/D17</x:f>
        <x:v>0.21149810447292125</x:v>
      </x:c>
      <x:c r="H17" s="10" t="n">
        <x:f>AVERAGE('540条种子'!F39:F41)</x:f>
        <x:v>2.471275613394934</x:v>
      </x:c>
      <x:c r="I17" s="12" t="n">
        <x:f>(D17-H17)/D17</x:f>
        <x:v>0.21149810447292125</x:v>
      </x:c>
      <x:c r="J17" s="2" t="n">
        <x:f>COUNTIFS('540条种子'!H39:H41,"&gt;0",'540条种子'!I39:I41,"&gt;0")</x:f>
        <x:v>3</x:v>
      </x:c>
      <x:c r="K17" s="2" t="str">
        <x:f>IF(G17&gt;0.0000001,"改善",IF(G17&lt;-0.0000001,"退化","持平"))</x:f>
        <x:v>改善</x:v>
      </x:c>
      <x:c r="L17" s="11" t="n">
        <x:f>AVERAGE('540条种子'!H39:H41)</x:f>
        <x:v>1</x:v>
      </x:c>
    </x:row>
    <x:row r="18" ht="23" customHeight="1">
      <x:c r="A18" s="2" t="str">
        <x:v>Agriculture</x:v>
      </x:c>
      <x:c r="B18" s="2" t="n">
        <x:v>10</x:v>
      </x:c>
      <x:c r="C18" s="2" t="str">
        <x:v>SpecTF</x:v>
      </x:c>
      <x:c r="D18" s="10" t="n">
        <x:f>'540条种子'!E42</x:f>
        <x:v>0.3745156939748262</x:v>
      </x:c>
      <x:c r="E18" s="10" t="n">
        <x:f>AVERAGE('540条种子'!G42:G44)</x:f>
        <x:v>0.3581095384883252</x:v>
      </x:c>
      <x:c r="F18" s="10" t="n">
        <x:f>STDEV.S('540条种子'!G42:G44)</x:f>
        <x:v>0.0013542650702246426</x:v>
      </x:c>
      <x:c r="G18" s="12" t="n">
        <x:f>(D18-E18)/D18</x:f>
        <x:v>0.04380632307388367</x:v>
      </x:c>
      <x:c r="H18" s="10" t="n">
        <x:f>AVERAGE('540条种子'!F42:F44)</x:f>
        <x:v>0.3377640088146033</x:v>
      </x:c>
      <x:c r="I18" s="12" t="n">
        <x:f>(D18-H18)/D18</x:f>
        <x:v>0.09813122854791036</x:v>
      </x:c>
      <x:c r="J18" s="2" t="n">
        <x:f>COUNTIFS('540条种子'!H42:H44,"&gt;0",'540条种子'!I42:I44,"&gt;0")</x:f>
        <x:v>3</x:v>
      </x:c>
      <x:c r="K18" s="2" t="str">
        <x:f>IF(G18&gt;0.0000001,"改善",IF(G18&lt;-0.0000001,"退化","持平"))</x:f>
        <x:v>改善</x:v>
      </x:c>
      <x:c r="L18" s="11" t="n">
        <x:f>AVERAGE('540条种子'!H42:H44)</x:f>
        <x:v>0.25</x:v>
      </x:c>
    </x:row>
    <x:row r="19" ht="23" customHeight="1">
      <x:c r="A19" s="2" t="str">
        <x:v>Agriculture</x:v>
      </x:c>
      <x:c r="B19" s="2" t="n">
        <x:v>10</x:v>
      </x:c>
      <x:c r="C19" s="2" t="str">
        <x:v>CFA</x:v>
      </x:c>
      <x:c r="D19" s="10" t="n">
        <x:f>'540条种子'!E45</x:f>
        <x:v>0.29576657031370107</x:v>
      </x:c>
      <x:c r="E19" s="10" t="n">
        <x:f>AVERAGE('540条种子'!G45:G47)</x:f>
        <x:v>0.29576657031370107</x:v>
      </x:c>
      <x:c r="F19" s="10" t="n">
        <x:f>STDEV.S('540条种子'!G45:G47)</x:f>
        <x:v>0</x:v>
      </x:c>
      <x:c r="G19" s="12" t="n">
        <x:f>(D19-E19)/D19</x:f>
        <x:v>0</x:v>
      </x:c>
      <x:c r="H19" s="10" t="n">
        <x:f>AVERAGE('540条种子'!F45:F47)</x:f>
        <x:v>0.268934772934877</x:v>
      </x:c>
      <x:c r="I19" s="12" t="n">
        <x:f>(D19-H19)/D19</x:f>
        <x:v>0.09071950677307875</x:v>
      </x:c>
      <x:c r="J19" s="2" t="n">
        <x:f>COUNTIFS('540条种子'!H45:H47,"&gt;0",'540条种子'!I45:I47,"&gt;0")</x:f>
        <x:v>0</x:v>
      </x:c>
      <x:c r="K19" s="2" t="str">
        <x:f>IF(G19&gt;0.0000001,"改善",IF(G19&lt;-0.0000001,"退化","持平"))</x:f>
        <x:v>持平</x:v>
      </x:c>
      <x:c r="L19" s="11" t="n">
        <x:f>AVERAGE('540条种子'!H45:H47)</x:f>
        <x:v>0</x:v>
      </x:c>
    </x:row>
    <x:row r="20" ht="23" customHeight="1">
      <x:c r="A20" s="2" t="str">
        <x:v>Agriculture</x:v>
      </x:c>
      <x:c r="B20" s="2" t="n">
        <x:v>10</x:v>
      </x:c>
      <x:c r="C20" s="2" t="str">
        <x:v>Aurora</x:v>
      </x:c>
      <x:c r="D20" s="10" t="n">
        <x:f>'540条种子'!E48</x:f>
        <x:v>1.0489926219606276</x:v>
      </x:c>
      <x:c r="E20" s="10" t="n">
        <x:f>AVERAGE('540条种子'!G48:G50)</x:f>
        <x:v>0.7377202577328122</x:v>
      </x:c>
      <x:c r="F20" s="10" t="n">
        <x:f>STDEV.S('540条种子'!G48:G50)</x:f>
        <x:v>0.005844206073499604</x:v>
      </x:c>
      <x:c r="G20" s="12" t="n">
        <x:f>(D20-E20)/D20</x:f>
        <x:v>0.296734560102081</x:v>
      </x:c>
      <x:c r="H20" s="10" t="n">
        <x:f>AVERAGE('540条种子'!F48:F50)</x:f>
        <x:v>0.7377202577328122</x:v>
      </x:c>
      <x:c r="I20" s="12" t="n">
        <x:f>(D20-H20)/D20</x:f>
        <x:v>0.296734560102081</x:v>
      </x:c>
      <x:c r="J20" s="2" t="n">
        <x:f>COUNTIFS('540条种子'!H48:H50,"&gt;0",'540条种子'!I48:I50,"&gt;0")</x:f>
        <x:v>3</x:v>
      </x:c>
      <x:c r="K20" s="2" t="str">
        <x:f>IF(G20&gt;0.0000001,"改善",IF(G20&lt;-0.0000001,"退化","持平"))</x:f>
        <x:v>改善</x:v>
      </x:c>
      <x:c r="L20" s="11" t="n">
        <x:f>AVERAGE('540条种子'!H48:H50)</x:f>
        <x:v>1</x:v>
      </x:c>
    </x:row>
    <x:row r="21" ht="23" customHeight="1">
      <x:c r="A21" s="2" t="str">
        <x:v>Agriculture</x:v>
      </x:c>
      <x:c r="B21" s="2" t="n">
        <x:v>12</x:v>
      </x:c>
      <x:c r="C21" s="2" t="str">
        <x:v>TaTS</x:v>
      </x:c>
      <x:c r="D21" s="10" t="n">
        <x:f>'540条种子'!E51</x:f>
        <x:v>0.8091895099223382</x:v>
      </x:c>
      <x:c r="E21" s="10" t="n">
        <x:f>AVERAGE('540条种子'!G51:G53)</x:f>
        <x:v>0.6863420606258496</x:v>
      </x:c>
      <x:c r="F21" s="10" t="n">
        <x:f>STDEV.S('540条种子'!G51:G53)</x:f>
        <x:v>0.0025764124131789578</x:v>
      </x:c>
      <x:c r="G21" s="12" t="n">
        <x:f>(D21-E21)/D21</x:f>
        <x:v>0.151815424928431</x:v>
      </x:c>
      <x:c r="H21" s="10" t="n">
        <x:f>AVERAGE('540条种子'!F51:F53)</x:f>
        <x:v>0.6863420606258496</x:v>
      </x:c>
      <x:c r="I21" s="12" t="n">
        <x:f>(D21-H21)/D21</x:f>
        <x:v>0.151815424928431</x:v>
      </x:c>
      <x:c r="J21" s="2" t="n">
        <x:f>COUNTIFS('540条种子'!H51:H53,"&gt;0",'540条种子'!I51:I53,"&gt;0")</x:f>
        <x:v>3</x:v>
      </x:c>
      <x:c r="K21" s="2" t="str">
        <x:f>IF(G21&gt;0.0000001,"改善",IF(G21&lt;-0.0000001,"退化","持平"))</x:f>
        <x:v>改善</x:v>
      </x:c>
      <x:c r="L21" s="11" t="n">
        <x:f>AVERAGE('540条种子'!H51:H53)</x:f>
        <x:v>1</x:v>
      </x:c>
    </x:row>
    <x:row r="22" ht="23" customHeight="1">
      <x:c r="A22" s="2" t="str">
        <x:v>Agriculture</x:v>
      </x:c>
      <x:c r="B22" s="2" t="n">
        <x:v>12</x:v>
      </x:c>
      <x:c r="C22" s="2" t="str">
        <x:v>MM-TSFlib</x:v>
      </x:c>
      <x:c r="D22" s="10" t="n">
        <x:f>'540条种子'!E54</x:f>
        <x:v>3.444487867309843</x:v>
      </x:c>
      <x:c r="E22" s="10" t="n">
        <x:f>AVERAGE('540条种子'!G54:G56)</x:f>
        <x:v>2.7743474664125984</x:v>
      </x:c>
      <x:c r="F22" s="10" t="n">
        <x:f>STDEV.S('540条种子'!G54:G56)</x:f>
        <x:v>0.005726612593368974</x:v>
      </x:c>
      <x:c r="G22" s="12" t="n">
        <x:f>(D22-E22)/D22</x:f>
        <x:v>0.19455443790563462</x:v>
      </x:c>
      <x:c r="H22" s="10" t="n">
        <x:f>AVERAGE('540条种子'!F54:F56)</x:f>
        <x:v>2.7743474664125984</x:v>
      </x:c>
      <x:c r="I22" s="12" t="n">
        <x:f>(D22-H22)/D22</x:f>
        <x:v>0.19455443790563462</x:v>
      </x:c>
      <x:c r="J22" s="2" t="n">
        <x:f>COUNTIFS('540条种子'!H54:H56,"&gt;0",'540条种子'!I54:I56,"&gt;0")</x:f>
        <x:v>3</x:v>
      </x:c>
      <x:c r="K22" s="2" t="str">
        <x:f>IF(G22&gt;0.0000001,"改善",IF(G22&lt;-0.0000001,"退化","持平"))</x:f>
        <x:v>改善</x:v>
      </x:c>
      <x:c r="L22" s="11" t="n">
        <x:f>AVERAGE('540条种子'!H54:H56)</x:f>
        <x:v>1</x:v>
      </x:c>
    </x:row>
    <x:row r="23" ht="23" customHeight="1">
      <x:c r="A23" s="2" t="str">
        <x:v>Agriculture</x:v>
      </x:c>
      <x:c r="B23" s="2" t="n">
        <x:v>12</x:v>
      </x:c>
      <x:c r="C23" s="2" t="str">
        <x:v>SpecTF</x:v>
      </x:c>
      <x:c r="D23" s="10" t="n">
        <x:f>'540条种子'!E57</x:f>
        <x:v>0.35785318025578033</x:v>
      </x:c>
      <x:c r="E23" s="10" t="n">
        <x:f>AVERAGE('540条种子'!G57:G59)</x:f>
        <x:v>0.35785318025578033</x:v>
      </x:c>
      <x:c r="F23" s="10" t="n">
        <x:f>STDEV.S('540条种子'!G57:G59)</x:f>
        <x:v>0</x:v>
      </x:c>
      <x:c r="G23" s="12" t="n">
        <x:f>(D23-E23)/D23</x:f>
        <x:v>0</x:v>
      </x:c>
      <x:c r="H23" s="10" t="n">
        <x:f>AVERAGE('540条种子'!F57:F59)</x:f>
        <x:v>0.3550370759460883</x:v>
      </x:c>
      <x:c r="I23" s="12" t="n">
        <x:f>(D23-H23)/D23</x:f>
        <x:v>0.007869440499813883</x:v>
      </x:c>
      <x:c r="J23" s="2" t="n">
        <x:f>COUNTIFS('540条种子'!H57:H59,"&gt;0",'540条种子'!I57:I59,"&gt;0")</x:f>
        <x:v>0</x:v>
      </x:c>
      <x:c r="K23" s="2" t="str">
        <x:f>IF(G23&gt;0.0000001,"改善",IF(G23&lt;-0.0000001,"退化","持平"))</x:f>
        <x:v>持平</x:v>
      </x:c>
      <x:c r="L23" s="11" t="n">
        <x:f>AVERAGE('540条种子'!H57:H59)</x:f>
        <x:v>0</x:v>
      </x:c>
    </x:row>
    <x:row r="24" ht="23" customHeight="1">
      <x:c r="A24" s="2" t="str">
        <x:v>Agriculture</x:v>
      </x:c>
      <x:c r="B24" s="2" t="n">
        <x:v>12</x:v>
      </x:c>
      <x:c r="C24" s="2" t="str">
        <x:v>CFA</x:v>
      </x:c>
      <x:c r="D24" s="10" t="n">
        <x:f>'540条种子'!E60</x:f>
        <x:v>0.37551116732851375</x:v>
      </x:c>
      <x:c r="E24" s="10" t="n">
        <x:f>AVERAGE('540条种子'!G60:G62)</x:f>
        <x:v>0.33713840813842477</x:v>
      </x:c>
      <x:c r="F24" s="10" t="n">
        <x:f>STDEV.S('540条种子'!G60:G62)</x:f>
        <x:v>0.001878547522028126</x:v>
      </x:c>
      <x:c r="G24" s="12" t="n">
        <x:f>(D24-E24)/D24</x:f>
        <x:v>0.10218806397445644</x:v>
      </x:c>
      <x:c r="H24" s="10" t="n">
        <x:f>AVERAGE('540条种子'!F60:F62)</x:f>
        <x:v>0.31683440019853876</x:v>
      </x:c>
      <x:c r="I24" s="12" t="n">
        <x:f>(D24-H24)/D24</x:f>
        <x:v>0.15625838120186175</x:v>
      </x:c>
      <x:c r="J24" s="2" t="n">
        <x:f>COUNTIFS('540条种子'!H60:H62,"&gt;0",'540条种子'!I60:I62,"&gt;0")</x:f>
        <x:v>3</x:v>
      </x:c>
      <x:c r="K24" s="2" t="str">
        <x:f>IF(G24&gt;0.0000001,"改善",IF(G24&lt;-0.0000001,"退化","持平"))</x:f>
        <x:v>改善</x:v>
      </x:c>
      <x:c r="L24" s="11" t="n">
        <x:f>AVERAGE('540条种子'!H60:H62)</x:f>
        <x:v>0.5</x:v>
      </x:c>
    </x:row>
    <x:row r="25" ht="23" customHeight="1">
      <x:c r="A25" s="2" t="str">
        <x:v>Agriculture</x:v>
      </x:c>
      <x:c r="B25" s="2" t="n">
        <x:v>12</x:v>
      </x:c>
      <x:c r="C25" s="2" t="str">
        <x:v>Aurora</x:v>
      </x:c>
      <x:c r="D25" s="10" t="n">
        <x:f>'540条种子'!E63</x:f>
        <x:v>1.0627157999916093</x:v>
      </x:c>
      <x:c r="E25" s="10" t="n">
        <x:f>AVERAGE('540条种子'!G63:G65)</x:f>
        <x:v>0.7661397881194146</x:v>
      </x:c>
      <x:c r="F25" s="10" t="n">
        <x:f>STDEV.S('540条种子'!G63:G65)</x:f>
        <x:v>0.004896795891610178</x:v>
      </x:c>
      <x:c r="G25" s="12" t="n">
        <x:f>(D25-E25)/D25</x:f>
        <x:v>0.27907368261066245</x:v>
      </x:c>
      <x:c r="H25" s="10" t="n">
        <x:f>AVERAGE('540条种子'!F63:F65)</x:f>
        <x:v>0.7661397881194146</x:v>
      </x:c>
      <x:c r="I25" s="12" t="n">
        <x:f>(D25-H25)/D25</x:f>
        <x:v>0.27907368261066245</x:v>
      </x:c>
      <x:c r="J25" s="2" t="n">
        <x:f>COUNTIFS('540条种子'!H63:H65,"&gt;0",'540条种子'!I63:I65,"&gt;0")</x:f>
        <x:v>3</x:v>
      </x:c>
      <x:c r="K25" s="2" t="str">
        <x:f>IF(G25&gt;0.0000001,"改善",IF(G25&lt;-0.0000001,"退化","持平"))</x:f>
        <x:v>改善</x:v>
      </x:c>
      <x:c r="L25" s="11" t="n">
        <x:f>AVERAGE('540条种子'!H63:H65)</x:f>
        <x:v>1</x:v>
      </x:c>
    </x:row>
    <x:row r="26" ht="23" customHeight="1">
      <x:c r="A26" s="2" t="str">
        <x:v>Climate</x:v>
      </x:c>
      <x:c r="B26" s="2" t="n">
        <x:v>6</x:v>
      </x:c>
      <x:c r="C26" s="2" t="str">
        <x:v>TaTS</x:v>
      </x:c>
      <x:c r="D26" s="10" t="n">
        <x:f>'540条种子'!E66</x:f>
        <x:v>1.1433486550950163</x:v>
      </x:c>
      <x:c r="E26" s="10" t="n">
        <x:f>AVERAGE('540条种子'!G66:G68)</x:f>
        <x:v>1.1433486550950163</x:v>
      </x:c>
      <x:c r="F26" s="10" t="n">
        <x:f>STDEV.S('540条种子'!G66:G68)</x:f>
        <x:v>0</x:v>
      </x:c>
      <x:c r="G26" s="12" t="n">
        <x:f>(D26-E26)/D26</x:f>
        <x:v>0</x:v>
      </x:c>
      <x:c r="H26" s="10" t="n">
        <x:f>AVERAGE('540条种子'!F66:F68)</x:f>
        <x:v>1.1433486553128849</x:v>
      </x:c>
      <x:c r="I26" s="12" t="n">
        <x:f>(D26-H26)/D26</x:f>
        <x:v>-1.9055308375912736e-10</x:v>
      </x:c>
      <x:c r="J26" s="2" t="n">
        <x:f>COUNTIFS('540条种子'!H66:H68,"&gt;0",'540条种子'!I66:I68,"&gt;0")</x:f>
        <x:v>0</x:v>
      </x:c>
      <x:c r="K26" s="2" t="str">
        <x:f>IF(G26&gt;0.0000001,"改善",IF(G26&lt;-0.0000001,"退化","持平"))</x:f>
        <x:v>持平</x:v>
      </x:c>
      <x:c r="L26" s="11" t="n">
        <x:f>AVERAGE('540条种子'!H66:H68)</x:f>
        <x:v>0</x:v>
      </x:c>
    </x:row>
    <x:row r="27" ht="23" customHeight="1">
      <x:c r="A27" s="2" t="str">
        <x:v>Climate</x:v>
      </x:c>
      <x:c r="B27" s="2" t="n">
        <x:v>6</x:v>
      </x:c>
      <x:c r="C27" s="2" t="str">
        <x:v>MM-TSFlib</x:v>
      </x:c>
      <x:c r="D27" s="10" t="n">
        <x:f>'540条种子'!E69</x:f>
        <x:v>1.1941477400109357</x:v>
      </x:c>
      <x:c r="E27" s="10" t="n">
        <x:f>AVERAGE('540条种子'!G69:G71)</x:f>
        <x:v>1.1941477400109357</x:v>
      </x:c>
      <x:c r="F27" s="10" t="n">
        <x:f>STDEV.S('540条种子'!G69:G71)</x:f>
        <x:v>0</x:v>
      </x:c>
      <x:c r="G27" s="12" t="n">
        <x:f>(D27-E27)/D27</x:f>
        <x:v>0</x:v>
      </x:c>
      <x:c r="H27" s="10" t="n">
        <x:f>AVERAGE('540条种子'!F69:F71)</x:f>
        <x:v>1.1941477409352586</x:v>
      </x:c>
      <x:c r="I27" s="12" t="n">
        <x:f>(D27-H27)/D27</x:f>
        <x:v>-7.740439558017814e-10</x:v>
      </x:c>
      <x:c r="J27" s="2" t="n">
        <x:f>COUNTIFS('540条种子'!H69:H71,"&gt;0",'540条种子'!I69:I71,"&gt;0")</x:f>
        <x:v>0</x:v>
      </x:c>
      <x:c r="K27" s="2" t="str">
        <x:f>IF(G27&gt;0.0000001,"改善",IF(G27&lt;-0.0000001,"退化","持平"))</x:f>
        <x:v>持平</x:v>
      </x:c>
      <x:c r="L27" s="11" t="n">
        <x:f>AVERAGE('540条种子'!H69:H71)</x:f>
        <x:v>0</x:v>
      </x:c>
    </x:row>
    <x:row r="28" ht="23" customHeight="1">
      <x:c r="A28" s="2" t="str">
        <x:v>Climate</x:v>
      </x:c>
      <x:c r="B28" s="2" t="n">
        <x:v>6</x:v>
      </x:c>
      <x:c r="C28" s="2" t="str">
        <x:v>SpecTF</x:v>
      </x:c>
      <x:c r="D28" s="10" t="n">
        <x:f>'540条种子'!E72</x:f>
        <x:v>1.0572414052259043</x:v>
      </x:c>
      <x:c r="E28" s="10" t="n">
        <x:f>AVERAGE('540条种子'!G72:G74)</x:f>
        <x:v>1.0572414052328372</x:v>
      </x:c>
      <x:c r="F28" s="10" t="n">
        <x:f>STDEV.S('540条种子'!G72:G74)</x:f>
        <x:v>0</x:v>
      </x:c>
      <x:c r="G28" s="12" t="n">
        <x:f>(D28-E28)/D28</x:f>
        <x:v>-6.557536117394946e-12</x:v>
      </x:c>
      <x:c r="H28" s="10" t="n">
        <x:f>AVERAGE('540条种子'!F72:F74)</x:f>
        <x:v>1.057241405061904</x:v>
      </x:c>
      <x:c r="I28" s="12" t="n">
        <x:f>(D28-H28)/D28</x:f>
        <x:v>1.55121023476891e-10</x:v>
      </x:c>
      <x:c r="J28" s="2" t="n">
        <x:f>COUNTIFS('540条种子'!H72:H74,"&gt;0",'540条种子'!I72:I74,"&gt;0")</x:f>
        <x:v>0</x:v>
      </x:c>
      <x:c r="K28" s="2" t="str">
        <x:f>IF(G28&gt;0.0000001,"改善",IF(G28&lt;-0.0000001,"退化","持平"))</x:f>
        <x:v>持平</x:v>
      </x:c>
      <x:c r="L28" s="11" t="n">
        <x:f>AVERAGE('540条种子'!H72:H74)</x:f>
        <x:v>0.25</x:v>
      </x:c>
    </x:row>
    <x:row r="29" ht="23" customHeight="1">
      <x:c r="A29" s="2" t="str">
        <x:v>Climate</x:v>
      </x:c>
      <x:c r="B29" s="2" t="n">
        <x:v>6</x:v>
      </x:c>
      <x:c r="C29" s="2" t="str">
        <x:v>CFA</x:v>
      </x:c>
      <x:c r="D29" s="10" t="n">
        <x:f>'540条种子'!E75</x:f>
        <x:v>1.2072524518723515</x:v>
      </x:c>
      <x:c r="E29" s="10" t="n">
        <x:f>AVERAGE('540条种子'!G75:G77)</x:f>
        <x:v>1.207252451827332</x:v>
      </x:c>
      <x:c r="F29" s="10" t="n">
        <x:f>STDEV.S('540条种子'!G75:G77)</x:f>
        <x:v>0</x:v>
      </x:c>
      <x:c r="G29" s="12" t="n">
        <x:f>(D29-E29)/D29</x:f>
        <x:v>3.729091092648303e-11</x:v>
      </x:c>
      <x:c r="H29" s="10" t="n">
        <x:f>AVERAGE('540条种子'!F75:F77)</x:f>
        <x:v>1.2072524516805254</x:v>
      </x:c>
      <x:c r="I29" s="12" t="n">
        <x:f>(D29-H29)/D29</x:f>
        <x:v>1.588947781833593e-10</x:v>
      </x:c>
      <x:c r="J29" s="2" t="n">
        <x:f>COUNTIFS('540条种子'!H75:H77,"&gt;0",'540条种子'!I75:I77,"&gt;0")</x:f>
        <x:v>0</x:v>
      </x:c>
      <x:c r="K29" s="2" t="str">
        <x:f>IF(G29&gt;0.0000001,"改善",IF(G29&lt;-0.0000001,"退化","持平"))</x:f>
        <x:v>持平</x:v>
      </x:c>
      <x:c r="L29" s="11" t="n">
        <x:f>AVERAGE('540条种子'!H75:H77)</x:f>
        <x:v>0.5</x:v>
      </x:c>
    </x:row>
    <x:row r="30" ht="23" customHeight="1">
      <x:c r="A30" s="2" t="str">
        <x:v>Climate</x:v>
      </x:c>
      <x:c r="B30" s="2" t="n">
        <x:v>6</x:v>
      </x:c>
      <x:c r="C30" s="2" t="str">
        <x:v>Aurora</x:v>
      </x:c>
      <x:c r="D30" s="10" t="n">
        <x:f>'540条种子'!E78</x:f>
        <x:v>1.1349327105336318</x:v>
      </x:c>
      <x:c r="E30" s="10" t="n">
        <x:f>AVERAGE('540条种子'!G78:G80)</x:f>
        <x:v>1.1349327105976588</x:v>
      </x:c>
      <x:c r="F30" s="10" t="n">
        <x:f>STDEV.S('540条种子'!G78:G80)</x:f>
        <x:v>0</x:v>
      </x:c>
      <x:c r="G30" s="12" t="n">
        <x:f>(D30-E30)/D30</x:f>
        <x:v>-5.641480356067797e-11</x:v>
      </x:c>
      <x:c r="H30" s="10" t="n">
        <x:f>AVERAGE('540条种子'!F78:F80)</x:f>
        <x:v>1.1349327102024143</x:v>
      </x:c>
      <x:c r="I30" s="12" t="n">
        <x:f>(D30-H30)/D30</x:f>
        <x:v>2.9183888595244724e-10</x:v>
      </x:c>
      <x:c r="J30" s="2" t="n">
        <x:f>COUNTIFS('540条种子'!H78:H80,"&gt;0",'540条种子'!I78:I80,"&gt;0")</x:f>
        <x:v>0</x:v>
      </x:c>
      <x:c r="K30" s="2" t="str">
        <x:f>IF(G30&gt;0.0000001,"改善",IF(G30&lt;-0.0000001,"退化","持平"))</x:f>
        <x:v>持平</x:v>
      </x:c>
      <x:c r="L30" s="11" t="n">
        <x:f>AVERAGE('540条种子'!H78:H80)</x:f>
        <x:v>0.25</x:v>
      </x:c>
    </x:row>
    <x:row r="31" ht="23" customHeight="1">
      <x:c r="A31" s="2" t="str">
        <x:v>Climate</x:v>
      </x:c>
      <x:c r="B31" s="2" t="n">
        <x:v>8</x:v>
      </x:c>
      <x:c r="C31" s="2" t="str">
        <x:v>TaTS</x:v>
      </x:c>
      <x:c r="D31" s="10" t="n">
        <x:f>'540条种子'!E81</x:f>
        <x:v>1.1675973042594807</x:v>
      </x:c>
      <x:c r="E31" s="10" t="n">
        <x:f>AVERAGE('540条种子'!G81:G83)</x:f>
        <x:v>1.1675973043756265</x:v>
      </x:c>
      <x:c r="F31" s="10" t="n">
        <x:f>STDEV.S('540条种子'!G81:G83)</x:f>
        <x:v>0</x:v>
      </x:c>
      <x:c r="G31" s="12" t="n">
        <x:f>(D31-E31)/D31</x:f>
        <x:v>-9.947415881558442e-11</x:v>
      </x:c>
      <x:c r="H31" s="10" t="n">
        <x:f>AVERAGE('540条种子'!F81:F83)</x:f>
        <x:v>1.1675973043778383</x:v>
      </x:c>
      <x:c r="I31" s="12" t="n">
        <x:f>(D31-H31)/D31</x:f>
        <x:v>-1.0136846458486762e-10</x:v>
      </x:c>
      <x:c r="J31" s="2" t="n">
        <x:f>COUNTIFS('540条种子'!H81:H83,"&gt;0",'540条种子'!I81:I83,"&gt;0")</x:f>
        <x:v>0</x:v>
      </x:c>
      <x:c r="K31" s="2" t="str">
        <x:f>IF(G31&gt;0.0000001,"改善",IF(G31&lt;-0.0000001,"退化","持平"))</x:f>
        <x:v>持平</x:v>
      </x:c>
      <x:c r="L31" s="11" t="n">
        <x:f>AVERAGE('540条种子'!H81:H83)</x:f>
        <x:v>0.75</x:v>
      </x:c>
    </x:row>
    <x:row r="32" ht="23" customHeight="1">
      <x:c r="A32" s="2" t="str">
        <x:v>Climate</x:v>
      </x:c>
      <x:c r="B32" s="2" t="n">
        <x:v>8</x:v>
      </x:c>
      <x:c r="C32" s="2" t="str">
        <x:v>MM-TSFlib</x:v>
      </x:c>
      <x:c r="D32" s="10" t="n">
        <x:f>'540条种子'!E84</x:f>
        <x:v>1.3202855790609833</x:v>
      </x:c>
      <x:c r="E32" s="10" t="n">
        <x:f>AVERAGE('540条种子'!G84:G86)</x:f>
        <x:v>1.3202855790648724</x:v>
      </x:c>
      <x:c r="F32" s="10" t="n">
        <x:f>STDEV.S('540条种子'!G84:G86)</x:f>
        <x:v>0</x:v>
      </x:c>
      <x:c r="G32" s="12" t="n">
        <x:f>(D32-E32)/D32</x:f>
        <x:v>-2.945659118709716e-12</x:v>
      </x:c>
      <x:c r="H32" s="10" t="n">
        <x:f>AVERAGE('540条种子'!F84:F86)</x:f>
        <x:v>1.3202855791888068</x:v>
      </x:c>
      <x:c r="I32" s="12" t="n">
        <x:f>(D32-H32)/D32</x:f>
        <x:v>-9.681506150334842e-11</x:v>
      </x:c>
      <x:c r="J32" s="2" t="n">
        <x:f>COUNTIFS('540条种子'!H84:H86,"&gt;0",'540条种子'!I84:I86,"&gt;0")</x:f>
        <x:v>0</x:v>
      </x:c>
      <x:c r="K32" s="2" t="str">
        <x:f>IF(G32&gt;0.0000001,"改善",IF(G32&lt;-0.0000001,"退化","持平"))</x:f>
        <x:v>持平</x:v>
      </x:c>
      <x:c r="L32" s="11" t="n">
        <x:f>AVERAGE('540条种子'!H84:H86)</x:f>
        <x:v>0.5</x:v>
      </x:c>
    </x:row>
    <x:row r="33" ht="23" customHeight="1">
      <x:c r="A33" s="2" t="str">
        <x:v>Climate</x:v>
      </x:c>
      <x:c r="B33" s="2" t="n">
        <x:v>8</x:v>
      </x:c>
      <x:c r="C33" s="2" t="str">
        <x:v>SpecTF</x:v>
      </x:c>
      <x:c r="D33" s="10" t="n">
        <x:f>'540条种子'!E87</x:f>
        <x:v>1.07353160690252</x:v>
      </x:c>
      <x:c r="E33" s="10" t="n">
        <x:f>AVERAGE('540条种子'!G87:G89)</x:f>
        <x:v>1.07353160690252</x:v>
      </x:c>
      <x:c r="F33" s="10" t="n">
        <x:f>STDEV.S('540条种子'!G87:G89)</x:f>
        <x:v>0</x:v>
      </x:c>
      <x:c r="G33" s="12" t="n">
        <x:f>(D33-E33)/D33</x:f>
        <x:v>0</x:v>
      </x:c>
      <x:c r="H33" s="10" t="n">
        <x:f>AVERAGE('540条种子'!F87:F89)</x:f>
        <x:v>1.0735316069655532</x:v>
      </x:c>
      <x:c r="I33" s="12" t="n">
        <x:f>(D33-H33)/D33</x:f>
        <x:v>-5.871567624316979e-11</x:v>
      </x:c>
      <x:c r="J33" s="2" t="n">
        <x:f>COUNTIFS('540条种子'!H87:H89,"&gt;0",'540条种子'!I87:I89,"&gt;0")</x:f>
        <x:v>0</x:v>
      </x:c>
      <x:c r="K33" s="2" t="str">
        <x:f>IF(G33&gt;0.0000001,"改善",IF(G33&lt;-0.0000001,"退化","持平"))</x:f>
        <x:v>持平</x:v>
      </x:c>
      <x:c r="L33" s="11" t="n">
        <x:f>AVERAGE('540条种子'!H87:H89)</x:f>
        <x:v>0</x:v>
      </x:c>
    </x:row>
    <x:row r="34" ht="23" customHeight="1">
      <x:c r="A34" s="2" t="str">
        <x:v>Climate</x:v>
      </x:c>
      <x:c r="B34" s="2" t="n">
        <x:v>8</x:v>
      </x:c>
      <x:c r="C34" s="2" t="str">
        <x:v>CFA</x:v>
      </x:c>
      <x:c r="D34" s="10" t="n">
        <x:f>'540条种子'!E90</x:f>
        <x:v>1.1615048166871749</x:v>
      </x:c>
      <x:c r="E34" s="10" t="n">
        <x:f>AVERAGE('540条种子'!G90:G92)</x:f>
        <x:v>1.1615048166871749</x:v>
      </x:c>
      <x:c r="F34" s="10" t="n">
        <x:f>STDEV.S('540条种子'!G90:G92)</x:f>
        <x:v>0</x:v>
      </x:c>
      <x:c r="G34" s="12" t="n">
        <x:f>(D34-E34)/D34</x:f>
        <x:v>0</x:v>
      </x:c>
      <x:c r="H34" s="10" t="n">
        <x:f>AVERAGE('540条种子'!F90:F92)</x:f>
        <x:v>1.1615048167783644</x:v>
      </x:c>
      <x:c r="I34" s="12" t="n">
        <x:f>(D34-H34)/D34</x:f>
        <x:v>-7.850979099277951e-11</x:v>
      </x:c>
      <x:c r="J34" s="2" t="n">
        <x:f>COUNTIFS('540条种子'!H90:H92,"&gt;0",'540条种子'!I90:I92,"&gt;0")</x:f>
        <x:v>0</x:v>
      </x:c>
      <x:c r="K34" s="2" t="str">
        <x:f>IF(G34&gt;0.0000001,"改善",IF(G34&lt;-0.0000001,"退化","持平"))</x:f>
        <x:v>持平</x:v>
      </x:c>
      <x:c r="L34" s="11" t="n">
        <x:f>AVERAGE('540条种子'!H90:H92)</x:f>
        <x:v>0</x:v>
      </x:c>
    </x:row>
    <x:row r="35" ht="23" customHeight="1">
      <x:c r="A35" s="2" t="str">
        <x:v>Climate</x:v>
      </x:c>
      <x:c r="B35" s="2" t="n">
        <x:v>8</x:v>
      </x:c>
      <x:c r="C35" s="2" t="str">
        <x:v>Aurora</x:v>
      </x:c>
      <x:c r="D35" s="10" t="n">
        <x:f>'540条种子'!E93</x:f>
        <x:v>1.1448523384243392</x:v>
      </x:c>
      <x:c r="E35" s="10" t="n">
        <x:f>AVERAGE('540条种子'!G93:G95)</x:f>
        <x:v>1.1448523384243392</x:v>
      </x:c>
      <x:c r="F35" s="10" t="n">
        <x:f>STDEV.S('540条种子'!G93:G95)</x:f>
        <x:v>0</x:v>
      </x:c>
      <x:c r="G35" s="12" t="n">
        <x:f>(D35-E35)/D35</x:f>
        <x:v>0</x:v>
      </x:c>
      <x:c r="H35" s="10" t="n">
        <x:f>AVERAGE('540条种子'!F93:F95)</x:f>
        <x:v>1.144852338344318</x:v>
      </x:c>
      <x:c r="I35" s="12" t="n">
        <x:f>(D35-H35)/D35</x:f>
        <x:v>6.989643831870111e-11</x:v>
      </x:c>
      <x:c r="J35" s="2" t="n">
        <x:f>COUNTIFS('540条种子'!H93:H95,"&gt;0",'540条种子'!I93:I95,"&gt;0")</x:f>
        <x:v>0</x:v>
      </x:c>
      <x:c r="K35" s="2" t="str">
        <x:f>IF(G35&gt;0.0000001,"改善",IF(G35&lt;-0.0000001,"退化","持平"))</x:f>
        <x:v>持平</x:v>
      </x:c>
      <x:c r="L35" s="11" t="n">
        <x:f>AVERAGE('540条种子'!H93:H95)</x:f>
        <x:v>0</x:v>
      </x:c>
    </x:row>
    <x:row r="36" ht="23" customHeight="1">
      <x:c r="A36" s="2" t="str">
        <x:v>Climate</x:v>
      </x:c>
      <x:c r="B36" s="2" t="n">
        <x:v>10</x:v>
      </x:c>
      <x:c r="C36" s="2" t="str">
        <x:v>TaTS</x:v>
      </x:c>
      <x:c r="D36" s="10" t="n">
        <x:f>'540条种子'!E96</x:f>
        <x:v>1.1619446589645592</x:v>
      </x:c>
      <x:c r="E36" s="10" t="n">
        <x:f>AVERAGE('540条种子'!G96:G98)</x:f>
        <x:v>1.1619446589774514</x:v>
      </x:c>
      <x:c r="F36" s="10" t="n">
        <x:f>STDEV.S('540条种子'!G96:G98)</x:f>
        <x:v>0</x:v>
      </x:c>
      <x:c r="G36" s="12" t="n">
        <x:f>(D36-E36)/D36</x:f>
        <x:v>-1.1095306223999321e-11</x:v>
      </x:c>
      <x:c r="H36" s="10" t="n">
        <x:f>AVERAGE('540条种子'!F96:F98)</x:f>
        <x:v>1.1619446589995912</x:v>
      </x:c>
      <x:c r="I36" s="12" t="n">
        <x:f>(D36-H36)/D36</x:f>
        <x:v>-3.0149437022448336e-11</x:v>
      </x:c>
      <x:c r="J36" s="2" t="n">
        <x:f>COUNTIFS('540条种子'!H96:H98,"&gt;0",'540条种子'!I96:I98,"&gt;0")</x:f>
        <x:v>0</x:v>
      </x:c>
      <x:c r="K36" s="2" t="str">
        <x:f>IF(G36&gt;0.0000001,"改善",IF(G36&lt;-0.0000001,"退化","持平"))</x:f>
        <x:v>持平</x:v>
      </x:c>
      <x:c r="L36" s="11" t="n">
        <x:f>AVERAGE('540条种子'!H96:H98)</x:f>
        <x:v>0.75</x:v>
      </x:c>
    </x:row>
    <x:row r="37" ht="23" customHeight="1">
      <x:c r="A37" s="2" t="str">
        <x:v>Climate</x:v>
      </x:c>
      <x:c r="B37" s="2" t="n">
        <x:v>10</x:v>
      </x:c>
      <x:c r="C37" s="2" t="str">
        <x:v>MM-TSFlib</x:v>
      </x:c>
      <x:c r="D37" s="10" t="n">
        <x:f>'540条种子'!E99</x:f>
        <x:v>1.2405914477230617</x:v>
      </x:c>
      <x:c r="E37" s="10" t="n">
        <x:f>AVERAGE('540条种子'!G99:G101)</x:f>
        <x:v>1.2405914477497597</x:v>
      </x:c>
      <x:c r="F37" s="10" t="n">
        <x:f>STDEV.S('540条种子'!G99:G101)</x:f>
        <x:v>0</x:v>
      </x:c>
      <x:c r="G37" s="12" t="n">
        <x:f>(D37-E37)/D37</x:f>
        <x:v>-2.1520362091300505e-11</x:v>
      </x:c>
      <x:c r="H37" s="10" t="n">
        <x:f>AVERAGE('540条种子'!F99:F101)</x:f>
        <x:v>1.2405914476873654</x:v>
      </x:c>
      <x:c r="I37" s="12" t="n">
        <x:f>(D37-H37)/D37</x:f>
        <x:v>2.8773642477121448e-11</x:v>
      </x:c>
      <x:c r="J37" s="2" t="n">
        <x:f>COUNTIFS('540条种子'!H99:H101,"&gt;0",'540条种子'!I99:I101,"&gt;0")</x:f>
        <x:v>0</x:v>
      </x:c>
      <x:c r="K37" s="2" t="str">
        <x:f>IF(G37&gt;0.0000001,"改善",IF(G37&lt;-0.0000001,"退化","持平"))</x:f>
        <x:v>持平</x:v>
      </x:c>
      <x:c r="L37" s="11" t="n">
        <x:f>AVERAGE('540条种子'!H99:H101)</x:f>
        <x:v>0.25</x:v>
      </x:c>
    </x:row>
    <x:row r="38" ht="23" customHeight="1">
      <x:c r="A38" s="2" t="str">
        <x:v>Climate</x:v>
      </x:c>
      <x:c r="B38" s="2" t="n">
        <x:v>10</x:v>
      </x:c>
      <x:c r="C38" s="2" t="str">
        <x:v>SpecTF</x:v>
      </x:c>
      <x:c r="D38" s="10" t="n">
        <x:f>'540条种子'!E102</x:f>
        <x:v>1.1226732238917876</x:v>
      </x:c>
      <x:c r="E38" s="10" t="n">
        <x:f>AVERAGE('540条种子'!G102:G104)</x:f>
        <x:v>1.1226732238917876</x:v>
      </x:c>
      <x:c r="F38" s="10" t="n">
        <x:f>STDEV.S('540条种子'!G102:G104)</x:f>
        <x:v>0</x:v>
      </x:c>
      <x:c r="G38" s="12" t="n">
        <x:f>(D38-E38)/D38</x:f>
        <x:v>0</x:v>
      </x:c>
      <x:c r="H38" s="10" t="n">
        <x:f>AVERAGE('540条种子'!F102:F104)</x:f>
        <x:v>1.122673223886854</x:v>
      </x:c>
      <x:c r="I38" s="12" t="n">
        <x:f>(D38-H38)/D38</x:f>
        <x:v>4.394519234837307e-12</x:v>
      </x:c>
      <x:c r="J38" s="2" t="n">
        <x:f>COUNTIFS('540条种子'!H102:H104,"&gt;0",'540条种子'!I102:I104,"&gt;0")</x:f>
        <x:v>0</x:v>
      </x:c>
      <x:c r="K38" s="2" t="str">
        <x:f>IF(G38&gt;0.0000001,"改善",IF(G38&lt;-0.0000001,"退化","持平"))</x:f>
        <x:v>持平</x:v>
      </x:c>
      <x:c r="L38" s="11" t="n">
        <x:f>AVERAGE('540条种子'!H102:H104)</x:f>
        <x:v>0</x:v>
      </x:c>
    </x:row>
    <x:row r="39" ht="23" customHeight="1">
      <x:c r="A39" s="2" t="str">
        <x:v>Climate</x:v>
      </x:c>
      <x:c r="B39" s="2" t="n">
        <x:v>10</x:v>
      </x:c>
      <x:c r="C39" s="2" t="str">
        <x:v>CFA</x:v>
      </x:c>
      <x:c r="D39" s="10" t="n">
        <x:f>'540条种子'!E105</x:f>
        <x:v>1.0921057930035716</x:v>
      </x:c>
      <x:c r="E39" s="10" t="n">
        <x:f>AVERAGE('540条种子'!G105:G107)</x:f>
        <x:v>1.0921057930063105</x:v>
      </x:c>
      <x:c r="F39" s="10" t="n">
        <x:f>STDEV.S('540条种子'!G105:G107)</x:f>
        <x:v>0</x:v>
      </x:c>
      <x:c r="G39" s="12" t="n">
        <x:f>(D39-E39)/D39</x:f>
        <x:v>-2.5079257149781497e-12</x:v>
      </x:c>
      <x:c r="H39" s="10" t="n">
        <x:f>AVERAGE('540条种子'!F105:F107)</x:f>
        <x:v>1.0921057927416449</x:v>
      </x:c>
      <x:c r="I39" s="12" t="n">
        <x:f>(D39-H39)/D39</x:f>
        <x:v>2.3983638236096633e-10</x:v>
      </x:c>
      <x:c r="J39" s="2" t="n">
        <x:f>COUNTIFS('540条种子'!H105:H107,"&gt;0",'540条种子'!I105:I107,"&gt;0")</x:f>
        <x:v>0</x:v>
      </x:c>
      <x:c r="K39" s="2" t="str">
        <x:f>IF(G39&gt;0.0000001,"改善",IF(G39&lt;-0.0000001,"退化","持平"))</x:f>
        <x:v>持平</x:v>
      </x:c>
      <x:c r="L39" s="11" t="n">
        <x:f>AVERAGE('540条种子'!H105:H107)</x:f>
        <x:v>0.25</x:v>
      </x:c>
    </x:row>
    <x:row r="40" ht="23" customHeight="1">
      <x:c r="A40" s="2" t="str">
        <x:v>Climate</x:v>
      </x:c>
      <x:c r="B40" s="2" t="n">
        <x:v>10</x:v>
      </x:c>
      <x:c r="C40" s="2" t="str">
        <x:v>Aurora</x:v>
      </x:c>
      <x:c r="D40" s="10" t="n">
        <x:f>'540条种子'!E108</x:f>
        <x:v>1.160987237939077</x:v>
      </x:c>
      <x:c r="E40" s="10" t="n">
        <x:f>AVERAGE('540条种子'!G108:G110)</x:f>
        <x:v>1.1609872381995572</x:v>
      </x:c>
      <x:c r="F40" s="10" t="n">
        <x:f>STDEV.S('540条种子'!G108:G110)</x:f>
        <x:v>0</x:v>
      </x:c>
      <x:c r="G40" s="12" t="n">
        <x:f>(D40-E40)/D40</x:f>
        <x:v>-2.2436084862632494e-10</x:v>
      </x:c>
      <x:c r="H40" s="10" t="n">
        <x:f>AVERAGE('540条种子'!F108:F110)</x:f>
        <x:v>1.1609872381682953</x:v>
      </x:c>
      <x:c r="I40" s="12" t="n">
        <x:f>(D40-H40)/D40</x:f>
        <x:v>-1.9743386704511952e-10</x:v>
      </x:c>
      <x:c r="J40" s="2" t="n">
        <x:f>COUNTIFS('540条种子'!H108:H110,"&gt;0",'540条种子'!I108:I110,"&gt;0")</x:f>
        <x:v>0</x:v>
      </x:c>
      <x:c r="K40" s="2" t="str">
        <x:f>IF(G40&gt;0.0000001,"改善",IF(G40&lt;-0.0000001,"退化","持平"))</x:f>
        <x:v>持平</x:v>
      </x:c>
      <x:c r="L40" s="11" t="n">
        <x:f>AVERAGE('540条种子'!H108:H110)</x:f>
        <x:v>0.75</x:v>
      </x:c>
    </x:row>
    <x:row r="41" ht="23" customHeight="1">
      <x:c r="A41" s="2" t="str">
        <x:v>Climate</x:v>
      </x:c>
      <x:c r="B41" s="2" t="n">
        <x:v>12</x:v>
      </x:c>
      <x:c r="C41" s="2" t="str">
        <x:v>TaTS</x:v>
      </x:c>
      <x:c r="D41" s="10" t="n">
        <x:f>'540条种子'!E111</x:f>
        <x:v>1.1409304660185637</x:v>
      </x:c>
      <x:c r="E41" s="10" t="n">
        <x:f>AVERAGE('540条种子'!G111:G113)</x:f>
        <x:v>1.1409304659432564</x:v>
      </x:c>
      <x:c r="F41" s="10" t="n">
        <x:f>STDEV.S('540条种子'!G111:G113)</x:f>
        <x:v>0</x:v>
      </x:c>
      <x:c r="G41" s="12" t="n">
        <x:f>(D41-E41)/D41</x:f>
        <x:v>6.600517575934269e-11</x:v>
      </x:c>
      <x:c r="H41" s="10" t="n">
        <x:f>AVERAGE('540条种子'!F111:F113)</x:f>
        <x:v>1.1409304659432564</x:v>
      </x:c>
      <x:c r="I41" s="12" t="n">
        <x:f>(D41-H41)/D41</x:f>
        <x:v>6.600517575934269e-11</x:v>
      </x:c>
      <x:c r="J41" s="2" t="n">
        <x:f>COUNTIFS('540条种子'!H111:H113,"&gt;0",'540条种子'!I111:I113,"&gt;0")</x:f>
        <x:v>0</x:v>
      </x:c>
      <x:c r="K41" s="2" t="str">
        <x:f>IF(G41&gt;0.0000001,"改善",IF(G41&lt;-0.0000001,"退化","持平"))</x:f>
        <x:v>持平</x:v>
      </x:c>
      <x:c r="L41" s="11" t="n">
        <x:f>AVERAGE('540条种子'!H111:H113)</x:f>
        <x:v>1</x:v>
      </x:c>
    </x:row>
    <x:row r="42" ht="23" customHeight="1">
      <x:c r="A42" s="2" t="str">
        <x:v>Climate</x:v>
      </x:c>
      <x:c r="B42" s="2" t="n">
        <x:v>12</x:v>
      </x:c>
      <x:c r="C42" s="2" t="str">
        <x:v>MM-TSFlib</x:v>
      </x:c>
      <x:c r="D42" s="10" t="n">
        <x:f>'540条种子'!E114</x:f>
        <x:v>1.216266717246754</x:v>
      </x:c>
      <x:c r="E42" s="10" t="n">
        <x:f>AVERAGE('540条种子'!G114:G116)</x:f>
        <x:v>1.2162667169387846</x:v>
      </x:c>
      <x:c r="F42" s="10" t="n">
        <x:f>STDEV.S('540条种子'!G114:G116)</x:f>
        <x:v>0</x:v>
      </x:c>
      <x:c r="G42" s="12" t="n">
        <x:f>(D42-E42)/D42</x:f>
        <x:v>2.5320879324447987e-10</x:v>
      </x:c>
      <x:c r="H42" s="10" t="n">
        <x:f>AVERAGE('540条种子'!F114:F116)</x:f>
        <x:v>1.2162667169268637</x:v>
      </x:c>
      <x:c r="I42" s="12" t="n">
        <x:f>(D42-H42)/D42</x:f>
        <x:v>2.630100223133763e-10</x:v>
      </x:c>
      <x:c r="J42" s="2" t="n">
        <x:f>COUNTIFS('540条种子'!H114:H116,"&gt;0",'540条种子'!I114:I116,"&gt;0")</x:f>
        <x:v>0</x:v>
      </x:c>
      <x:c r="K42" s="2" t="str">
        <x:f>IF(G42&gt;0.0000001,"改善",IF(G42&lt;-0.0000001,"退化","持平"))</x:f>
        <x:v>持平</x:v>
      </x:c>
      <x:c r="L42" s="11" t="n">
        <x:f>AVERAGE('540条种子'!H114:H116)</x:f>
        <x:v>0.75</x:v>
      </x:c>
    </x:row>
    <x:row r="43" ht="23" customHeight="1">
      <x:c r="A43" s="2" t="str">
        <x:v>Climate</x:v>
      </x:c>
      <x:c r="B43" s="2" t="n">
        <x:v>12</x:v>
      </x:c>
      <x:c r="C43" s="2" t="str">
        <x:v>SpecTF</x:v>
      </x:c>
      <x:c r="D43" s="10" t="n">
        <x:f>'540条种子'!E117</x:f>
        <x:v>1.1263081593985549</x:v>
      </x:c>
      <x:c r="E43" s="10" t="n">
        <x:f>AVERAGE('540条种子'!G117:G119)</x:f>
        <x:v>1.1263081593985549</x:v>
      </x:c>
      <x:c r="F43" s="10" t="n">
        <x:f>STDEV.S('540条种子'!G117:G119)</x:f>
        <x:v>0</x:v>
      </x:c>
      <x:c r="G43" s="12" t="n">
        <x:f>(D43-E43)/D43</x:f>
        <x:v>0</x:v>
      </x:c>
      <x:c r="H43" s="10" t="n">
        <x:f>AVERAGE('540条种子'!F117:F119)</x:f>
        <x:v>1.1263081596553506</x:v>
      </x:c>
      <x:c r="I43" s="12" t="n">
        <x:f>(D43-H43)/D43</x:f>
        <x:v>-2.2799772307070158e-10</x:v>
      </x:c>
      <x:c r="J43" s="2" t="n">
        <x:f>COUNTIFS('540条种子'!H117:H119,"&gt;0",'540条种子'!I117:I119,"&gt;0")</x:f>
        <x:v>0</x:v>
      </x:c>
      <x:c r="K43" s="2" t="str">
        <x:f>IF(G43&gt;0.0000001,"改善",IF(G43&lt;-0.0000001,"退化","持平"))</x:f>
        <x:v>持平</x:v>
      </x:c>
      <x:c r="L43" s="11" t="n">
        <x:f>AVERAGE('540条种子'!H117:H119)</x:f>
        <x:v>0</x:v>
      </x:c>
    </x:row>
    <x:row r="44" ht="23" customHeight="1">
      <x:c r="A44" s="2" t="str">
        <x:v>Climate</x:v>
      </x:c>
      <x:c r="B44" s="2" t="n">
        <x:v>12</x:v>
      </x:c>
      <x:c r="C44" s="2" t="str">
        <x:v>CFA</x:v>
      </x:c>
      <x:c r="D44" s="10" t="n">
        <x:f>'540条种子'!E120</x:f>
        <x:v>1.116828027737457</x:v>
      </x:c>
      <x:c r="E44" s="10" t="n">
        <x:f>AVERAGE('540条种子'!G120:G122)</x:f>
        <x:v>1.1168280277392026</x:v>
      </x:c>
      <x:c r="F44" s="10" t="n">
        <x:f>STDEV.S('540条种子'!G120:G122)</x:f>
        <x:v>0</x:v>
      </x:c>
      <x:c r="G44" s="12" t="n">
        <x:f>(D44-E44)/D44</x:f>
        <x:v>-1.5631007107308892e-12</x:v>
      </x:c>
      <x:c r="H44" s="10" t="n">
        <x:f>AVERAGE('540条种子'!F120:F122)</x:f>
        <x:v>1.1168280276649847</x:v>
      </x:c>
      <x:c r="I44" s="12" t="n">
        <x:f>(D44-H44)/D44</x:f>
        <x:v>6.48911458372694e-11</x:v>
      </x:c>
      <x:c r="J44" s="2" t="n">
        <x:f>COUNTIFS('540条种子'!H120:H122,"&gt;0",'540条种子'!I120:I122,"&gt;0")</x:f>
        <x:v>0</x:v>
      </x:c>
      <x:c r="K44" s="2" t="str">
        <x:f>IF(G44&gt;0.0000001,"改善",IF(G44&lt;-0.0000001,"退化","持平"))</x:f>
        <x:v>持平</x:v>
      </x:c>
      <x:c r="L44" s="11" t="n">
        <x:f>AVERAGE('540条种子'!H120:H122)</x:f>
        <x:v>0.5</x:v>
      </x:c>
    </x:row>
    <x:row r="45" ht="23" customHeight="1">
      <x:c r="A45" s="2" t="str">
        <x:v>Climate</x:v>
      </x:c>
      <x:c r="B45" s="2" t="n">
        <x:v>12</x:v>
      </x:c>
      <x:c r="C45" s="2" t="str">
        <x:v>Aurora</x:v>
      </x:c>
      <x:c r="D45" s="10" t="n">
        <x:f>'540条种子'!E123</x:f>
        <x:v>1.1706371855200317</x:v>
      </x:c>
      <x:c r="E45" s="10" t="n">
        <x:f>AVERAGE('540条种子'!G123:G125)</x:f>
        <x:v>1.1706371855200317</x:v>
      </x:c>
      <x:c r="F45" s="10" t="n">
        <x:f>STDEV.S('540条种子'!G123:G125)</x:f>
        <x:v>0</x:v>
      </x:c>
      <x:c r="G45" s="12" t="n">
        <x:f>(D45-E45)/D45</x:f>
        <x:v>0</x:v>
      </x:c>
      <x:c r="H45" s="10" t="n">
        <x:f>AVERAGE('540条种子'!F123:F125)</x:f>
        <x:v>1.1706371855139366</x:v>
      </x:c>
      <x:c r="I45" s="12" t="n">
        <x:f>(D45-H45)/D45</x:f>
        <x:v>5.206672469134384e-12</x:v>
      </x:c>
      <x:c r="J45" s="2" t="n">
        <x:f>COUNTIFS('540条种子'!H123:H125,"&gt;0",'540条种子'!I123:I125,"&gt;0")</x:f>
        <x:v>0</x:v>
      </x:c>
      <x:c r="K45" s="2" t="str">
        <x:f>IF(G45&gt;0.0000001,"改善",IF(G45&lt;-0.0000001,"退化","持平"))</x:f>
        <x:v>持平</x:v>
      </x:c>
      <x:c r="L45" s="11" t="n">
        <x:f>AVERAGE('540条种子'!H123:H125)</x:f>
        <x:v>0</x:v>
      </x:c>
    </x:row>
    <x:row r="46" ht="23" customHeight="1">
      <x:c r="A46" s="2" t="str">
        <x:v>Economy</x:v>
      </x:c>
      <x:c r="B46" s="2" t="n">
        <x:v>6</x:v>
      </x:c>
      <x:c r="C46" s="2" t="str">
        <x:v>TaTS</x:v>
      </x:c>
      <x:c r="D46" s="10" t="n">
        <x:f>'540条种子'!E126</x:f>
        <x:v>0.16271074981363087</x:v>
      </x:c>
      <x:c r="E46" s="10" t="n">
        <x:f>AVERAGE('540条种子'!G126:G128)</x:f>
        <x:v>0.16335459751249948</x:v>
      </x:c>
      <x:c r="F46" s="10" t="n">
        <x:f>STDEV.S('540条种子'!G126:G128)</x:f>
        <x:v>0.0011151769267767303</x:v>
      </x:c>
      <x:c r="G46" s="12" t="n">
        <x:f>(D46-E46)/D46</x:f>
        <x:v>-0.003957007755210205</x:v>
      </x:c>
      <x:c r="H46" s="10" t="n">
        <x:f>AVERAGE('540条种子'!F126:F128)</x:f>
        <x:v>0.16389542100203447</x:v>
      </x:c>
      <x:c r="I46" s="12" t="n">
        <x:f>(D46-H46)/D46</x:f>
        <x:v>-0.007280841553250296</x:v>
      </x:c>
      <x:c r="J46" s="2" t="n">
        <x:f>COUNTIFS('540条种子'!H126:H128,"&gt;0",'540条种子'!I126:I128,"&gt;0")</x:f>
        <x:v>1</x:v>
      </x:c>
      <x:c r="K46" s="2" t="str">
        <x:f>IF(G46&gt;0.0000001,"改善",IF(G46&lt;-0.0000001,"退化","持平"))</x:f>
        <x:v>退化</x:v>
      </x:c>
      <x:c r="L46" s="11" t="n">
        <x:f>AVERAGE('540条种子'!H126:H128)</x:f>
        <x:v>0.3333333333333333</x:v>
      </x:c>
    </x:row>
    <x:row r="47" ht="23" customHeight="1">
      <x:c r="A47" s="2" t="str">
        <x:v>Economy</x:v>
      </x:c>
      <x:c r="B47" s="2" t="n">
        <x:v>6</x:v>
      </x:c>
      <x:c r="C47" s="2" t="str">
        <x:v>MM-TSFlib</x:v>
      </x:c>
      <x:c r="D47" s="10" t="n">
        <x:f>'540条种子'!E129</x:f>
        <x:v>0.8565175914521214</x:v>
      </x:c>
      <x:c r="E47" s="10" t="n">
        <x:f>AVERAGE('540条种子'!G129:G131)</x:f>
        <x:v>0.8429338381750222</x:v>
      </x:c>
      <x:c r="F47" s="10" t="n">
        <x:f>STDEV.S('540条种子'!G129:G131)</x:f>
        <x:v>0.023607298217655375</x:v>
      </x:c>
      <x:c r="G47" s="12" t="n">
        <x:f>(D47-E47)/D47</x:f>
        <x:v>0.01585928113171564</x:v>
      </x:c>
      <x:c r="H47" s="10" t="n">
        <x:f>AVERAGE('540条种子'!F129:F131)</x:f>
        <x:v>0.8408319432397665</x:v>
      </x:c>
      <x:c r="I47" s="12" t="n">
        <x:f>(D47-H47)/D47</x:f>
        <x:v>0.018313282025838772</x:v>
      </x:c>
      <x:c r="J47" s="2" t="n">
        <x:f>COUNTIFS('540条种子'!H129:H131,"&gt;0",'540条种子'!I129:I131,"&gt;0")</x:f>
        <x:v>2</x:v>
      </x:c>
      <x:c r="K47" s="2" t="str">
        <x:f>IF(G47&gt;0.0000001,"改善",IF(G47&lt;-0.0000001,"退化","持平"))</x:f>
        <x:v>改善</x:v>
      </x:c>
      <x:c r="L47" s="11" t="n">
        <x:f>AVERAGE('540条种子'!H129:H131)</x:f>
        <x:v>0.5833333333333334</x:v>
      </x:c>
    </x:row>
    <x:row r="48" ht="23" customHeight="1">
      <x:c r="A48" s="2" t="str">
        <x:v>Economy</x:v>
      </x:c>
      <x:c r="B48" s="2" t="n">
        <x:v>6</x:v>
      </x:c>
      <x:c r="C48" s="2" t="str">
        <x:v>SpecTF</x:v>
      </x:c>
      <x:c r="D48" s="10" t="n">
        <x:f>'540条种子'!E132</x:f>
        <x:v>0.15398558090161274</x:v>
      </x:c>
      <x:c r="E48" s="10" t="n">
        <x:f>AVERAGE('540条种子'!G132:G134)</x:f>
        <x:v>0.1542564141217095</x:v>
      </x:c>
      <x:c r="F48" s="10" t="n">
        <x:f>STDEV.S('540条种子'!G132:G134)</x:f>
        <x:v>0.0002633619371624608</x:v>
      </x:c>
      <x:c r="G48" s="12" t="n">
        <x:f>(D48-E48)/D48</x:f>
        <x:v>-0.0017588219527503548</x:v>
      </x:c>
      <x:c r="H48" s="10" t="n">
        <x:f>AVERAGE('540条种子'!F132:F134)</x:f>
        <x:v>0.1542564141217095</x:v>
      </x:c>
      <x:c r="I48" s="12" t="n">
        <x:f>(D48-H48)/D48</x:f>
        <x:v>-0.0017588219527503548</x:v>
      </x:c>
      <x:c r="J48" s="2" t="n">
        <x:f>COUNTIFS('540条种子'!H132:H134,"&gt;0",'540条种子'!I132:I134,"&gt;0")</x:f>
        <x:v>3</x:v>
      </x:c>
      <x:c r="K48" s="2" t="str">
        <x:f>IF(G48&gt;0.0000001,"改善",IF(G48&lt;-0.0000001,"退化","持平"))</x:f>
        <x:v>退化</x:v>
      </x:c>
      <x:c r="L48" s="11" t="n">
        <x:f>AVERAGE('540条种子'!H132:H134)</x:f>
        <x:v>1</x:v>
      </x:c>
    </x:row>
    <x:row r="49" ht="23" customHeight="1">
      <x:c r="A49" s="2" t="str">
        <x:v>Economy</x:v>
      </x:c>
      <x:c r="B49" s="2" t="n">
        <x:v>6</x:v>
      </x:c>
      <x:c r="C49" s="2" t="str">
        <x:v>CFA</x:v>
      </x:c>
      <x:c r="D49" s="10" t="n">
        <x:f>'540条种子'!E135</x:f>
        <x:v>0.17158745546126114</x:v>
      </x:c>
      <x:c r="E49" s="10" t="n">
        <x:f>AVERAGE('540条种子'!G135:G137)</x:f>
        <x:v>0.1749326772734787</x:v>
      </x:c>
      <x:c r="F49" s="10" t="n">
        <x:f>STDEV.S('540条种子'!G135:G137)</x:f>
        <x:v>0.0052974473095667865</x:v>
      </x:c>
      <x:c r="G49" s="12" t="n">
        <x:f>(D49-E49)/D49</x:f>
        <x:v>-0.019495724808232234</x:v>
      </x:c>
      <x:c r="H49" s="10" t="n">
        <x:f>AVERAGE('540条种子'!F135:F137)</x:f>
        <x:v>0.1749326772734787</x:v>
      </x:c>
      <x:c r="I49" s="12" t="n">
        <x:f>(D49-H49)/D49</x:f>
        <x:v>-0.019495724808232234</x:v>
      </x:c>
      <x:c r="J49" s="2" t="n">
        <x:f>COUNTIFS('540条种子'!H135:H137,"&gt;0",'540条种子'!I135:I137,"&gt;0")</x:f>
        <x:v>3</x:v>
      </x:c>
      <x:c r="K49" s="2" t="str">
        <x:f>IF(G49&gt;0.0000001,"改善",IF(G49&lt;-0.0000001,"退化","持平"))</x:f>
        <x:v>退化</x:v>
      </x:c>
      <x:c r="L49" s="11" t="n">
        <x:f>AVERAGE('540条种子'!H135:H137)</x:f>
        <x:v>1</x:v>
      </x:c>
    </x:row>
    <x:row r="50" ht="23" customHeight="1">
      <x:c r="A50" s="2" t="str">
        <x:v>Economy</x:v>
      </x:c>
      <x:c r="B50" s="2" t="n">
        <x:v>6</x:v>
      </x:c>
      <x:c r="C50" s="2" t="str">
        <x:v>Aurora</x:v>
      </x:c>
      <x:c r="D50" s="10" t="n">
        <x:f>'540条种子'!E138</x:f>
        <x:v>0.276509449314873</x:v>
      </x:c>
      <x:c r="E50" s="10" t="n">
        <x:f>AVERAGE('540条种子'!G138:G140)</x:f>
        <x:v>0.2772371906169744</x:v>
      </x:c>
      <x:c r="F50" s="10" t="n">
        <x:f>STDEV.S('540条种子'!G138:G140)</x:f>
        <x:v>0.00126048491000593</x:v>
      </x:c>
      <x:c r="G50" s="12" t="n">
        <x:f>(D50-E50)/D50</x:f>
        <x:v>-0.0026318858321282674</x:v>
      </x:c>
      <x:c r="H50" s="10" t="n">
        <x:f>AVERAGE('540条种子'!F138:F140)</x:f>
        <x:v>0.2913336000394929</x:v>
      </x:c>
      <x:c r="I50" s="12" t="n">
        <x:f>(D50-H50)/D50</x:f>
        <x:v>-0.05361173284077903</x:v>
      </x:c>
      <x:c r="J50" s="2" t="n">
        <x:f>COUNTIFS('540条种子'!H138:H140,"&gt;0",'540条种子'!I138:I140,"&gt;0")</x:f>
        <x:v>1</x:v>
      </x:c>
      <x:c r="K50" s="2" t="str">
        <x:f>IF(G50&gt;0.0000001,"改善",IF(G50&lt;-0.0000001,"退化","持平"))</x:f>
        <x:v>退化</x:v>
      </x:c>
      <x:c r="L50" s="11" t="n">
        <x:f>AVERAGE('540条种子'!H138:H140)</x:f>
        <x:v>0.3333333333333333</x:v>
      </x:c>
    </x:row>
    <x:row r="51" ht="23" customHeight="1">
      <x:c r="A51" s="2" t="str">
        <x:v>Economy</x:v>
      </x:c>
      <x:c r="B51" s="2" t="n">
        <x:v>8</x:v>
      </x:c>
      <x:c r="C51" s="2" t="str">
        <x:v>TaTS</x:v>
      </x:c>
      <x:c r="D51" s="10" t="n">
        <x:f>'540条种子'!E141</x:f>
        <x:v>0.17193530537689122</x:v>
      </x:c>
      <x:c r="E51" s="10" t="n">
        <x:f>AVERAGE('540条种子'!G141:G143)</x:f>
        <x:v>0.16786330002046856</x:v>
      </x:c>
      <x:c r="F51" s="10" t="n">
        <x:f>STDEV.S('540条种子'!G141:G143)</x:f>
        <x:v>0.0027710577836031</x:v>
      </x:c>
      <x:c r="G51" s="12" t="n">
        <x:f>(D51-E51)/D51</x:f>
        <x:v>0.023683357804242758</x:v>
      </x:c>
      <x:c r="H51" s="10" t="n">
        <x:f>AVERAGE('540条种子'!F141:F143)</x:f>
        <x:v>0.16786330002046856</x:v>
      </x:c>
      <x:c r="I51" s="12" t="n">
        <x:f>(D51-H51)/D51</x:f>
        <x:v>0.023683357804242758</x:v>
      </x:c>
      <x:c r="J51" s="2" t="n">
        <x:f>COUNTIFS('540条种子'!H141:H143,"&gt;0",'540条种子'!I141:I143,"&gt;0")</x:f>
        <x:v>3</x:v>
      </x:c>
      <x:c r="K51" s="2" t="str">
        <x:f>IF(G51&gt;0.0000001,"改善",IF(G51&lt;-0.0000001,"退化","持平"))</x:f>
        <x:v>改善</x:v>
      </x:c>
      <x:c r="L51" s="11" t="n">
        <x:f>AVERAGE('540条种子'!H141:H143)</x:f>
        <x:v>1</x:v>
      </x:c>
    </x:row>
    <x:row r="52" ht="23" customHeight="1">
      <x:c r="A52" s="2" t="str">
        <x:v>Economy</x:v>
      </x:c>
      <x:c r="B52" s="2" t="n">
        <x:v>8</x:v>
      </x:c>
      <x:c r="C52" s="2" t="str">
        <x:v>MM-TSFlib</x:v>
      </x:c>
      <x:c r="D52" s="10" t="n">
        <x:f>'540条种子'!E144</x:f>
        <x:v>0.9900096828286012</x:v>
      </x:c>
      <x:c r="E52" s="10" t="n">
        <x:f>AVERAGE('540条种子'!G144:G146)</x:f>
        <x:v>0.8157366025368908</x:v>
      </x:c>
      <x:c r="F52" s="10" t="n">
        <x:f>STDEV.S('540条种子'!G144:G146)</x:f>
        <x:v>0.011641535037303495</x:v>
      </x:c>
      <x:c r="G52" s="12" t="n">
        <x:f>(D52-E52)/D52</x:f>
        <x:v>0.1760316927343447</x:v>
      </x:c>
      <x:c r="H52" s="10" t="n">
        <x:f>AVERAGE('540条种子'!F144:F146)</x:f>
        <x:v>0.7628169113306059</x:v>
      </x:c>
      <x:c r="I52" s="12" t="n">
        <x:f>(D52-H52)/D52</x:f>
        <x:v>0.22948540346481525</x:v>
      </x:c>
      <x:c r="J52" s="2" t="n">
        <x:f>COUNTIFS('540条种子'!H144:H146,"&gt;0",'540条种子'!I144:I146,"&gt;0")</x:f>
        <x:v>3</x:v>
      </x:c>
      <x:c r="K52" s="2" t="str">
        <x:f>IF(G52&gt;0.0000001,"改善",IF(G52&lt;-0.0000001,"退化","持平"))</x:f>
        <x:v>改善</x:v>
      </x:c>
      <x:c r="L52" s="11" t="n">
        <x:f>AVERAGE('540条种子'!H144:H146)</x:f>
        <x:v>0.75</x:v>
      </x:c>
    </x:row>
    <x:row r="53" ht="23" customHeight="1">
      <x:c r="A53" s="2" t="str">
        <x:v>Economy</x:v>
      </x:c>
      <x:c r="B53" s="2" t="n">
        <x:v>8</x:v>
      </x:c>
      <x:c r="C53" s="2" t="str">
        <x:v>SpecTF</x:v>
      </x:c>
      <x:c r="D53" s="10" t="n">
        <x:f>'540条种子'!E147</x:f>
        <x:v>0.20794032049325598</x:v>
      </x:c>
      <x:c r="E53" s="10" t="n">
        <x:f>AVERAGE('540条种子'!G147:G149)</x:f>
        <x:v>0.19934704701231057</x:v>
      </x:c>
      <x:c r="F53" s="10" t="n">
        <x:f>STDEV.S('540条种子'!G147:G149)</x:f>
        <x:v>0.001062371380598909</x:v>
      </x:c>
      <x:c r="G53" s="12" t="n">
        <x:f>(D53-E53)/D53</x:f>
        <x:v>0.04132567200320396</x:v>
      </x:c>
      <x:c r="H53" s="10" t="n">
        <x:f>AVERAGE('540条种子'!F147:F149)</x:f>
        <x:v>0.19934704701231057</x:v>
      </x:c>
      <x:c r="I53" s="12" t="n">
        <x:f>(D53-H53)/D53</x:f>
        <x:v>0.04132567200320396</x:v>
      </x:c>
      <x:c r="J53" s="2" t="n">
        <x:f>COUNTIFS('540条种子'!H147:H149,"&gt;0",'540条种子'!I147:I149,"&gt;0")</x:f>
        <x:v>3</x:v>
      </x:c>
      <x:c r="K53" s="2" t="str">
        <x:f>IF(G53&gt;0.0000001,"改善",IF(G53&lt;-0.0000001,"退化","持平"))</x:f>
        <x:v>改善</x:v>
      </x:c>
      <x:c r="L53" s="11" t="n">
        <x:f>AVERAGE('540条种子'!H147:H149)</x:f>
        <x:v>1</x:v>
      </x:c>
    </x:row>
    <x:row r="54" ht="23" customHeight="1">
      <x:c r="A54" s="2" t="str">
        <x:v>Economy</x:v>
      </x:c>
      <x:c r="B54" s="2" t="n">
        <x:v>8</x:v>
      </x:c>
      <x:c r="C54" s="2" t="str">
        <x:v>CFA</x:v>
      </x:c>
      <x:c r="D54" s="10" t="n">
        <x:f>'540条种子'!E150</x:f>
        <x:v>0.19030338745728353</x:v>
      </x:c>
      <x:c r="E54" s="10" t="n">
        <x:f>AVERAGE('540条种子'!G150:G152)</x:f>
        <x:v>0.1836090674726584</x:v>
      </x:c>
      <x:c r="F54" s="10" t="n">
        <x:f>STDEV.S('540条种子'!G150:G152)</x:f>
        <x:v>0.0011593369915555468</x:v>
      </x:c>
      <x:c r="G54" s="12" t="n">
        <x:f>(D54-E54)/D54</x:f>
        <x:v>0.03517709313570562</x:v>
      </x:c>
      <x:c r="H54" s="10" t="n">
        <x:f>AVERAGE('540条种子'!F150:F152)</x:f>
        <x:v>0.1836090674726584</x:v>
      </x:c>
      <x:c r="I54" s="12" t="n">
        <x:f>(D54-H54)/D54</x:f>
        <x:v>0.03517709313570562</x:v>
      </x:c>
      <x:c r="J54" s="2" t="n">
        <x:f>COUNTIFS('540条种子'!H150:H152,"&gt;0",'540条种子'!I150:I152,"&gt;0")</x:f>
        <x:v>3</x:v>
      </x:c>
      <x:c r="K54" s="2" t="str">
        <x:f>IF(G54&gt;0.0000001,"改善",IF(G54&lt;-0.0000001,"退化","持平"))</x:f>
        <x:v>改善</x:v>
      </x:c>
      <x:c r="L54" s="11" t="n">
        <x:f>AVERAGE('540条种子'!H150:H152)</x:f>
        <x:v>1</x:v>
      </x:c>
    </x:row>
    <x:row r="55" ht="23" customHeight="1">
      <x:c r="A55" s="2" t="str">
        <x:v>Economy</x:v>
      </x:c>
      <x:c r="B55" s="2" t="n">
        <x:v>8</x:v>
      </x:c>
      <x:c r="C55" s="2" t="str">
        <x:v>Aurora</x:v>
      </x:c>
      <x:c r="D55" s="10" t="n">
        <x:f>'540条种子'!E153</x:f>
        <x:v>0.30134888800131915</x:v>
      </x:c>
      <x:c r="E55" s="10" t="n">
        <x:f>AVERAGE('540条种子'!G153:G155)</x:f>
        <x:v>0.30134888800131915</x:v>
      </x:c>
      <x:c r="F55" s="10" t="n">
        <x:f>STDEV.S('540条种子'!G153:G155)</x:f>
        <x:v>0</x:v>
      </x:c>
      <x:c r="G55" s="12" t="n">
        <x:f>(D55-E55)/D55</x:f>
        <x:v>0</x:v>
      </x:c>
      <x:c r="H55" s="10" t="n">
        <x:f>AVERAGE('540条种子'!F153:F155)</x:f>
        <x:v>0.28936136476692864</x:v>
      </x:c>
      <x:c r="I55" s="12" t="n">
        <x:f>(D55-H55)/D55</x:f>
        <x:v>0.0397795502545144</x:v>
      </x:c>
      <x:c r="J55" s="2" t="n">
        <x:f>COUNTIFS('540条种子'!H153:H155,"&gt;0",'540条种子'!I153:I155,"&gt;0")</x:f>
        <x:v>0</x:v>
      </x:c>
      <x:c r="K55" s="2" t="str">
        <x:f>IF(G55&gt;0.0000001,"改善",IF(G55&lt;-0.0000001,"退化","持平"))</x:f>
        <x:v>持平</x:v>
      </x:c>
      <x:c r="L55" s="11" t="n">
        <x:f>AVERAGE('540条种子'!H153:H155)</x:f>
        <x:v>0</x:v>
      </x:c>
    </x:row>
    <x:row r="56" ht="23" customHeight="1">
      <x:c r="A56" s="2" t="str">
        <x:v>Economy</x:v>
      </x:c>
      <x:c r="B56" s="2" t="n">
        <x:v>10</x:v>
      </x:c>
      <x:c r="C56" s="2" t="str">
        <x:v>TaTS</x:v>
      </x:c>
      <x:c r="D56" s="10" t="n">
        <x:f>'540条种子'!E156</x:f>
        <x:v>0.18058548881660597</x:v>
      </x:c>
      <x:c r="E56" s="10" t="n">
        <x:f>AVERAGE('540条种子'!G156:G158)</x:f>
        <x:v>0.17703266322367373</x:v>
      </x:c>
      <x:c r="F56" s="10" t="n">
        <x:f>STDEV.S('540条种子'!G156:G158)</x:f>
        <x:v>0.006153674437389679</x:v>
      </x:c>
      <x:c r="G56" s="12" t="n">
        <x:f>(D56-E56)/D56</x:f>
        <x:v>0.019673926272892953</x:v>
      </x:c>
      <x:c r="H56" s="10" t="n">
        <x:f>AVERAGE('540条种子'!F156:F158)</x:f>
        <x:v>0.1733849908334162</x:v>
      </x:c>
      <x:c r="I56" s="12" t="n">
        <x:f>(D56-H56)/D56</x:f>
        <x:v>0.039873070811920194</x:v>
      </x:c>
      <x:c r="J56" s="2" t="n">
        <x:f>COUNTIFS('540条种子'!H156:H158,"&gt;0",'540条种子'!I156:I158,"&gt;0")</x:f>
        <x:v>1</x:v>
      </x:c>
      <x:c r="K56" s="2" t="str">
        <x:f>IF(G56&gt;0.0000001,"改善",IF(G56&lt;-0.0000001,"退化","持平"))</x:f>
        <x:v>改善</x:v>
      </x:c>
      <x:c r="L56" s="11" t="n">
        <x:f>AVERAGE('540条种子'!H156:H158)</x:f>
        <x:v>0.3333333333333333</x:v>
      </x:c>
    </x:row>
    <x:row r="57" ht="23" customHeight="1">
      <x:c r="A57" s="2" t="str">
        <x:v>Economy</x:v>
      </x:c>
      <x:c r="B57" s="2" t="n">
        <x:v>10</x:v>
      </x:c>
      <x:c r="C57" s="2" t="str">
        <x:v>MM-TSFlib</x:v>
      </x:c>
      <x:c r="D57" s="10" t="n">
        <x:f>'540条种子'!E159</x:f>
        <x:v>0.9352328334071817</x:v>
      </x:c>
      <x:c r="E57" s="10" t="n">
        <x:f>AVERAGE('540条种子'!G159:G161)</x:f>
        <x:v>0.8228522108370374</x:v>
      </x:c>
      <x:c r="F57" s="10" t="n">
        <x:f>STDEV.S('540条种子'!G159:G161)</x:f>
        <x:v>0.08263758115724845</x:v>
      </x:c>
      <x:c r="G57" s="12" t="n">
        <x:f>(D57-E57)/D57</x:f>
        <x:v>0.12016325620297805</x:v>
      </x:c>
      <x:c r="H57" s="10" t="n">
        <x:f>AVERAGE('540条种子'!F159:F161)</x:f>
        <x:v>0.8228522108370374</x:v>
      </x:c>
      <x:c r="I57" s="12" t="n">
        <x:f>(D57-H57)/D57</x:f>
        <x:v>0.12016325620297805</x:v>
      </x:c>
      <x:c r="J57" s="2" t="n">
        <x:f>COUNTIFS('540条种子'!H159:H161,"&gt;0",'540条种子'!I159:I161,"&gt;0")</x:f>
        <x:v>3</x:v>
      </x:c>
      <x:c r="K57" s="2" t="str">
        <x:f>IF(G57&gt;0.0000001,"改善",IF(G57&lt;-0.0000001,"退化","持平"))</x:f>
        <x:v>改善</x:v>
      </x:c>
      <x:c r="L57" s="11" t="n">
        <x:f>AVERAGE('540条种子'!H159:H161)</x:f>
        <x:v>1</x:v>
      </x:c>
    </x:row>
    <x:row r="58" ht="23" customHeight="1">
      <x:c r="A58" s="2" t="str">
        <x:v>Economy</x:v>
      </x:c>
      <x:c r="B58" s="2" t="n">
        <x:v>10</x:v>
      </x:c>
      <x:c r="C58" s="2" t="str">
        <x:v>SpecTF</x:v>
      </x:c>
      <x:c r="D58" s="10" t="n">
        <x:f>'540条种子'!E162</x:f>
        <x:v>0.19822602470059905</x:v>
      </x:c>
      <x:c r="E58" s="10" t="n">
        <x:f>AVERAGE('540条种子'!G162:G164)</x:f>
        <x:v>0.19630235467279442</x:v>
      </x:c>
      <x:c r="F58" s="10" t="n">
        <x:f>STDEV.S('540条种子'!G162:G164)</x:f>
        <x:v>0.0033318942251550645</x:v>
      </x:c>
      <x:c r="G58" s="12" t="n">
        <x:f>(D58-E58)/D58</x:f>
        <x:v>0.00970442720984871</x:v>
      </x:c>
      <x:c r="H58" s="10" t="n">
        <x:f>AVERAGE('540条种子'!F162:F164)</x:f>
        <x:v>0.1959765686423626</x:v>
      </x:c>
      <x:c r="I58" s="12" t="n">
        <x:f>(D58-H58)/D58</x:f>
        <x:v>0.011347935073782752</x:v>
      </x:c>
      <x:c r="J58" s="2" t="n">
        <x:f>COUNTIFS('540条种子'!H162:H164,"&gt;0",'540条种子'!I162:I164,"&gt;0")</x:f>
        <x:v>1</x:v>
      </x:c>
      <x:c r="K58" s="2" t="str">
        <x:f>IF(G58&gt;0.0000001,"改善",IF(G58&lt;-0.0000001,"退化","持平"))</x:f>
        <x:v>改善</x:v>
      </x:c>
      <x:c r="L58" s="11" t="n">
        <x:f>AVERAGE('540条种子'!H162:H164)</x:f>
        <x:v>0.3333333333333333</x:v>
      </x:c>
    </x:row>
    <x:row r="59" ht="23" customHeight="1">
      <x:c r="A59" s="2" t="str">
        <x:v>Economy</x:v>
      </x:c>
      <x:c r="B59" s="2" t="n">
        <x:v>10</x:v>
      </x:c>
      <x:c r="C59" s="2" t="str">
        <x:v>CFA</x:v>
      </x:c>
      <x:c r="D59" s="10" t="n">
        <x:f>'540条种子'!E165</x:f>
        <x:v>0.23586643317586922</x:v>
      </x:c>
      <x:c r="E59" s="10" t="n">
        <x:f>AVERAGE('540条种子'!G165:G167)</x:f>
        <x:v>0.23149315931431738</x:v>
      </x:c>
      <x:c r="F59" s="10" t="n">
        <x:f>STDEV.S('540条种子'!G165:G167)</x:f>
        <x:v>0.007574732523620712</x:v>
      </x:c>
      <x:c r="G59" s="12" t="n">
        <x:f>(D59-E59)/D59</x:f>
        <x:v>0.018541315110705024</x:v>
      </x:c>
      <x:c r="H59" s="10" t="n">
        <x:f>AVERAGE('540条种子'!F165:F167)</x:f>
        <x:v>0.230599228337512</x:v>
      </x:c>
      <x:c r="I59" s="12" t="n">
        <x:f>(D59-H59)/D59</x:f>
        <x:v>0.022331303218673024</x:v>
      </x:c>
      <x:c r="J59" s="2" t="n">
        <x:f>COUNTIFS('540条种子'!H165:H167,"&gt;0",'540条种子'!I165:I167,"&gt;0")</x:f>
        <x:v>1</x:v>
      </x:c>
      <x:c r="K59" s="2" t="str">
        <x:f>IF(G59&gt;0.0000001,"改善",IF(G59&lt;-0.0000001,"退化","持平"))</x:f>
        <x:v>改善</x:v>
      </x:c>
      <x:c r="L59" s="11" t="n">
        <x:f>AVERAGE('540条种子'!H165:H167)</x:f>
        <x:v>0.3333333333333333</x:v>
      </x:c>
    </x:row>
    <x:row r="60" ht="23" customHeight="1">
      <x:c r="A60" s="2" t="str">
        <x:v>Economy</x:v>
      </x:c>
      <x:c r="B60" s="2" t="n">
        <x:v>10</x:v>
      </x:c>
      <x:c r="C60" s="2" t="str">
        <x:v>Aurora</x:v>
      </x:c>
      <x:c r="D60" s="10" t="n">
        <x:f>'540条种子'!E168</x:f>
        <x:v>0.31950637541484384</x:v>
      </x:c>
      <x:c r="E60" s="10" t="n">
        <x:f>AVERAGE('540条种子'!G168:G170)</x:f>
        <x:v>0.31950637541484384</x:v>
      </x:c>
      <x:c r="F60" s="10" t="n">
        <x:f>STDEV.S('540条种子'!G168:G170)</x:f>
        <x:v>0</x:v>
      </x:c>
      <x:c r="G60" s="12" t="n">
        <x:f>(D60-E60)/D60</x:f>
        <x:v>0</x:v>
      </x:c>
      <x:c r="H60" s="10" t="n">
        <x:f>AVERAGE('540条种子'!F168:F170)</x:f>
        <x:v>0.30652843763008925</x:v>
      </x:c>
      <x:c r="I60" s="12" t="n">
        <x:f>(D60-H60)/D60</x:f>
        <x:v>0.04061871306293706</x:v>
      </x:c>
      <x:c r="J60" s="2" t="n">
        <x:f>COUNTIFS('540条种子'!H168:H170,"&gt;0",'540条种子'!I168:I170,"&gt;0")</x:f>
        <x:v>0</x:v>
      </x:c>
      <x:c r="K60" s="2" t="str">
        <x:f>IF(G60&gt;0.0000001,"改善",IF(G60&lt;-0.0000001,"退化","持平"))</x:f>
        <x:v>持平</x:v>
      </x:c>
      <x:c r="L60" s="11" t="n">
        <x:f>AVERAGE('540条种子'!H168:H170)</x:f>
        <x:v>0</x:v>
      </x:c>
    </x:row>
    <x:row r="61" ht="23" customHeight="1">
      <x:c r="A61" s="2" t="str">
        <x:v>Economy</x:v>
      </x:c>
      <x:c r="B61" s="2" t="n">
        <x:v>12</x:v>
      </x:c>
      <x:c r="C61" s="2" t="str">
        <x:v>TaTS</x:v>
      </x:c>
      <x:c r="D61" s="10" t="n">
        <x:f>'540条种子'!E171</x:f>
        <x:v>0.20261828458814246</x:v>
      </x:c>
      <x:c r="E61" s="10" t="n">
        <x:f>AVERAGE('540条种子'!G171:G173)</x:f>
        <x:v>0.20261828458814246</x:v>
      </x:c>
      <x:c r="F61" s="10" t="n">
        <x:f>STDEV.S('540条种子'!G171:G173)</x:f>
        <x:v>0</x:v>
      </x:c>
      <x:c r="G61" s="12" t="n">
        <x:f>(D61-E61)/D61</x:f>
        <x:v>0</x:v>
      </x:c>
      <x:c r="H61" s="10" t="n">
        <x:f>AVERAGE('540条种子'!F171:F173)</x:f>
        <x:v>0.20296059282748025</x:v>
      </x:c>
      <x:c r="I61" s="12" t="n">
        <x:f>(D61-H61)/D61</x:f>
        <x:v>-0.001689424229573295</x:v>
      </x:c>
      <x:c r="J61" s="2" t="n">
        <x:f>COUNTIFS('540条种子'!H171:H173,"&gt;0",'540条种子'!I171:I173,"&gt;0")</x:f>
        <x:v>0</x:v>
      </x:c>
      <x:c r="K61" s="2" t="str">
        <x:f>IF(G61&gt;0.0000001,"改善",IF(G61&lt;-0.0000001,"退化","持平"))</x:f>
        <x:v>持平</x:v>
      </x:c>
      <x:c r="L61" s="11" t="n">
        <x:f>AVERAGE('540条种子'!H171:H173)</x:f>
        <x:v>0</x:v>
      </x:c>
    </x:row>
    <x:row r="62" ht="23" customHeight="1">
      <x:c r="A62" s="2" t="str">
        <x:v>Economy</x:v>
      </x:c>
      <x:c r="B62" s="2" t="n">
        <x:v>12</x:v>
      </x:c>
      <x:c r="C62" s="2" t="str">
        <x:v>MM-TSFlib</x:v>
      </x:c>
      <x:c r="D62" s="10" t="n">
        <x:f>'540条种子'!E174</x:f>
        <x:v>0.9899457956350605</x:v>
      </x:c>
      <x:c r="E62" s="10" t="n">
        <x:f>AVERAGE('540条种子'!G174:G176)</x:f>
        <x:v>0.9709953251999625</x:v>
      </x:c>
      <x:c r="F62" s="10" t="n">
        <x:f>STDEV.S('540条种子'!G174:G176)</x:f>
        <x:v>0.017508040019527285</x:v>
      </x:c>
      <x:c r="G62" s="12" t="n">
        <x:f>(D62-E62)/D62</x:f>
        <x:v>0.019142937440267713</x:v>
      </x:c>
      <x:c r="H62" s="10" t="n">
        <x:f>AVERAGE('540条种子'!F174:F176)</x:f>
        <x:v>0.9709953251999625</x:v>
      </x:c>
      <x:c r="I62" s="12" t="n">
        <x:f>(D62-H62)/D62</x:f>
        <x:v>0.019142937440267713</x:v>
      </x:c>
      <x:c r="J62" s="2" t="n">
        <x:f>COUNTIFS('540条种子'!H174:H176,"&gt;0",'540条种子'!I174:I176,"&gt;0")</x:f>
        <x:v>2</x:v>
      </x:c>
      <x:c r="K62" s="2" t="str">
        <x:f>IF(G62&gt;0.0000001,"改善",IF(G62&lt;-0.0000001,"退化","持平"))</x:f>
        <x:v>改善</x:v>
      </x:c>
      <x:c r="L62" s="11" t="n">
        <x:f>AVERAGE('540条种子'!H174:H176)</x:f>
        <x:v>0.6666666666666666</x:v>
      </x:c>
    </x:row>
    <x:row r="63" ht="23" customHeight="1">
      <x:c r="A63" s="2" t="str">
        <x:v>Economy</x:v>
      </x:c>
      <x:c r="B63" s="2" t="n">
        <x:v>12</x:v>
      </x:c>
      <x:c r="C63" s="2" t="str">
        <x:v>SpecTF</x:v>
      </x:c>
      <x:c r="D63" s="10" t="n">
        <x:f>'540条种子'!E177</x:f>
        <x:v>0.22845241864998087</x:v>
      </x:c>
      <x:c r="E63" s="10" t="n">
        <x:f>AVERAGE('540条种子'!G177:G179)</x:f>
        <x:v>0.22845241864998087</x:v>
      </x:c>
      <x:c r="F63" s="10" t="n">
        <x:f>STDEV.S('540条种子'!G177:G179)</x:f>
        <x:v>0</x:v>
      </x:c>
      <x:c r="G63" s="12" t="n">
        <x:f>(D63-E63)/D63</x:f>
        <x:v>0</x:v>
      </x:c>
      <x:c r="H63" s="10" t="n">
        <x:f>AVERAGE('540条种子'!F177:F179)</x:f>
        <x:v>0.22938010893356342</x:v>
      </x:c>
      <x:c r="I63" s="12" t="n">
        <x:f>(D63-H63)/D63</x:f>
        <x:v>-0.004060759299746783</x:v>
      </x:c>
      <x:c r="J63" s="2" t="n">
        <x:f>COUNTIFS('540条种子'!H177:H179,"&gt;0",'540条种子'!I177:I179,"&gt;0")</x:f>
        <x:v>0</x:v>
      </x:c>
      <x:c r="K63" s="2" t="str">
        <x:f>IF(G63&gt;0.0000001,"改善",IF(G63&lt;-0.0000001,"退化","持平"))</x:f>
        <x:v>持平</x:v>
      </x:c>
      <x:c r="L63" s="11" t="n">
        <x:f>AVERAGE('540条种子'!H177:H179)</x:f>
        <x:v>0</x:v>
      </x:c>
    </x:row>
    <x:row r="64" ht="23" customHeight="1">
      <x:c r="A64" s="2" t="str">
        <x:v>Economy</x:v>
      </x:c>
      <x:c r="B64" s="2" t="n">
        <x:v>12</x:v>
      </x:c>
      <x:c r="C64" s="2" t="str">
        <x:v>CFA</x:v>
      </x:c>
      <x:c r="D64" s="10" t="n">
        <x:f>'540条种子'!E180</x:f>
        <x:v>0.23668466176642305</x:v>
      </x:c>
      <x:c r="E64" s="10" t="n">
        <x:f>AVERAGE('540条种子'!G180:G182)</x:f>
        <x:v>0.23668466176642303</x:v>
      </x:c>
      <x:c r="F64" s="10" t="n">
        <x:f>STDEV.S('540条种子'!G180:G182)</x:f>
        <x:v>3.3993498887762956e-17</x:v>
      </x:c>
      <x:c r="G64" s="12" t="n">
        <x:f>(D64-E64)/D64</x:f>
        <x:v>1.1726816350702122e-16</x:v>
      </x:c>
      <x:c r="H64" s="10" t="n">
        <x:f>AVERAGE('540条种子'!F180:F182)</x:f>
        <x:v>0.23516797015736982</x:v>
      </x:c>
      <x:c r="I64" s="12" t="n">
        <x:f>(D64-H64)/D64</x:f>
        <x:v>0.006408068853021055</x:v>
      </x:c>
      <x:c r="J64" s="2" t="n">
        <x:f>COUNTIFS('540条种子'!H180:H182,"&gt;0",'540条种子'!I180:I182,"&gt;0")</x:f>
        <x:v>0</x:v>
      </x:c>
      <x:c r="K64" s="2" t="str">
        <x:f>IF(G64&gt;0.0000001,"改善",IF(G64&lt;-0.0000001,"退化","持平"))</x:f>
        <x:v>持平</x:v>
      </x:c>
      <x:c r="L64" s="11" t="n">
        <x:f>AVERAGE('540条种子'!H180:H182)</x:f>
        <x:v>0</x:v>
      </x:c>
    </x:row>
    <x:row r="65" ht="23" customHeight="1">
      <x:c r="A65" s="2" t="str">
        <x:v>Economy</x:v>
      </x:c>
      <x:c r="B65" s="2" t="n">
        <x:v>12</x:v>
      </x:c>
      <x:c r="C65" s="2" t="str">
        <x:v>Aurora</x:v>
      </x:c>
      <x:c r="D65" s="10" t="n">
        <x:f>'540条种子'!E183</x:f>
        <x:v>0.3338778963764754</x:v>
      </x:c>
      <x:c r="E65" s="10" t="n">
        <x:f>AVERAGE('540条种子'!G183:G185)</x:f>
        <x:v>0.3338778963764754</x:v>
      </x:c>
      <x:c r="F65" s="10" t="n">
        <x:f>STDEV.S('540条种子'!G183:G185)</x:f>
        <x:v>0</x:v>
      </x:c>
      <x:c r="G65" s="12" t="n">
        <x:f>(D65-E65)/D65</x:f>
        <x:v>0</x:v>
      </x:c>
      <x:c r="H65" s="10" t="n">
        <x:f>AVERAGE('540条种子'!F183:F185)</x:f>
        <x:v>0.330873003358563</x:v>
      </x:c>
      <x:c r="I65" s="12" t="n">
        <x:f>(D65-H65)/D65</x:f>
        <x:v>0.008999975890959048</x:v>
      </x:c>
      <x:c r="J65" s="2" t="n">
        <x:f>COUNTIFS('540条种子'!H183:H185,"&gt;0",'540条种子'!I183:I185,"&gt;0")</x:f>
        <x:v>0</x:v>
      </x:c>
      <x:c r="K65" s="2" t="str">
        <x:f>IF(G65&gt;0.0000001,"改善",IF(G65&lt;-0.0000001,"退化","持平"))</x:f>
        <x:v>持平</x:v>
      </x:c>
      <x:c r="L65" s="11" t="n">
        <x:f>AVERAGE('540条种子'!H183:H185)</x:f>
        <x:v>0</x:v>
      </x:c>
    </x:row>
    <x:row r="66" ht="23" customHeight="1">
      <x:c r="A66" s="2" t="str">
        <x:v>Energy</x:v>
      </x:c>
      <x:c r="B66" s="2" t="n">
        <x:v>12</x:v>
      </x:c>
      <x:c r="C66" s="2" t="str">
        <x:v>TaTS</x:v>
      </x:c>
      <x:c r="D66" s="10" t="n">
        <x:f>'540条种子'!E186</x:f>
        <x:v>0.1838611601559035</x:v>
      </x:c>
      <x:c r="E66" s="10" t="n">
        <x:f>AVERAGE('540条种子'!G186:G188)</x:f>
        <x:v>0.1838611601559035</x:v>
      </x:c>
      <x:c r="F66" s="10" t="n">
        <x:f>STDEV.S('540条种子'!G186:G188)</x:f>
        <x:v>0</x:v>
      </x:c>
      <x:c r="G66" s="12" t="n">
        <x:f>(D66-E66)/D66</x:f>
        <x:v>0</x:v>
      </x:c>
      <x:c r="H66" s="10" t="n">
        <x:f>AVERAGE('540条种子'!F186:F188)</x:f>
        <x:v>0.18386116015832024</x:v>
      </x:c>
      <x:c r="I66" s="12" t="n">
        <x:f>(D66-H66)/D66</x:f>
        <x:v>-1.3144339337110634e-11</x:v>
      </x:c>
      <x:c r="J66" s="2" t="n">
        <x:f>COUNTIFS('540条种子'!H186:H188,"&gt;0",'540条种子'!I186:I188,"&gt;0")</x:f>
        <x:v>0</x:v>
      </x:c>
      <x:c r="K66" s="2" t="str">
        <x:f>IF(G66&gt;0.0000001,"改善",IF(G66&lt;-0.0000001,"退化","持平"))</x:f>
        <x:v>持平</x:v>
      </x:c>
      <x:c r="L66" s="11" t="n">
        <x:f>AVERAGE('540条种子'!H186:H188)</x:f>
        <x:v>0</x:v>
      </x:c>
    </x:row>
    <x:row r="67" ht="23" customHeight="1">
      <x:c r="A67" s="2" t="str">
        <x:v>Energy</x:v>
      </x:c>
      <x:c r="B67" s="2" t="n">
        <x:v>12</x:v>
      </x:c>
      <x:c r="C67" s="2" t="str">
        <x:v>MM-TSFlib</x:v>
      </x:c>
      <x:c r="D67" s="10" t="n">
        <x:f>'540条种子'!E189</x:f>
        <x:v>0.1333271211084098</x:v>
      </x:c>
      <x:c r="E67" s="10" t="n">
        <x:f>AVERAGE('540条种子'!G189:G191)</x:f>
        <x:v>0.1333271211084098</x:v>
      </x:c>
      <x:c r="F67" s="10" t="n">
        <x:f>STDEV.S('540条种子'!G189:G191)</x:f>
        <x:v>0</x:v>
      </x:c>
      <x:c r="G67" s="12" t="n">
        <x:f>(D67-E67)/D67</x:f>
        <x:v>0</x:v>
      </x:c>
      <x:c r="H67" s="10" t="n">
        <x:f>AVERAGE('540条种子'!F189:F191)</x:f>
        <x:v>0.133327121108512</x:v>
      </x:c>
      <x:c r="I67" s="12" t="n">
        <x:f>(D67-H67)/D67</x:f>
        <x:v>-7.665059334300702e-13</x:v>
      </x:c>
      <x:c r="J67" s="2" t="n">
        <x:f>COUNTIFS('540条种子'!H189:H191,"&gt;0",'540条种子'!I189:I191,"&gt;0")</x:f>
        <x:v>0</x:v>
      </x:c>
      <x:c r="K67" s="2" t="str">
        <x:f>IF(G67&gt;0.0000001,"改善",IF(G67&lt;-0.0000001,"退化","持平"))</x:f>
        <x:v>持平</x:v>
      </x:c>
      <x:c r="L67" s="11" t="n">
        <x:f>AVERAGE('540条种子'!H189:H191)</x:f>
        <x:v>0</x:v>
      </x:c>
    </x:row>
    <x:row r="68" ht="23" customHeight="1">
      <x:c r="A68" s="2" t="str">
        <x:v>Energy</x:v>
      </x:c>
      <x:c r="B68" s="2" t="n">
        <x:v>12</x:v>
      </x:c>
      <x:c r="C68" s="2" t="str">
        <x:v>SpecTF</x:v>
      </x:c>
      <x:c r="D68" s="10" t="n">
        <x:f>'540条种子'!E192</x:f>
        <x:v>0.09577729990129709</x:v>
      </x:c>
      <x:c r="E68" s="10" t="n">
        <x:f>AVERAGE('540条种子'!G192:G194)</x:f>
        <x:v>0.09577729990129709</x:v>
      </x:c>
      <x:c r="F68" s="10" t="n">
        <x:f>STDEV.S('540条种子'!G192:G194)</x:f>
        <x:v>0</x:v>
      </x:c>
      <x:c r="G68" s="12" t="n">
        <x:f>(D68-E68)/D68</x:f>
        <x:v>0</x:v>
      </x:c>
      <x:c r="H68" s="10" t="n">
        <x:f>AVERAGE('540条种子'!F192:F194)</x:f>
        <x:v>0.09577729990122112</x:v>
      </x:c>
      <x:c r="I68" s="12" t="n">
        <x:f>(D68-H68)/D68</x:f>
        <x:v>7.931629993564637e-13</x:v>
      </x:c>
      <x:c r="J68" s="2" t="n">
        <x:f>COUNTIFS('540条种子'!H192:H194,"&gt;0",'540条种子'!I192:I194,"&gt;0")</x:f>
        <x:v>0</x:v>
      </x:c>
      <x:c r="K68" s="2" t="str">
        <x:f>IF(G68&gt;0.0000001,"改善",IF(G68&lt;-0.0000001,"退化","持平"))</x:f>
        <x:v>持平</x:v>
      </x:c>
      <x:c r="L68" s="11" t="n">
        <x:f>AVERAGE('540条种子'!H192:H194)</x:f>
        <x:v>0</x:v>
      </x:c>
    </x:row>
    <x:row r="69" ht="23" customHeight="1">
      <x:c r="A69" s="2" t="str">
        <x:v>Energy</x:v>
      </x:c>
      <x:c r="B69" s="2" t="n">
        <x:v>12</x:v>
      </x:c>
      <x:c r="C69" s="2" t="str">
        <x:v>CFA</x:v>
      </x:c>
      <x:c r="D69" s="10" t="n">
        <x:f>'540条种子'!E195</x:f>
        <x:v>0.10983223824033</x:v>
      </x:c>
      <x:c r="E69" s="10" t="n">
        <x:f>AVERAGE('540条种子'!G195:G197)</x:f>
        <x:v>0.10983223824033</x:v>
      </x:c>
      <x:c r="F69" s="10" t="n">
        <x:f>STDEV.S('540条种子'!G195:G197)</x:f>
        <x:v>0</x:v>
      </x:c>
      <x:c r="G69" s="12" t="n">
        <x:f>(D69-E69)/D69</x:f>
        <x:v>0</x:v>
      </x:c>
      <x:c r="H69" s="10" t="n">
        <x:f>AVERAGE('540条种子'!F195:F197)</x:f>
        <x:v>0.1098322382403487</x:v>
      </x:c>
      <x:c r="I69" s="12" t="n">
        <x:f>(D69-H69)/D69</x:f>
        <x:v>-1.7019939206029884e-13</x:v>
      </x:c>
      <x:c r="J69" s="2" t="n">
        <x:f>COUNTIFS('540条种子'!H195:H197,"&gt;0",'540条种子'!I195:I197,"&gt;0")</x:f>
        <x:v>0</x:v>
      </x:c>
      <x:c r="K69" s="2" t="str">
        <x:f>IF(G69&gt;0.0000001,"改善",IF(G69&lt;-0.0000001,"退化","持平"))</x:f>
        <x:v>持平</x:v>
      </x:c>
      <x:c r="L69" s="11" t="n">
        <x:f>AVERAGE('540条种子'!H195:H197)</x:f>
        <x:v>0</x:v>
      </x:c>
    </x:row>
    <x:row r="70" ht="23" customHeight="1">
      <x:c r="A70" s="2" t="str">
        <x:v>Energy</x:v>
      </x:c>
      <x:c r="B70" s="2" t="n">
        <x:v>12</x:v>
      </x:c>
      <x:c r="C70" s="2" t="str">
        <x:v>Aurora</x:v>
      </x:c>
      <x:c r="D70" s="10" t="n">
        <x:f>'540条种子'!E198</x:f>
        <x:v>0.2606396293829479</x:v>
      </x:c>
      <x:c r="E70" s="10" t="n">
        <x:f>AVERAGE('540条种子'!G198:G200)</x:f>
        <x:v>0.2606396293829479</x:v>
      </x:c>
      <x:c r="F70" s="10" t="n">
        <x:f>STDEV.S('540条种子'!G198:G200)</x:f>
        <x:v>0</x:v>
      </x:c>
      <x:c r="G70" s="12" t="n">
        <x:f>(D70-E70)/D70</x:f>
        <x:v>0</x:v>
      </x:c>
      <x:c r="H70" s="10" t="n">
        <x:f>AVERAGE('540条种子'!F198:F200)</x:f>
        <x:v>0.26063962938075463</x:v>
      </x:c>
      <x:c r="I70" s="12" t="n">
        <x:f>(D70-H70)/D70</x:f>
        <x:v>8.414858440135918e-12</x:v>
      </x:c>
      <x:c r="J70" s="2" t="n">
        <x:f>COUNTIFS('540条种子'!H198:H200,"&gt;0",'540条种子'!I198:I200,"&gt;0")</x:f>
        <x:v>0</x:v>
      </x:c>
      <x:c r="K70" s="2" t="str">
        <x:f>IF(G70&gt;0.0000001,"改善",IF(G70&lt;-0.0000001,"退化","持平"))</x:f>
        <x:v>持平</x:v>
      </x:c>
      <x:c r="L70" s="11" t="n">
        <x:f>AVERAGE('540条种子'!H198:H200)</x:f>
        <x:v>0</x:v>
      </x:c>
    </x:row>
    <x:row r="71" ht="23" customHeight="1">
      <x:c r="A71" s="2" t="str">
        <x:v>Energy</x:v>
      </x:c>
      <x:c r="B71" s="2" t="n">
        <x:v>24</x:v>
      </x:c>
      <x:c r="C71" s="2" t="str">
        <x:v>TaTS</x:v>
      </x:c>
      <x:c r="D71" s="10" t="n">
        <x:f>'540条种子'!E201</x:f>
        <x:v>0.2679513517190791</x:v>
      </x:c>
      <x:c r="E71" s="10" t="n">
        <x:f>AVERAGE('540条种子'!G201:G203)</x:f>
        <x:v>0.2679513517190791</x:v>
      </x:c>
      <x:c r="F71" s="10" t="n">
        <x:f>STDEV.S('540条种子'!G201:G203)</x:f>
        <x:v>0</x:v>
      </x:c>
      <x:c r="G71" s="12" t="n">
        <x:f>(D71-E71)/D71</x:f>
        <x:v>0</x:v>
      </x:c>
      <x:c r="H71" s="10" t="n">
        <x:f>AVERAGE('540条种子'!F201:F203)</x:f>
        <x:v>0.2679513517185551</x:v>
      </x:c>
      <x:c r="I71" s="12" t="n">
        <x:f>(D71-H71)/D71</x:f>
        <x:v>1.9554659945181913e-12</x:v>
      </x:c>
      <x:c r="J71" s="2" t="n">
        <x:f>COUNTIFS('540条种子'!H201:H203,"&gt;0",'540条种子'!I201:I203,"&gt;0")</x:f>
        <x:v>0</x:v>
      </x:c>
      <x:c r="K71" s="2" t="str">
        <x:f>IF(G71&gt;0.0000001,"改善",IF(G71&lt;-0.0000001,"退化","持平"))</x:f>
        <x:v>持平</x:v>
      </x:c>
      <x:c r="L71" s="11" t="n">
        <x:f>AVERAGE('540条种子'!H201:H203)</x:f>
        <x:v>0</x:v>
      </x:c>
    </x:row>
    <x:row r="72" ht="23" customHeight="1">
      <x:c r="A72" s="2" t="str">
        <x:v>Energy</x:v>
      </x:c>
      <x:c r="B72" s="2" t="n">
        <x:v>24</x:v>
      </x:c>
      <x:c r="C72" s="2" t="str">
        <x:v>MM-TSFlib</x:v>
      </x:c>
      <x:c r="D72" s="10" t="n">
        <x:f>'540条种子'!E204</x:f>
        <x:v>0.19196059548900862</x:v>
      </x:c>
      <x:c r="E72" s="10" t="n">
        <x:f>AVERAGE('540条种子'!G204:G206)</x:f>
        <x:v>0.1919605954890086</x:v>
      </x:c>
      <x:c r="F72" s="10" t="n">
        <x:f>STDEV.S('540条种子'!G204:G206)</x:f>
        <x:v>3.3993498887762956e-17</x:v>
      </x:c>
      <x:c r="G72" s="12" t="n">
        <x:f>(D72-E72)/D72</x:f>
        <x:v>1.4458996412739382e-16</x:v>
      </x:c>
      <x:c r="H72" s="10" t="n">
        <x:f>AVERAGE('540条种子'!F204:F206)</x:f>
        <x:v>0.19196059548914934</x:v>
      </x:c>
      <x:c r="I72" s="12" t="n">
        <x:f>(D72-H72)/D72</x:f>
        <x:v>-7.330711181258866e-13</x:v>
      </x:c>
      <x:c r="J72" s="2" t="n">
        <x:f>COUNTIFS('540条种子'!H204:H206,"&gt;0",'540条种子'!I204:I206,"&gt;0")</x:f>
        <x:v>0</x:v>
      </x:c>
      <x:c r="K72" s="2" t="str">
        <x:f>IF(G72&gt;0.0000001,"改善",IF(G72&lt;-0.0000001,"退化","持平"))</x:f>
        <x:v>持平</x:v>
      </x:c>
      <x:c r="L72" s="11" t="n">
        <x:f>AVERAGE('540条种子'!H204:H206)</x:f>
        <x:v>0</x:v>
      </x:c>
    </x:row>
    <x:row r="73" ht="23" customHeight="1">
      <x:c r="A73" s="2" t="str">
        <x:v>Energy</x:v>
      </x:c>
      <x:c r="B73" s="2" t="n">
        <x:v>24</x:v>
      </x:c>
      <x:c r="C73" s="2" t="str">
        <x:v>SpecTF</x:v>
      </x:c>
      <x:c r="D73" s="10" t="n">
        <x:f>'540条种子'!E207</x:f>
        <x:v>0.2114401345279641</x:v>
      </x:c>
      <x:c r="E73" s="10" t="n">
        <x:f>AVERAGE('540条种子'!G207:G209)</x:f>
        <x:v>0.2114401345279641</x:v>
      </x:c>
      <x:c r="F73" s="10" t="n">
        <x:f>STDEV.S('540条种子'!G207:G209)</x:f>
        <x:v>0</x:v>
      </x:c>
      <x:c r="G73" s="12" t="n">
        <x:f>(D73-E73)/D73</x:f>
        <x:v>0</x:v>
      </x:c>
      <x:c r="H73" s="10" t="n">
        <x:f>AVERAGE('540条种子'!F207:F209)</x:f>
        <x:v>0.21144013452867805</x:v>
      </x:c>
      <x:c r="I73" s="12" t="n">
        <x:f>(D73-H73)/D73</x:f>
        <x:v>-3.376637425788234e-12</x:v>
      </x:c>
      <x:c r="J73" s="2" t="n">
        <x:f>COUNTIFS('540条种子'!H207:H209,"&gt;0",'540条种子'!I207:I209,"&gt;0")</x:f>
        <x:v>0</x:v>
      </x:c>
      <x:c r="K73" s="2" t="str">
        <x:f>IF(G73&gt;0.0000001,"改善",IF(G73&lt;-0.0000001,"退化","持平"))</x:f>
        <x:v>持平</x:v>
      </x:c>
      <x:c r="L73" s="11" t="n">
        <x:f>AVERAGE('540条种子'!H207:H209)</x:f>
        <x:v>0</x:v>
      </x:c>
    </x:row>
    <x:row r="74" ht="23" customHeight="1">
      <x:c r="A74" s="2" t="str">
        <x:v>Energy</x:v>
      </x:c>
      <x:c r="B74" s="2" t="n">
        <x:v>24</x:v>
      </x:c>
      <x:c r="C74" s="2" t="str">
        <x:v>CFA</x:v>
      </x:c>
      <x:c r="D74" s="10" t="n">
        <x:f>'540条种子'!E210</x:f>
        <x:v>0.22252381884649639</x:v>
      </x:c>
      <x:c r="E74" s="10" t="n">
        <x:f>AVERAGE('540条种子'!G210:G212)</x:f>
        <x:v>0.22252381884649639</x:v>
      </x:c>
      <x:c r="F74" s="10" t="n">
        <x:f>STDEV.S('540条种子'!G210:G212)</x:f>
        <x:v>0</x:v>
      </x:c>
      <x:c r="G74" s="12" t="n">
        <x:f>(D74-E74)/D74</x:f>
        <x:v>0</x:v>
      </x:c>
      <x:c r="H74" s="10" t="n">
        <x:f>AVERAGE('540条种子'!F210:F212)</x:f>
        <x:v>0.22252381884686798</x:v>
      </x:c>
      <x:c r="I74" s="12" t="n">
        <x:f>(D74-H74)/D74</x:f>
        <x:v>-1.6698960509857821e-12</x:v>
      </x:c>
      <x:c r="J74" s="2" t="n">
        <x:f>COUNTIFS('540条种子'!H210:H212,"&gt;0",'540条种子'!I210:I212,"&gt;0")</x:f>
        <x:v>0</x:v>
      </x:c>
      <x:c r="K74" s="2" t="str">
        <x:f>IF(G74&gt;0.0000001,"改善",IF(G74&lt;-0.0000001,"退化","持平"))</x:f>
        <x:v>持平</x:v>
      </x:c>
      <x:c r="L74" s="11" t="n">
        <x:f>AVERAGE('540条种子'!H210:H212)</x:f>
        <x:v>0</x:v>
      </x:c>
    </x:row>
    <x:row r="75" ht="23" customHeight="1">
      <x:c r="A75" s="2" t="str">
        <x:v>Energy</x:v>
      </x:c>
      <x:c r="B75" s="2" t="n">
        <x:v>24</x:v>
      </x:c>
      <x:c r="C75" s="2" t="str">
        <x:v>Aurora</x:v>
      </x:c>
      <x:c r="D75" s="10" t="n">
        <x:f>'540条种子'!E213</x:f>
        <x:v>0.3169472024030514</x:v>
      </x:c>
      <x:c r="E75" s="10" t="n">
        <x:f>AVERAGE('540条种子'!G213:G215)</x:f>
        <x:v>0.3169472024030514</x:v>
      </x:c>
      <x:c r="F75" s="10" t="n">
        <x:f>STDEV.S('540条种子'!G213:G215)</x:f>
        <x:v>0</x:v>
      </x:c>
      <x:c r="G75" s="12" t="n">
        <x:f>(D75-E75)/D75</x:f>
        <x:v>0</x:v>
      </x:c>
      <x:c r="H75" s="10" t="n">
        <x:f>AVERAGE('540条种子'!F213:F215)</x:f>
        <x:v>0.31694720240362473</x:v>
      </x:c>
      <x:c r="I75" s="12" t="n">
        <x:f>(D75-H75)/D75</x:f>
        <x:v>-1.8088790990095554e-12</x:v>
      </x:c>
      <x:c r="J75" s="2" t="n">
        <x:f>COUNTIFS('540条种子'!H213:H215,"&gt;0",'540条种子'!I213:I215,"&gt;0")</x:f>
        <x:v>0</x:v>
      </x:c>
      <x:c r="K75" s="2" t="str">
        <x:f>IF(G75&gt;0.0000001,"改善",IF(G75&lt;-0.0000001,"退化","持平"))</x:f>
        <x:v>持平</x:v>
      </x:c>
      <x:c r="L75" s="11" t="n">
        <x:f>AVERAGE('540条种子'!H213:H215)</x:f>
        <x:v>0</x:v>
      </x:c>
    </x:row>
    <x:row r="76" ht="23" customHeight="1">
      <x:c r="A76" s="2" t="str">
        <x:v>Energy</x:v>
      </x:c>
      <x:c r="B76" s="2" t="n">
        <x:v>36</x:v>
      </x:c>
      <x:c r="C76" s="2" t="str">
        <x:v>TaTS</x:v>
      </x:c>
      <x:c r="D76" s="10" t="n">
        <x:f>'540条种子'!E216</x:f>
        <x:v>0.3669344975156553</x:v>
      </x:c>
      <x:c r="E76" s="10" t="n">
        <x:f>AVERAGE('540条种子'!G216:G218)</x:f>
        <x:v>0.36693449751565527</x:v>
      </x:c>
      <x:c r="F76" s="10" t="n">
        <x:f>STDEV.S('540条种子'!G216:G218)</x:f>
        <x:v>6.798699777552591e-17</x:v>
      </x:c>
      <x:c r="G76" s="12" t="n">
        <x:f>(D76-E76)/D76</x:f>
        <x:v>1.5128354408511136e-16</x:v>
      </x:c>
      <x:c r="H76" s="10" t="n">
        <x:f>AVERAGE('540条种子'!F216:F218)</x:f>
        <x:v>0.36693449751548673</x:v>
      </x:c>
      <x:c r="I76" s="12" t="n">
        <x:f>(D76-H76)/D76</x:f>
        <x:v>4.594481233864832e-13</x:v>
      </x:c>
      <x:c r="J76" s="2" t="n">
        <x:f>COUNTIFS('540条种子'!H216:H218,"&gt;0",'540条种子'!I216:I218,"&gt;0")</x:f>
        <x:v>0</x:v>
      </x:c>
      <x:c r="K76" s="2" t="str">
        <x:f>IF(G76&gt;0.0000001,"改善",IF(G76&lt;-0.0000001,"退化","持平"))</x:f>
        <x:v>持平</x:v>
      </x:c>
      <x:c r="L76" s="11" t="n">
        <x:f>AVERAGE('540条种子'!H216:H218)</x:f>
        <x:v>0</x:v>
      </x:c>
    </x:row>
    <x:row r="77" ht="23" customHeight="1">
      <x:c r="A77" s="2" t="str">
        <x:v>Energy</x:v>
      </x:c>
      <x:c r="B77" s="2" t="n">
        <x:v>36</x:v>
      </x:c>
      <x:c r="C77" s="2" t="str">
        <x:v>MM-TSFlib</x:v>
      </x:c>
      <x:c r="D77" s="10" t="n">
        <x:f>'540条种子'!E219</x:f>
        <x:v>0.33496724056529875</x:v>
      </x:c>
      <x:c r="E77" s="10" t="n">
        <x:f>AVERAGE('540条种子'!G219:G221)</x:f>
        <x:v>0.3349672405660706</x:v>
      </x:c>
      <x:c r="F77" s="10" t="n">
        <x:f>STDEV.S('540条种子'!G219:G221)</x:f>
        <x:v>0</x:v>
      </x:c>
      <x:c r="G77" s="12" t="n">
        <x:f>(D77-E77)/D77</x:f>
        <x:v>-2.3041866584232385e-12</x:v>
      </x:c>
      <x:c r="H77" s="10" t="n">
        <x:f>AVERAGE('540条种子'!F219:F221)</x:f>
        <x:v>0.3349672405660706</x:v>
      </x:c>
      <x:c r="I77" s="12" t="n">
        <x:f>(D77-H77)/D77</x:f>
        <x:v>-2.3041866584232385e-12</x:v>
      </x:c>
      <x:c r="J77" s="2" t="n">
        <x:f>COUNTIFS('540条种子'!H219:H221,"&gt;0",'540条种子'!I219:I221,"&gt;0")</x:f>
        <x:v>0</x:v>
      </x:c>
      <x:c r="K77" s="2" t="str">
        <x:f>IF(G77&gt;0.0000001,"改善",IF(G77&lt;-0.0000001,"退化","持平"))</x:f>
        <x:v>持平</x:v>
      </x:c>
      <x:c r="L77" s="11" t="n">
        <x:f>AVERAGE('540条种子'!H219:H221)</x:f>
        <x:v>1</x:v>
      </x:c>
    </x:row>
    <x:row r="78" ht="23" customHeight="1">
      <x:c r="A78" s="2" t="str">
        <x:v>Energy</x:v>
      </x:c>
      <x:c r="B78" s="2" t="n">
        <x:v>36</x:v>
      </x:c>
      <x:c r="C78" s="2" t="str">
        <x:v>SpecTF</x:v>
      </x:c>
      <x:c r="D78" s="10" t="n">
        <x:f>'540条种子'!E222</x:f>
        <x:v>0.30615976416374785</x:v>
      </x:c>
      <x:c r="E78" s="10" t="n">
        <x:f>AVERAGE('540条种子'!G222:G224)</x:f>
        <x:v>0.30615976416374785</x:v>
      </x:c>
      <x:c r="F78" s="10" t="n">
        <x:f>STDEV.S('540条种子'!G222:G224)</x:f>
        <x:v>0</x:v>
      </x:c>
      <x:c r="G78" s="12" t="n">
        <x:f>(D78-E78)/D78</x:f>
        <x:v>0</x:v>
      </x:c>
      <x:c r="H78" s="10" t="n">
        <x:f>AVERAGE('540条种子'!F222:F224)</x:f>
        <x:v>0.3061597641606593</x:v>
      </x:c>
      <x:c r="I78" s="12" t="n">
        <x:f>(D78-H78)/D78</x:f>
        <x:v>1.0087966459736492e-11</x:v>
      </x:c>
      <x:c r="J78" s="2" t="n">
        <x:f>COUNTIFS('540条种子'!H222:H224,"&gt;0",'540条种子'!I222:I224,"&gt;0")</x:f>
        <x:v>0</x:v>
      </x:c>
      <x:c r="K78" s="2" t="str">
        <x:f>IF(G78&gt;0.0000001,"改善",IF(G78&lt;-0.0000001,"退化","持平"))</x:f>
        <x:v>持平</x:v>
      </x:c>
      <x:c r="L78" s="11" t="n">
        <x:f>AVERAGE('540条种子'!H222:H224)</x:f>
        <x:v>0</x:v>
      </x:c>
    </x:row>
    <x:row r="79" ht="23" customHeight="1">
      <x:c r="A79" s="2" t="str">
        <x:v>Energy</x:v>
      </x:c>
      <x:c r="B79" s="2" t="n">
        <x:v>36</x:v>
      </x:c>
      <x:c r="C79" s="2" t="str">
        <x:v>CFA</x:v>
      </x:c>
      <x:c r="D79" s="10" t="n">
        <x:f>'540条种子'!E225</x:f>
        <x:v>0.3763866597826456</x:v>
      </x:c>
      <x:c r="E79" s="10" t="n">
        <x:f>AVERAGE('540条种子'!G225:G227)</x:f>
        <x:v>0.3763866597826457</x:v>
      </x:c>
      <x:c r="F79" s="10" t="n">
        <x:f>STDEV.S('540条种子'!G225:G227)</x:f>
        <x:v>6.798699777552591e-17</x:v>
      </x:c>
      <x:c r="G79" s="12" t="n">
        <x:f>(D79-E79)/D79</x:f>
        <x:v>-1.474843748801145e-16</x:v>
      </x:c>
      <x:c r="H79" s="10" t="n">
        <x:f>AVERAGE('540条种子'!F225:F227)</x:f>
        <x:v>0.37638665977968017</x:v>
      </x:c>
      <x:c r="I79" s="12" t="n">
        <x:f>(D79-H79)/D79</x:f>
        <x:v>7.878762790470598e-12</x:v>
      </x:c>
      <x:c r="J79" s="2" t="n">
        <x:f>COUNTIFS('540条种子'!H225:H227,"&gt;0",'540条种子'!I225:I227,"&gt;0")</x:f>
        <x:v>0</x:v>
      </x:c>
      <x:c r="K79" s="2" t="str">
        <x:f>IF(G79&gt;0.0000001,"改善",IF(G79&lt;-0.0000001,"退化","持平"))</x:f>
        <x:v>持平</x:v>
      </x:c>
      <x:c r="L79" s="11" t="n">
        <x:f>AVERAGE('540条种子'!H225:H227)</x:f>
        <x:v>0</x:v>
      </x:c>
    </x:row>
    <x:row r="80" ht="23" customHeight="1">
      <x:c r="A80" s="2" t="str">
        <x:v>Energy</x:v>
      </x:c>
      <x:c r="B80" s="2" t="n">
        <x:v>36</x:v>
      </x:c>
      <x:c r="C80" s="2" t="str">
        <x:v>Aurora</x:v>
      </x:c>
      <x:c r="D80" s="10" t="n">
        <x:f>'540条种子'!E228</x:f>
        <x:v>0.3960474992539366</x:v>
      </x:c>
      <x:c r="E80" s="10" t="n">
        <x:f>AVERAGE('540条种子'!G228:G230)</x:f>
        <x:v>0.3960474992539366</x:v>
      </x:c>
      <x:c r="F80" s="10" t="n">
        <x:f>STDEV.S('540条种子'!G228:G230)</x:f>
        <x:v>0</x:v>
      </x:c>
      <x:c r="G80" s="12" t="n">
        <x:f>(D80-E80)/D80</x:f>
        <x:v>0</x:v>
      </x:c>
      <x:c r="H80" s="10" t="n">
        <x:f>AVERAGE('540条种子'!F228:F230)</x:f>
        <x:v>0.3960474992530494</x:v>
      </x:c>
      <x:c r="I80" s="12" t="n">
        <x:f>(D80-H80)/D80</x:f>
        <x:v>2.2402230333496415e-12</x:v>
      </x:c>
      <x:c r="J80" s="2" t="n">
        <x:f>COUNTIFS('540条种子'!H228:H230,"&gt;0",'540条种子'!I228:I230,"&gt;0")</x:f>
        <x:v>0</x:v>
      </x:c>
      <x:c r="K80" s="2" t="str">
        <x:f>IF(G80&gt;0.0000001,"改善",IF(G80&lt;-0.0000001,"退化","持平"))</x:f>
        <x:v>持平</x:v>
      </x:c>
      <x:c r="L80" s="11" t="n">
        <x:f>AVERAGE('540条种子'!H228:H230)</x:f>
        <x:v>0</x:v>
      </x:c>
    </x:row>
    <x:row r="81" ht="23" customHeight="1">
      <x:c r="A81" s="2" t="str">
        <x:v>Energy</x:v>
      </x:c>
      <x:c r="B81" s="2" t="n">
        <x:v>48</x:v>
      </x:c>
      <x:c r="C81" s="2" t="str">
        <x:v>TaTS</x:v>
      </x:c>
      <x:c r="D81" s="10" t="n">
        <x:f>'540条种子'!E231</x:f>
        <x:v>0.40905897884304054</x:v>
      </x:c>
      <x:c r="E81" s="10" t="n">
        <x:f>AVERAGE('540条种子'!G231:G233)</x:f>
        <x:v>0.40905897884304054</x:v>
      </x:c>
      <x:c r="F81" s="10" t="n">
        <x:f>STDEV.S('540条种子'!G231:G233)</x:f>
        <x:v>0</x:v>
      </x:c>
      <x:c r="G81" s="12" t="n">
        <x:f>(D81-E81)/D81</x:f>
        <x:v>0</x:v>
      </x:c>
      <x:c r="H81" s="10" t="n">
        <x:f>AVERAGE('540条种子'!F231:F233)</x:f>
        <x:v>0.4090589788449863</x:v>
      </x:c>
      <x:c r="I81" s="12" t="n">
        <x:f>(D81-H81)/D81</x:f>
        <x:v>-4.7567147369833455e-12</x:v>
      </x:c>
      <x:c r="J81" s="2" t="n">
        <x:f>COUNTIFS('540条种子'!H231:H233,"&gt;0",'540条种子'!I231:I233,"&gt;0")</x:f>
        <x:v>0</x:v>
      </x:c>
      <x:c r="K81" s="2" t="str">
        <x:f>IF(G81&gt;0.0000001,"改善",IF(G81&lt;-0.0000001,"退化","持平"))</x:f>
        <x:v>持平</x:v>
      </x:c>
      <x:c r="L81" s="11" t="n">
        <x:f>AVERAGE('540条种子'!H231:H233)</x:f>
        <x:v>0</x:v>
      </x:c>
    </x:row>
    <x:row r="82" ht="23" customHeight="1">
      <x:c r="A82" s="2" t="str">
        <x:v>Energy</x:v>
      </x:c>
      <x:c r="B82" s="2" t="n">
        <x:v>48</x:v>
      </x:c>
      <x:c r="C82" s="2" t="str">
        <x:v>MM-TSFlib</x:v>
      </x:c>
      <x:c r="D82" s="10" t="n">
        <x:f>'540条种子'!E234</x:f>
        <x:v>0.47098583846107467</x:v>
      </x:c>
      <x:c r="E82" s="10" t="n">
        <x:f>AVERAGE('540条种子'!G234:G236)</x:f>
        <x:v>0.4709858384610747</x:v>
      </x:c>
      <x:c r="F82" s="10" t="n">
        <x:f>STDEV.S('540条种子'!G234:G236)</x:f>
        <x:v>6.798699777552591e-17</x:v>
      </x:c>
      <x:c r="G82" s="12" t="n">
        <x:f>(D82-E82)/D82</x:f>
        <x:v>-1.178616142953216e-16</x:v>
      </x:c>
      <x:c r="H82" s="10" t="n">
        <x:f>AVERAGE('540条种子'!F234:F236)</x:f>
        <x:v>0.47098583845545466</x:v>
      </x:c>
      <x:c r="I82" s="12" t="n">
        <x:f>(D82-H82)/D82</x:f>
        <x:v>1.1932427692872653e-11</x:v>
      </x:c>
      <x:c r="J82" s="2" t="n">
        <x:f>COUNTIFS('540条种子'!H234:H236,"&gt;0",'540条种子'!I234:I236,"&gt;0")</x:f>
        <x:v>0</x:v>
      </x:c>
      <x:c r="K82" s="2" t="str">
        <x:f>IF(G82&gt;0.0000001,"改善",IF(G82&lt;-0.0000001,"退化","持平"))</x:f>
        <x:v>持平</x:v>
      </x:c>
      <x:c r="L82" s="11" t="n">
        <x:f>AVERAGE('540条种子'!H234:H236)</x:f>
        <x:v>0</x:v>
      </x:c>
    </x:row>
    <x:row r="83" ht="23" customHeight="1">
      <x:c r="A83" s="2" t="str">
        <x:v>Energy</x:v>
      </x:c>
      <x:c r="B83" s="2" t="n">
        <x:v>48</x:v>
      </x:c>
      <x:c r="C83" s="2" t="str">
        <x:v>SpecTF</x:v>
      </x:c>
      <x:c r="D83" s="10" t="n">
        <x:f>'540条种子'!E237</x:f>
        <x:v>0.3815823420985617</x:v>
      </x:c>
      <x:c r="E83" s="10" t="n">
        <x:f>AVERAGE('540条种子'!G237:G239)</x:f>
        <x:v>0.3815823420985616</x:v>
      </x:c>
      <x:c r="F83" s="10" t="n">
        <x:f>STDEV.S('540条种子'!G237:G239)</x:f>
        <x:v>6.798699777552591e-17</x:v>
      </x:c>
      <x:c r="G83" s="12" t="n">
        <x:f>(D83-E83)/D83</x:f>
        <x:v>1.4547620554443646e-16</x:v>
      </x:c>
      <x:c r="H83" s="10" t="n">
        <x:f>AVERAGE('540条种子'!F237:F239)</x:f>
        <x:v>0.3815823421118873</x:v>
      </x:c>
      <x:c r="I83" s="12" t="n">
        <x:f>(D83-H83)/D83</x:f>
        <x:v>-3.492199956955861e-11</x:v>
      </x:c>
      <x:c r="J83" s="2" t="n">
        <x:f>COUNTIFS('540条种子'!H237:H239,"&gt;0",'540条种子'!I237:I239,"&gt;0")</x:f>
        <x:v>0</x:v>
      </x:c>
      <x:c r="K83" s="2" t="str">
        <x:f>IF(G83&gt;0.0000001,"改善",IF(G83&lt;-0.0000001,"退化","持平"))</x:f>
        <x:v>持平</x:v>
      </x:c>
      <x:c r="L83" s="11" t="n">
        <x:f>AVERAGE('540条种子'!H237:H239)</x:f>
        <x:v>0</x:v>
      </x:c>
    </x:row>
    <x:row r="84" ht="23" customHeight="1">
      <x:c r="A84" s="2" t="str">
        <x:v>Energy</x:v>
      </x:c>
      <x:c r="B84" s="2" t="n">
        <x:v>48</x:v>
      </x:c>
      <x:c r="C84" s="2" t="str">
        <x:v>CFA</x:v>
      </x:c>
      <x:c r="D84" s="10" t="n">
        <x:f>'540条种子'!E240</x:f>
        <x:v>0.3953827732857235</x:v>
      </x:c>
      <x:c r="E84" s="10" t="n">
        <x:f>AVERAGE('540条种子'!G240:G242)</x:f>
        <x:v>0.3953827732857235</x:v>
      </x:c>
      <x:c r="F84" s="10" t="n">
        <x:f>STDEV.S('540条种子'!G240:G242)</x:f>
        <x:v>0</x:v>
      </x:c>
      <x:c r="G84" s="12" t="n">
        <x:f>(D84-E84)/D84</x:f>
        <x:v>0</x:v>
      </x:c>
      <x:c r="H84" s="10" t="n">
        <x:f>AVERAGE('540条种子'!F240:F242)</x:f>
        <x:v>0.395382773293737</x:v>
      </x:c>
      <x:c r="I84" s="12" t="n">
        <x:f>(D84-H84)/D84</x:f>
        <x:v>-2.0267647734998746e-11</x:v>
      </x:c>
      <x:c r="J84" s="2" t="n">
        <x:f>COUNTIFS('540条种子'!H240:H242,"&gt;0",'540条种子'!I240:I242,"&gt;0")</x:f>
        <x:v>0</x:v>
      </x:c>
      <x:c r="K84" s="2" t="str">
        <x:f>IF(G84&gt;0.0000001,"改善",IF(G84&lt;-0.0000001,"退化","持平"))</x:f>
        <x:v>持平</x:v>
      </x:c>
      <x:c r="L84" s="11" t="n">
        <x:f>AVERAGE('540条种子'!H240:H242)</x:f>
        <x:v>0</x:v>
      </x:c>
    </x:row>
    <x:row r="85" ht="23" customHeight="1">
      <x:c r="A85" s="2" t="str">
        <x:v>Energy</x:v>
      </x:c>
      <x:c r="B85" s="2" t="n">
        <x:v>48</x:v>
      </x:c>
      <x:c r="C85" s="2" t="str">
        <x:v>Aurora</x:v>
      </x:c>
      <x:c r="D85" s="10" t="n">
        <x:f>'540条种子'!E243</x:f>
        <x:v>0.4675554391113816</x:v>
      </x:c>
      <x:c r="E85" s="10" t="n">
        <x:f>AVERAGE('540条种子'!G243:G245)</x:f>
        <x:v>0.46755543909884273</x:v>
      </x:c>
      <x:c r="F85" s="10" t="n">
        <x:f>STDEV.S('540条种子'!G243:G245)</x:f>
        <x:v>0</x:v>
      </x:c>
      <x:c r="G85" s="12" t="n">
        <x:f>(D85-E85)/D85</x:f>
        <x:v>2.6817908190625276e-11</x:v>
      </x:c>
      <x:c r="H85" s="10" t="n">
        <x:f>AVERAGE('540条种子'!F243:F245)</x:f>
        <x:v>0.46755543909884273</x:v>
      </x:c>
      <x:c r="I85" s="12" t="n">
        <x:f>(D85-H85)/D85</x:f>
        <x:v>2.6817908190625276e-11</x:v>
      </x:c>
      <x:c r="J85" s="2" t="n">
        <x:f>COUNTIFS('540条种子'!H243:H245,"&gt;0",'540条种子'!I243:I245,"&gt;0")</x:f>
        <x:v>0</x:v>
      </x:c>
      <x:c r="K85" s="2" t="str">
        <x:f>IF(G85&gt;0.0000001,"改善",IF(G85&lt;-0.0000001,"退化","持平"))</x:f>
        <x:v>持平</x:v>
      </x:c>
      <x:c r="L85" s="11" t="n">
        <x:f>AVERAGE('540条种子'!H243:H245)</x:f>
        <x:v>1</x:v>
      </x:c>
    </x:row>
    <x:row r="86" ht="23" customHeight="1">
      <x:c r="A86" s="2" t="str">
        <x:v>Environment</x:v>
      </x:c>
      <x:c r="B86" s="2" t="n">
        <x:v>48</x:v>
      </x:c>
      <x:c r="C86" s="2" t="str">
        <x:v>TaTS</x:v>
      </x:c>
      <x:c r="D86" s="10" t="n">
        <x:f>'540条种子'!E246</x:f>
        <x:v>0.3035071647381012</x:v>
      </x:c>
      <x:c r="E86" s="10" t="n">
        <x:f>AVERAGE('540条种子'!G246:G248)</x:f>
        <x:v>0.2830269421453498</x:v>
      </x:c>
      <x:c r="F86" s="10" t="n">
        <x:f>STDEV.S('540条种子'!G246:G248)</x:f>
        <x:v>0.00044074871000199006</x:v>
      </x:c>
      <x:c r="G86" s="12" t="n">
        <x:f>(D86-E86)/D86</x:f>
        <x:v>0.06747854736946308</x:v>
      </x:c>
      <x:c r="H86" s="10" t="n">
        <x:f>AVERAGE('540条种子'!F246:F248)</x:f>
        <x:v>0.2830269421453498</x:v>
      </x:c>
      <x:c r="I86" s="12" t="n">
        <x:f>(D86-H86)/D86</x:f>
        <x:v>0.06747854736946308</x:v>
      </x:c>
      <x:c r="J86" s="2" t="n">
        <x:f>COUNTIFS('540条种子'!H246:H248,"&gt;0",'540条种子'!I246:I248,"&gt;0")</x:f>
        <x:v>3</x:v>
      </x:c>
      <x:c r="K86" s="2" t="str">
        <x:f>IF(G86&gt;0.0000001,"改善",IF(G86&lt;-0.0000001,"退化","持平"))</x:f>
        <x:v>改善</x:v>
      </x:c>
      <x:c r="L86" s="11" t="n">
        <x:f>AVERAGE('540条种子'!H246:H248)</x:f>
        <x:v>1</x:v>
      </x:c>
    </x:row>
    <x:row r="87" ht="23" customHeight="1">
      <x:c r="A87" s="2" t="str">
        <x:v>Environment</x:v>
      </x:c>
      <x:c r="B87" s="2" t="n">
        <x:v>48</x:v>
      </x:c>
      <x:c r="C87" s="2" t="str">
        <x:v>MM-TSFlib</x:v>
      </x:c>
      <x:c r="D87" s="10" t="n">
        <x:f>'540条种子'!E249</x:f>
        <x:v>0.29596647508290747</x:v>
      </x:c>
      <x:c r="E87" s="10" t="n">
        <x:f>AVERAGE('540条种子'!G249:G251)</x:f>
        <x:v>0.27880730590540437</x:v>
      </x:c>
      <x:c r="F87" s="10" t="n">
        <x:f>STDEV.S('540条种子'!G249:G251)</x:f>
        <x:v>0.00036378956617389064</x:v>
      </x:c>
      <x:c r="G87" s="12" t="n">
        <x:f>(D87-E87)/D87</x:f>
        <x:v>0.05797673257654062</x:v>
      </x:c>
      <x:c r="H87" s="10" t="n">
        <x:f>AVERAGE('540条种子'!F249:F251)</x:f>
        <x:v>0.27880730590540437</x:v>
      </x:c>
      <x:c r="I87" s="12" t="n">
        <x:f>(D87-H87)/D87</x:f>
        <x:v>0.05797673257654062</x:v>
      </x:c>
      <x:c r="J87" s="2" t="n">
        <x:f>COUNTIFS('540条种子'!H249:H251,"&gt;0",'540条种子'!I249:I251,"&gt;0")</x:f>
        <x:v>3</x:v>
      </x:c>
      <x:c r="K87" s="2" t="str">
        <x:f>IF(G87&gt;0.0000001,"改善",IF(G87&lt;-0.0000001,"退化","持平"))</x:f>
        <x:v>改善</x:v>
      </x:c>
      <x:c r="L87" s="11" t="n">
        <x:f>AVERAGE('540条种子'!H249:H251)</x:f>
        <x:v>1</x:v>
      </x:c>
    </x:row>
    <x:row r="88" ht="23" customHeight="1">
      <x:c r="A88" s="2" t="str">
        <x:v>Environment</x:v>
      </x:c>
      <x:c r="B88" s="2" t="n">
        <x:v>48</x:v>
      </x:c>
      <x:c r="C88" s="2" t="str">
        <x:v>SpecTF</x:v>
      </x:c>
      <x:c r="D88" s="10" t="n">
        <x:f>'540条种子'!E252</x:f>
        <x:v>0.30443698331933344</x:v>
      </x:c>
      <x:c r="E88" s="10" t="n">
        <x:f>AVERAGE('540条种子'!G252:G254)</x:f>
        <x:v>0.2971148428935524</x:v>
      </x:c>
      <x:c r="F88" s="10" t="n">
        <x:f>STDEV.S('540条种子'!G252:G254)</x:f>
        <x:v>0.0007397305472913575</x:v>
      </x:c>
      <x:c r="G88" s="12" t="n">
        <x:f>(D88-E88)/D88</x:f>
        <x:v>0.024051415652416423</x:v>
      </x:c>
      <x:c r="H88" s="10" t="n">
        <x:f>AVERAGE('540条种子'!F252:F254)</x:f>
        <x:v>0.2971148428935524</x:v>
      </x:c>
      <x:c r="I88" s="12" t="n">
        <x:f>(D88-H88)/D88</x:f>
        <x:v>0.024051415652416423</x:v>
      </x:c>
      <x:c r="J88" s="2" t="n">
        <x:f>COUNTIFS('540条种子'!H252:H254,"&gt;0",'540条种子'!I252:I254,"&gt;0")</x:f>
        <x:v>3</x:v>
      </x:c>
      <x:c r="K88" s="2" t="str">
        <x:f>IF(G88&gt;0.0000001,"改善",IF(G88&lt;-0.0000001,"退化","持平"))</x:f>
        <x:v>改善</x:v>
      </x:c>
      <x:c r="L88" s="11" t="n">
        <x:f>AVERAGE('540条种子'!H252:H254)</x:f>
        <x:v>1</x:v>
      </x:c>
    </x:row>
    <x:row r="89" ht="23" customHeight="1">
      <x:c r="A89" s="2" t="str">
        <x:v>Environment</x:v>
      </x:c>
      <x:c r="B89" s="2" t="n">
        <x:v>48</x:v>
      </x:c>
      <x:c r="C89" s="2" t="str">
        <x:v>CFA</x:v>
      </x:c>
      <x:c r="D89" s="10" t="n">
        <x:f>'540条种子'!E255</x:f>
        <x:v>0.31664634101683053</x:v>
      </x:c>
      <x:c r="E89" s="10" t="n">
        <x:f>AVERAGE('540条种子'!G255:G257)</x:f>
        <x:v>0.3167987155848255</x:v>
      </x:c>
      <x:c r="F89" s="10" t="n">
        <x:f>STDEV.S('540条种子'!G255:G257)</x:f>
        <x:v>0.00023690103041528948</x:v>
      </x:c>
      <x:c r="G89" s="12" t="n">
        <x:f>(D89-E89)/D89</x:f>
        <x:v>-0.0004812137336109008</x:v>
      </x:c>
      <x:c r="H89" s="10" t="n">
        <x:f>AVERAGE('540条种子'!F255:F257)</x:f>
        <x:v>0.32073935738420684</x:v>
      </x:c>
      <x:c r="I89" s="12" t="n">
        <x:f>(D89-H89)/D89</x:f>
        <x:v>-0.01292614452525364</x:v>
      </x:c>
      <x:c r="J89" s="2" t="n">
        <x:f>COUNTIFS('540条种子'!H255:H257,"&gt;0",'540条种子'!I255:I257,"&gt;0")</x:f>
        <x:v>3</x:v>
      </x:c>
      <x:c r="K89" s="2" t="str">
        <x:f>IF(G89&gt;0.0000001,"改善",IF(G89&lt;-0.0000001,"退化","持平"))</x:f>
        <x:v>退化</x:v>
      </x:c>
      <x:c r="L89" s="11" t="n">
        <x:f>AVERAGE('540条种子'!H255:H257)</x:f>
        <x:v>0.4166666666666667</x:v>
      </x:c>
    </x:row>
    <x:row r="90" ht="23" customHeight="1">
      <x:c r="A90" s="2" t="str">
        <x:v>Environment</x:v>
      </x:c>
      <x:c r="B90" s="2" t="n">
        <x:v>48</x:v>
      </x:c>
      <x:c r="C90" s="2" t="str">
        <x:v>Aurora</x:v>
      </x:c>
      <x:c r="D90" s="10" t="n">
        <x:f>'540条种子'!E258</x:f>
        <x:v>0.39488863757207215</x:v>
      </x:c>
      <x:c r="E90" s="10" t="n">
        <x:f>AVERAGE('540条种子'!G258:G260)</x:f>
        <x:v>0.3937167859329862</x:v>
      </x:c>
      <x:c r="F90" s="10" t="n">
        <x:f>STDEV.S('540条种子'!G258:G260)</x:f>
        <x:v>0.0006946759083264637</x:v>
      </x:c>
      <x:c r="G90" s="12" t="n">
        <x:f>(D90-E90)/D90</x:f>
        <x:v>0.002967549652203084</x:v>
      </x:c>
      <x:c r="H90" s="10" t="n">
        <x:f>AVERAGE('540条种子'!F258:F260)</x:f>
        <x:v>0.3937167859329862</x:v>
      </x:c>
      <x:c r="I90" s="12" t="n">
        <x:f>(D90-H90)/D90</x:f>
        <x:v>0.002967549652203084</x:v>
      </x:c>
      <x:c r="J90" s="2" t="n">
        <x:f>COUNTIFS('540条种子'!H258:H260,"&gt;0",'540条种子'!I258:I260,"&gt;0")</x:f>
        <x:v>3</x:v>
      </x:c>
      <x:c r="K90" s="2" t="str">
        <x:f>IF(G90&gt;0.0000001,"改善",IF(G90&lt;-0.0000001,"退化","持平"))</x:f>
        <x:v>改善</x:v>
      </x:c>
      <x:c r="L90" s="11" t="n">
        <x:f>AVERAGE('540条种子'!H258:H260)</x:f>
        <x:v>1</x:v>
      </x:c>
    </x:row>
    <x:row r="91" ht="23" customHeight="1">
      <x:c r="A91" s="2" t="str">
        <x:v>Environment</x:v>
      </x:c>
      <x:c r="B91" s="2" t="n">
        <x:v>96</x:v>
      </x:c>
      <x:c r="C91" s="2" t="str">
        <x:v>TaTS</x:v>
      </x:c>
      <x:c r="D91" s="10" t="n">
        <x:f>'540条种子'!E261</x:f>
        <x:v>0.29697008480248327</x:v>
      </x:c>
      <x:c r="E91" s="10" t="n">
        <x:f>AVERAGE('540条种子'!G261:G263)</x:f>
        <x:v>0.28206907585868085</x:v>
      </x:c>
      <x:c r="F91" s="10" t="n">
        <x:f>STDEV.S('540条种子'!G261:G263)</x:f>
        <x:v>0.004001794796607575</x:v>
      </x:c>
      <x:c r="G91" s="12" t="n">
        <x:f>(D91-E91)/D91</x:f>
        <x:v>0.050176801322305495</x:v>
      </x:c>
      <x:c r="H91" s="10" t="n">
        <x:f>AVERAGE('540条种子'!F261:F263)</x:f>
        <x:v>0.28206907585868085</x:v>
      </x:c>
      <x:c r="I91" s="12" t="n">
        <x:f>(D91-H91)/D91</x:f>
        <x:v>0.050176801322305495</x:v>
      </x:c>
      <x:c r="J91" s="2" t="n">
        <x:f>COUNTIFS('540条种子'!H261:H263,"&gt;0",'540条种子'!I261:I263,"&gt;0")</x:f>
        <x:v>3</x:v>
      </x:c>
      <x:c r="K91" s="2" t="str">
        <x:f>IF(G91&gt;0.0000001,"改善",IF(G91&lt;-0.0000001,"退化","持平"))</x:f>
        <x:v>改善</x:v>
      </x:c>
      <x:c r="L91" s="11" t="n">
        <x:f>AVERAGE('540条种子'!H261:H263)</x:f>
        <x:v>1</x:v>
      </x:c>
    </x:row>
    <x:row r="92" ht="23" customHeight="1">
      <x:c r="A92" s="2" t="str">
        <x:v>Environment</x:v>
      </x:c>
      <x:c r="B92" s="2" t="n">
        <x:v>96</x:v>
      </x:c>
      <x:c r="C92" s="2" t="str">
        <x:v>MM-TSFlib</x:v>
      </x:c>
      <x:c r="D92" s="10" t="n">
        <x:f>'540条种子'!E264</x:f>
        <x:v>0.3455599921922928</x:v>
      </x:c>
      <x:c r="E92" s="10" t="n">
        <x:f>AVERAGE('540条种子'!G264:G266)</x:f>
        <x:v>0.3126895143997499</x:v>
      </x:c>
      <x:c r="F92" s="10" t="n">
        <x:f>STDEV.S('540条种子'!G264:G266)</x:f>
        <x:v>0.0016930419021850475</x:v>
      </x:c>
      <x:c r="G92" s="12" t="n">
        <x:f>(D92-E92)/D92</x:f>
        <x:v>0.09512234788525963</x:v>
      </x:c>
      <x:c r="H92" s="10" t="n">
        <x:f>AVERAGE('540条种子'!F264:F266)</x:f>
        <x:v>0.3126895143997499</x:v>
      </x:c>
      <x:c r="I92" s="12" t="n">
        <x:f>(D92-H92)/D92</x:f>
        <x:v>0.09512234788525963</x:v>
      </x:c>
      <x:c r="J92" s="2" t="n">
        <x:f>COUNTIFS('540条种子'!H264:H266,"&gt;0",'540条种子'!I264:I266,"&gt;0")</x:f>
        <x:v>3</x:v>
      </x:c>
      <x:c r="K92" s="2" t="str">
        <x:f>IF(G92&gt;0.0000001,"改善",IF(G92&lt;-0.0000001,"退化","持平"))</x:f>
        <x:v>改善</x:v>
      </x:c>
      <x:c r="L92" s="11" t="n">
        <x:f>AVERAGE('540条种子'!H264:H266)</x:f>
        <x:v>1</x:v>
      </x:c>
    </x:row>
    <x:row r="93" ht="23" customHeight="1">
      <x:c r="A93" s="2" t="str">
        <x:v>Environment</x:v>
      </x:c>
      <x:c r="B93" s="2" t="n">
        <x:v>96</x:v>
      </x:c>
      <x:c r="C93" s="2" t="str">
        <x:v>SpecTF</x:v>
      </x:c>
      <x:c r="D93" s="10" t="n">
        <x:f>'540条种子'!E267</x:f>
        <x:v>0.3294876408245237</x:v>
      </x:c>
      <x:c r="E93" s="10" t="n">
        <x:f>AVERAGE('540条种子'!G267:G269)</x:f>
        <x:v>0.3284657818383463</x:v>
      </x:c>
      <x:c r="F93" s="10" t="n">
        <x:f>STDEV.S('540条种子'!G267:G269)</x:f>
        <x:v>0.0017699116822300549</x:v>
      </x:c>
      <x:c r="G93" s="12" t="n">
        <x:f>(D93-E93)/D93</x:f>
        <x:v>0.003101357561152404</x:v>
      </x:c>
      <x:c r="H93" s="10" t="n">
        <x:f>AVERAGE('540条种子'!F267:F269)</x:f>
        <x:v>0.3399552155769639</x:v>
      </x:c>
      <x:c r="I93" s="12" t="n">
        <x:f>(D93-H93)/D93</x:f>
        <x:v>-0.03176924854069094</x:v>
      </x:c>
      <x:c r="J93" s="2" t="n">
        <x:f>COUNTIFS('540条种子'!H267:H269,"&gt;0",'540条种子'!I267:I269,"&gt;0")</x:f>
        <x:v>1</x:v>
      </x:c>
      <x:c r="K93" s="2" t="str">
        <x:f>IF(G93&gt;0.0000001,"改善",IF(G93&lt;-0.0000001,"退化","持平"))</x:f>
        <x:v>改善</x:v>
      </x:c>
      <x:c r="L93" s="11" t="n">
        <x:f>AVERAGE('540条种子'!H267:H269)</x:f>
        <x:v>0.16666666666666666</x:v>
      </x:c>
    </x:row>
    <x:row r="94" ht="23" customHeight="1">
      <x:c r="A94" s="2" t="str">
        <x:v>Environment</x:v>
      </x:c>
      <x:c r="B94" s="2" t="n">
        <x:v>96</x:v>
      </x:c>
      <x:c r="C94" s="2" t="str">
        <x:v>CFA</x:v>
      </x:c>
      <x:c r="D94" s="10" t="n">
        <x:f>'540条种子'!E270</x:f>
        <x:v>0.35261779682305505</x:v>
      </x:c>
      <x:c r="E94" s="10" t="n">
        <x:f>AVERAGE('540条种子'!G270:G272)</x:f>
        <x:v>0.35793619412366623</x:v>
      </x:c>
      <x:c r="F94" s="10" t="n">
        <x:f>STDEV.S('540条种子'!G270:G272)</x:f>
        <x:v>0.0009027666491681623</x:v>
      </x:c>
      <x:c r="G94" s="12" t="n">
        <x:f>(D94-E94)/D94</x:f>
        <x:v>-0.015082611679069532</x:v>
      </x:c>
      <x:c r="H94" s="10" t="n">
        <x:f>AVERAGE('540条种子'!F270:F272)</x:f>
        <x:v>0.3663621764210863</x:v>
      </x:c>
      <x:c r="I94" s="12" t="n">
        <x:f>(D94-H94)/D94</x:f>
        <x:v>-0.03897812226683569</x:v>
      </x:c>
      <x:c r="J94" s="2" t="n">
        <x:f>COUNTIFS('540条种子'!H270:H272,"&gt;0",'540条种子'!I270:I272,"&gt;0")</x:f>
        <x:v>3</x:v>
      </x:c>
      <x:c r="K94" s="2" t="str">
        <x:f>IF(G94&gt;0.0000001,"改善",IF(G94&lt;-0.0000001,"退化","持平"))</x:f>
        <x:v>退化</x:v>
      </x:c>
      <x:c r="L94" s="11" t="n">
        <x:f>AVERAGE('540条种子'!H270:H272)</x:f>
        <x:v>0.6666666666666666</x:v>
      </x:c>
    </x:row>
    <x:row r="95" ht="23" customHeight="1">
      <x:c r="A95" s="2" t="str">
        <x:v>Environment</x:v>
      </x:c>
      <x:c r="B95" s="2" t="n">
        <x:v>96</x:v>
      </x:c>
      <x:c r="C95" s="2" t="str">
        <x:v>Aurora</x:v>
      </x:c>
      <x:c r="D95" s="10" t="n">
        <x:f>'540条种子'!E273</x:f>
        <x:v>0.43624974417127504</x:v>
      </x:c>
      <x:c r="E95" s="10" t="n">
        <x:f>AVERAGE('540条种子'!G273:G275)</x:f>
        <x:v>0.43287769144768995</x:v>
      </x:c>
      <x:c r="F95" s="10" t="n">
        <x:f>STDEV.S('540条种子'!G273:G275)</x:f>
        <x:v>0.003053451757445374</x:v>
      </x:c>
      <x:c r="G95" s="12" t="n">
        <x:f>(D95-E95)/D95</x:f>
        <x:v>0.007729638283205963</x:v>
      </x:c>
      <x:c r="H95" s="10" t="n">
        <x:f>AVERAGE('540条种子'!F273:F275)</x:f>
        <x:v>0.4383313460645715</x:v>
      </x:c>
      <x:c r="I95" s="12" t="n">
        <x:f>(D95-H95)/D95</x:f>
        <x:v>-0.004771583069351274</x:v>
      </x:c>
      <x:c r="J95" s="2" t="n">
        <x:f>COUNTIFS('540条种子'!H273:H275,"&gt;0",'540条种子'!I273:I275,"&gt;0")</x:f>
        <x:v>2</x:v>
      </x:c>
      <x:c r="K95" s="2" t="str">
        <x:f>IF(G95&gt;0.0000001,"改善",IF(G95&lt;-0.0000001,"退化","持平"))</x:f>
        <x:v>改善</x:v>
      </x:c>
      <x:c r="L95" s="11" t="n">
        <x:f>AVERAGE('540条种子'!H273:H275)</x:f>
        <x:v>0.6666666666666666</x:v>
      </x:c>
    </x:row>
    <x:row r="96" ht="23" customHeight="1">
      <x:c r="A96" s="2" t="str">
        <x:v>Environment</x:v>
      </x:c>
      <x:c r="B96" s="2" t="n">
        <x:v>192</x:v>
      </x:c>
      <x:c r="C96" s="2" t="str">
        <x:v>TaTS</x:v>
      </x:c>
      <x:c r="D96" s="10" t="n">
        <x:f>'540条种子'!E276</x:f>
        <x:v>0.2819047584851864</x:v>
      </x:c>
      <x:c r="E96" s="10" t="n">
        <x:f>AVERAGE('540条种子'!G276:G278)</x:f>
        <x:v>0.2676948192214623</x:v>
      </x:c>
      <x:c r="F96" s="10" t="n">
        <x:f>STDEV.S('540条种子'!G276:G278)</x:f>
        <x:v>0.0072020579141013315</x:v>
      </x:c>
      <x:c r="G96" s="12" t="n">
        <x:f>(D96-E96)/D96</x:f>
        <x:v>0.050406879756415356</x:v>
      </x:c>
      <x:c r="H96" s="10" t="n">
        <x:f>AVERAGE('540条种子'!F276:F278)</x:f>
        <x:v>0.26982553664572867</x:v>
      </x:c>
      <x:c r="I96" s="12" t="n">
        <x:f>(D96-H96)/D96</x:f>
        <x:v>0.04284859150432714</x:v>
      </x:c>
      <x:c r="J96" s="2" t="n">
        <x:f>COUNTIFS('540条种子'!H276:H278,"&gt;0",'540条种子'!I276:I278,"&gt;0")</x:f>
        <x:v>3</x:v>
      </x:c>
      <x:c r="K96" s="2" t="str">
        <x:f>IF(G96&gt;0.0000001,"改善",IF(G96&lt;-0.0000001,"退化","持平"))</x:f>
        <x:v>改善</x:v>
      </x:c>
      <x:c r="L96" s="11" t="n">
        <x:f>AVERAGE('540条种子'!H276:H278)</x:f>
        <x:v>0.9166666666666666</x:v>
      </x:c>
    </x:row>
    <x:row r="97" ht="23" customHeight="1">
      <x:c r="A97" s="2" t="str">
        <x:v>Environment</x:v>
      </x:c>
      <x:c r="B97" s="2" t="n">
        <x:v>192</x:v>
      </x:c>
      <x:c r="C97" s="2" t="str">
        <x:v>MM-TSFlib</x:v>
      </x:c>
      <x:c r="D97" s="10" t="n">
        <x:f>'540条种子'!E279</x:f>
        <x:v>0.424233536785341</x:v>
      </x:c>
      <x:c r="E97" s="10" t="n">
        <x:f>AVERAGE('540条种子'!G279:G281)</x:f>
        <x:v>0.3694306601731849</x:v>
      </x:c>
      <x:c r="F97" s="10" t="n">
        <x:f>STDEV.S('540条种子'!G279:G281)</x:f>
        <x:v>0.011365087128409125</x:v>
      </x:c>
      <x:c r="G97" s="12" t="n">
        <x:f>(D97-E97)/D97</x:f>
        <x:v>0.12918091536899393</x:v>
      </x:c>
      <x:c r="H97" s="10" t="n">
        <x:f>AVERAGE('540条种子'!F279:F281)</x:f>
        <x:v>0.3694306601731849</x:v>
      </x:c>
      <x:c r="I97" s="12" t="n">
        <x:f>(D97-H97)/D97</x:f>
        <x:v>0.12918091536899393</x:v>
      </x:c>
      <x:c r="J97" s="2" t="n">
        <x:f>COUNTIFS('540条种子'!H279:H281,"&gt;0",'540条种子'!I279:I281,"&gt;0")</x:f>
        <x:v>3</x:v>
      </x:c>
      <x:c r="K97" s="2" t="str">
        <x:f>IF(G97&gt;0.0000001,"改善",IF(G97&lt;-0.0000001,"退化","持平"))</x:f>
        <x:v>改善</x:v>
      </x:c>
      <x:c r="L97" s="11" t="n">
        <x:f>AVERAGE('540条种子'!H279:H281)</x:f>
        <x:v>1</x:v>
      </x:c>
    </x:row>
    <x:row r="98" ht="23" customHeight="1">
      <x:c r="A98" s="2" t="str">
        <x:v>Environment</x:v>
      </x:c>
      <x:c r="B98" s="2" t="n">
        <x:v>192</x:v>
      </x:c>
      <x:c r="C98" s="2" t="str">
        <x:v>SpecTF</x:v>
      </x:c>
      <x:c r="D98" s="10" t="n">
        <x:f>'540条种子'!E282</x:f>
        <x:v>0.3021611736934637</x:v>
      </x:c>
      <x:c r="E98" s="10" t="n">
        <x:f>AVERAGE('540条种子'!G282:G284)</x:f>
        <x:v>0.2946514782892825</x:v>
      </x:c>
      <x:c r="F98" s="10" t="n">
        <x:f>STDEV.S('540条种子'!G282:G284)</x:f>
        <x:v>0.004283415776457467</x:v>
      </x:c>
      <x:c r="G98" s="12" t="n">
        <x:f>(D98-E98)/D98</x:f>
        <x:v>0.02485327718444595</x:v>
      </x:c>
      <x:c r="H98" s="10" t="n">
        <x:f>AVERAGE('540条种子'!F282:F284)</x:f>
        <x:v>0.2946514782892825</x:v>
      </x:c>
      <x:c r="I98" s="12" t="n">
        <x:f>(D98-H98)/D98</x:f>
        <x:v>0.02485327718444595</x:v>
      </x:c>
      <x:c r="J98" s="2" t="n">
        <x:f>COUNTIFS('540条种子'!H282:H284,"&gt;0",'540条种子'!I282:I284,"&gt;0")</x:f>
        <x:v>3</x:v>
      </x:c>
      <x:c r="K98" s="2" t="str">
        <x:f>IF(G98&gt;0.0000001,"改善",IF(G98&lt;-0.0000001,"退化","持平"))</x:f>
        <x:v>改善</x:v>
      </x:c>
      <x:c r="L98" s="11" t="n">
        <x:f>AVERAGE('540条种子'!H282:H284)</x:f>
        <x:v>1</x:v>
      </x:c>
    </x:row>
    <x:row r="99" ht="23" customHeight="1">
      <x:c r="A99" s="2" t="str">
        <x:v>Environment</x:v>
      </x:c>
      <x:c r="B99" s="2" t="n">
        <x:v>192</x:v>
      </x:c>
      <x:c r="C99" s="2" t="str">
        <x:v>CFA</x:v>
      </x:c>
      <x:c r="D99" s="10" t="n">
        <x:f>'540条种子'!E285</x:f>
        <x:v>0.35717743889884385</x:v>
      </x:c>
      <x:c r="E99" s="10" t="n">
        <x:f>AVERAGE('540条种子'!G285:G287)</x:f>
        <x:v>0.3542128981426486</x:v>
      </x:c>
      <x:c r="F99" s="10" t="n">
        <x:f>STDEV.S('540条种子'!G285:G287)</x:f>
        <x:v>0.002290161004455873</x:v>
      </x:c>
      <x:c r="G99" s="12" t="n">
        <x:f>(D99-E99)/D99</x:f>
        <x:v>0.008299910446008937</x:v>
      </x:c>
      <x:c r="H99" s="10" t="n">
        <x:f>AVERAGE('540条种子'!F285:F287)</x:f>
        <x:v>0.3583264435445837</x:v>
      </x:c>
      <x:c r="I99" s="12" t="n">
        <x:f>(D99-H99)/D99</x:f>
        <x:v>-0.003216901518982191</x:v>
      </x:c>
      <x:c r="J99" s="2" t="n">
        <x:f>COUNTIFS('540条种子'!H285:H287,"&gt;0",'540条种子'!I285:I287,"&gt;0")</x:f>
        <x:v>3</x:v>
      </x:c>
      <x:c r="K99" s="2" t="str">
        <x:f>IF(G99&gt;0.0000001,"改善",IF(G99&lt;-0.0000001,"退化","持平"))</x:f>
        <x:v>改善</x:v>
      </x:c>
      <x:c r="L99" s="11" t="n">
        <x:f>AVERAGE('540条种子'!H285:H287)</x:f>
        <x:v>0.4166666666666667</x:v>
      </x:c>
    </x:row>
    <x:row r="100" ht="23" customHeight="1">
      <x:c r="A100" s="2" t="str">
        <x:v>Environment</x:v>
      </x:c>
      <x:c r="B100" s="2" t="n">
        <x:v>192</x:v>
      </x:c>
      <x:c r="C100" s="2" t="str">
        <x:v>Aurora</x:v>
      </x:c>
      <x:c r="D100" s="10" t="n">
        <x:f>'540条种子'!E288</x:f>
        <x:v>0.4248413094029132</x:v>
      </x:c>
      <x:c r="E100" s="10" t="n">
        <x:f>AVERAGE('540条种子'!G288:G290)</x:f>
        <x:v>0.4243422256382483</x:v>
      </x:c>
      <x:c r="F100" s="10" t="n">
        <x:f>STDEV.S('540条种子'!G288:G290)</x:f>
        <x:v>0.0008644384376323846</x:v>
      </x:c>
      <x:c r="G100" s="12" t="n">
        <x:f>(D100-E100)/D100</x:f>
        <x:v>0.0011747533811303048</x:v>
      </x:c>
      <x:c r="H100" s="10" t="n">
        <x:f>AVERAGE('540条种子'!F288:F290)</x:f>
        <x:v>0.4334986973123938</x:v>
      </x:c>
      <x:c r="I100" s="12" t="n">
        <x:f>(D100-H100)/D100</x:f>
        <x:v>-0.020377933402116695</x:v>
      </x:c>
      <x:c r="J100" s="2" t="n">
        <x:f>COUNTIFS('540条种子'!H288:H290,"&gt;0",'540条种子'!I288:I290,"&gt;0")</x:f>
        <x:v>1</x:v>
      </x:c>
      <x:c r="K100" s="2" t="str">
        <x:f>IF(G100&gt;0.0000001,"改善",IF(G100&lt;-0.0000001,"退化","持平"))</x:f>
        <x:v>改善</x:v>
      </x:c>
      <x:c r="L100" s="11" t="n">
        <x:f>AVERAGE('540条种子'!H288:H290)</x:f>
        <x:v>0.08333333333333333</x:v>
      </x:c>
    </x:row>
    <x:row r="101" ht="23" customHeight="1">
      <x:c r="A101" s="2" t="str">
        <x:v>Environment</x:v>
      </x:c>
      <x:c r="B101" s="2" t="n">
        <x:v>336</x:v>
      </x:c>
      <x:c r="C101" s="2" t="str">
        <x:v>TaTS</x:v>
      </x:c>
      <x:c r="D101" s="10" t="n">
        <x:f>'540条种子'!E291</x:f>
        <x:v>0.3033101027995199</x:v>
      </x:c>
      <x:c r="E101" s="10" t="n">
        <x:f>AVERAGE('540条种子'!G291:G293)</x:f>
        <x:v>0.2822530093932814</x:v>
      </x:c>
      <x:c r="F101" s="10" t="n">
        <x:f>STDEV.S('540条种子'!G291:G293)</x:f>
        <x:v>0.006291689767679253</x:v>
      </x:c>
      <x:c r="G101" s="12" t="n">
        <x:f>(D101-E101)/D101</x:f>
        <x:v>0.06942430605470701</x:v>
      </x:c>
      <x:c r="H101" s="10" t="n">
        <x:f>AVERAGE('540条种子'!F291:F293)</x:f>
        <x:v>0.2822530093932814</x:v>
      </x:c>
      <x:c r="I101" s="12" t="n">
        <x:f>(D101-H101)/D101</x:f>
        <x:v>0.06942430605470701</x:v>
      </x:c>
      <x:c r="J101" s="2" t="n">
        <x:f>COUNTIFS('540条种子'!H291:H293,"&gt;0",'540条种子'!I291:I293,"&gt;0")</x:f>
        <x:v>3</x:v>
      </x:c>
      <x:c r="K101" s="2" t="str">
        <x:f>IF(G101&gt;0.0000001,"改善",IF(G101&lt;-0.0000001,"退化","持平"))</x:f>
        <x:v>改善</x:v>
      </x:c>
      <x:c r="L101" s="11" t="n">
        <x:f>AVERAGE('540条种子'!H291:H293)</x:f>
        <x:v>1</x:v>
      </x:c>
    </x:row>
    <x:row r="102" ht="23" customHeight="1">
      <x:c r="A102" s="2" t="str">
        <x:v>Environment</x:v>
      </x:c>
      <x:c r="B102" s="2" t="n">
        <x:v>336</x:v>
      </x:c>
      <x:c r="C102" s="2" t="str">
        <x:v>MM-TSFlib</x:v>
      </x:c>
      <x:c r="D102" s="10" t="n">
        <x:f>'540条种子'!E294</x:f>
        <x:v>0.4371093961378358</x:v>
      </x:c>
      <x:c r="E102" s="10" t="n">
        <x:f>AVERAGE('540条种子'!G294:G296)</x:f>
        <x:v>0.3820149120554676</x:v>
      </x:c>
      <x:c r="F102" s="10" t="n">
        <x:f>STDEV.S('540条种子'!G294:G296)</x:f>
        <x:v>0.005642545771543705</x:v>
      </x:c>
      <x:c r="G102" s="12" t="n">
        <x:f>(D102-E102)/D102</x:f>
        <x:v>0.12604278143907702</x:v>
      </x:c>
      <x:c r="H102" s="10" t="n">
        <x:f>AVERAGE('540条种子'!F294:F296)</x:f>
        <x:v>0.3820149120554676</x:v>
      </x:c>
      <x:c r="I102" s="12" t="n">
        <x:f>(D102-H102)/D102</x:f>
        <x:v>0.12604278143907702</x:v>
      </x:c>
      <x:c r="J102" s="2" t="n">
        <x:f>COUNTIFS('540条种子'!H294:H296,"&gt;0",'540条种子'!I294:I296,"&gt;0")</x:f>
        <x:v>3</x:v>
      </x:c>
      <x:c r="K102" s="2" t="str">
        <x:f>IF(G102&gt;0.0000001,"改善",IF(G102&lt;-0.0000001,"退化","持平"))</x:f>
        <x:v>改善</x:v>
      </x:c>
      <x:c r="L102" s="11" t="n">
        <x:f>AVERAGE('540条种子'!H294:H296)</x:f>
        <x:v>1</x:v>
      </x:c>
    </x:row>
    <x:row r="103" ht="23" customHeight="1">
      <x:c r="A103" s="2" t="str">
        <x:v>Environment</x:v>
      </x:c>
      <x:c r="B103" s="2" t="n">
        <x:v>336</x:v>
      </x:c>
      <x:c r="C103" s="2" t="str">
        <x:v>SpecTF</x:v>
      </x:c>
      <x:c r="D103" s="10" t="n">
        <x:f>'540条种子'!E297</x:f>
        <x:v>0.3039387794760956</x:v>
      </x:c>
      <x:c r="E103" s="10" t="n">
        <x:f>AVERAGE('540条种子'!G297:G299)</x:f>
        <x:v>0.30386739224670056</x:v>
      </x:c>
      <x:c r="F103" s="10" t="n">
        <x:f>STDEV.S('540条种子'!G297:G299)</x:f>
        <x:v>0.0046857438573207205</x:v>
      </x:c>
      <x:c r="G103" s="12" t="n">
        <x:f>(D103-E103)/D103</x:f>
        <x:v>0.00023487371212744948</x:v>
      </x:c>
      <x:c r="H103" s="10" t="n">
        <x:f>AVERAGE('540条种子'!F297:F299)</x:f>
        <x:v>0.30386739224670056</x:v>
      </x:c>
      <x:c r="I103" s="12" t="n">
        <x:f>(D103-H103)/D103</x:f>
        <x:v>0.00023487371212744948</x:v>
      </x:c>
      <x:c r="J103" s="2" t="n">
        <x:f>COUNTIFS('540条种子'!H297:H299,"&gt;0",'540条种子'!I297:I299,"&gt;0")</x:f>
        <x:v>3</x:v>
      </x:c>
      <x:c r="K103" s="2" t="str">
        <x:f>IF(G103&gt;0.0000001,"改善",IF(G103&lt;-0.0000001,"退化","持平"))</x:f>
        <x:v>改善</x:v>
      </x:c>
      <x:c r="L103" s="11" t="n">
        <x:f>AVERAGE('540条种子'!H297:H299)</x:f>
        <x:v>1</x:v>
      </x:c>
    </x:row>
    <x:row r="104" ht="23" customHeight="1">
      <x:c r="A104" s="2" t="str">
        <x:v>Environment</x:v>
      </x:c>
      <x:c r="B104" s="2" t="n">
        <x:v>336</x:v>
      </x:c>
      <x:c r="C104" s="2" t="str">
        <x:v>CFA</x:v>
      </x:c>
      <x:c r="D104" s="10" t="n">
        <x:f>'540条种子'!E300</x:f>
        <x:v>0.34801837631476107</x:v>
      </x:c>
      <x:c r="E104" s="10" t="n">
        <x:f>AVERAGE('540条种子'!G300:G302)</x:f>
        <x:v>0.3476158792907182</x:v>
      </x:c>
      <x:c r="F104" s="10" t="n">
        <x:f>STDEV.S('540条种子'!G300:G302)</x:f>
        <x:v>0.0004446453447131805</x:v>
      </x:c>
      <x:c r="G104" s="12" t="n">
        <x:f>(D104-E104)/D104</x:f>
        <x:v>0.0011565395721484743</x:v>
      </x:c>
      <x:c r="H104" s="10" t="n">
        <x:f>AVERAGE('540条种子'!F300:F302)</x:f>
        <x:v>0.35893771520106427</x:v>
      </x:c>
      <x:c r="I104" s="12" t="n">
        <x:f>(D104-H104)/D104</x:f>
        <x:v>-0.03137575378039041</x:v>
      </x:c>
      <x:c r="J104" s="2" t="n">
        <x:f>COUNTIFS('540条种子'!H300:H302,"&gt;0",'540条种子'!I300:I302,"&gt;0")</x:f>
        <x:v>2</x:v>
      </x:c>
      <x:c r="K104" s="2" t="str">
        <x:f>IF(G104&gt;0.0000001,"改善",IF(G104&lt;-0.0000001,"退化","持平"))</x:f>
        <x:v>改善</x:v>
      </x:c>
      <x:c r="L104" s="11" t="n">
        <x:f>AVERAGE('540条种子'!H300:H302)</x:f>
        <x:v>0.16666666666666666</x:v>
      </x:c>
    </x:row>
    <x:row r="105" ht="23" customHeight="1">
      <x:c r="A105" s="2" t="str">
        <x:v>Environment</x:v>
      </x:c>
      <x:c r="B105" s="2" t="n">
        <x:v>336</x:v>
      </x:c>
      <x:c r="C105" s="2" t="str">
        <x:v>Aurora</x:v>
      </x:c>
      <x:c r="D105" s="10" t="n">
        <x:f>'540条种子'!E303</x:f>
        <x:v>0.4190524482224486</x:v>
      </x:c>
      <x:c r="E105" s="10" t="n">
        <x:f>AVERAGE('540条种子'!G303:G305)</x:f>
        <x:v>0.4190524482224485</x:v>
      </x:c>
      <x:c r="F105" s="10" t="n">
        <x:f>STDEV.S('540条种子'!G303:G305)</x:f>
        <x:v>6.798699777552591e-17</x:v>
      </x:c>
      <x:c r="G105" s="12" t="n">
        <x:f>(D105-E105)/D105</x:f>
        <x:v>1.3246826612450776e-16</x:v>
      </x:c>
      <x:c r="H105" s="10" t="n">
        <x:f>AVERAGE('540条种子'!F303:F305)</x:f>
        <x:v>0.4328604819475193</x:v>
      </x:c>
      <x:c r="I105" s="12" t="n">
        <x:f>(D105-H105)/D105</x:f>
        <x:v>-0.032950609842854105</x:v>
      </x:c>
      <x:c r="J105" s="2" t="n">
        <x:f>COUNTIFS('540条种子'!H303:H305,"&gt;0",'540条种子'!I303:I305,"&gt;0")</x:f>
        <x:v>0</x:v>
      </x:c>
      <x:c r="K105" s="2" t="str">
        <x:f>IF(G105&gt;0.0000001,"改善",IF(G105&lt;-0.0000001,"退化","持平"))</x:f>
        <x:v>持平</x:v>
      </x:c>
      <x:c r="L105" s="11" t="n">
        <x:f>AVERAGE('540条种子'!H303:H305)</x:f>
        <x:v>0</x:v>
      </x:c>
    </x:row>
    <x:row r="106" ht="23" customHeight="1">
      <x:c r="A106" s="2" t="str">
        <x:v>Health</x:v>
      </x:c>
      <x:c r="B106" s="2" t="n">
        <x:v>12</x:v>
      </x:c>
      <x:c r="C106" s="2" t="str">
        <x:v>TaTS</x:v>
      </x:c>
      <x:c r="D106" s="10" t="n">
        <x:f>'540条种子'!E306</x:f>
        <x:v>1.1624856639502126</x:v>
      </x:c>
      <x:c r="E106" s="10" t="n">
        <x:f>AVERAGE('540条种子'!G306:G308)</x:f>
        <x:v>1.1638449843361165</x:v>
      </x:c>
      <x:c r="F106" s="10" t="n">
        <x:f>STDEV.S('540条种子'!G306:G308)</x:f>
        <x:v>0.008261347662747802</x:v>
      </x:c>
      <x:c r="G106" s="12" t="n">
        <x:f>(D106-E106)/D106</x:f>
        <x:v>-0.0011693222790247972</x:v>
      </x:c>
      <x:c r="H106" s="10" t="n">
        <x:f>AVERAGE('540条种子'!F306:F308)</x:f>
        <x:v>1.2167675389837245</x:v>
      </x:c>
      <x:c r="I106" s="12" t="n">
        <x:f>(D106-H106)/D106</x:f>
        <x:v>-0.04669466189291148</x:v>
      </x:c>
      <x:c r="J106" s="2" t="n">
        <x:f>COUNTIFS('540条种子'!H306:H308,"&gt;0",'540条种子'!I306:I308,"&gt;0")</x:f>
        <x:v>2</x:v>
      </x:c>
      <x:c r="K106" s="2" t="str">
        <x:f>IF(G106&gt;0.0000001,"改善",IF(G106&lt;-0.0000001,"退化","持平"))</x:f>
        <x:v>退化</x:v>
      </x:c>
      <x:c r="L106" s="11" t="n">
        <x:f>AVERAGE('540条种子'!H306:H308)</x:f>
        <x:v>0.3333333333333333</x:v>
      </x:c>
    </x:row>
    <x:row r="107" ht="23" customHeight="1">
      <x:c r="A107" s="2" t="str">
        <x:v>Health</x:v>
      </x:c>
      <x:c r="B107" s="2" t="n">
        <x:v>12</x:v>
      </x:c>
      <x:c r="C107" s="2" t="str">
        <x:v>MM-TSFlib</x:v>
      </x:c>
      <x:c r="D107" s="10" t="n">
        <x:f>'540条种子'!E309</x:f>
        <x:v>1.1136970518834708</x:v>
      </x:c>
      <x:c r="E107" s="10" t="n">
        <x:f>AVERAGE('540条种子'!G309:G311)</x:f>
        <x:v>1.056841375269993</x:v>
      </x:c>
      <x:c r="F107" s="10" t="n">
        <x:f>STDEV.S('540条种子'!G309:G311)</x:f>
        <x:v>0.03894795350729993</x:v>
      </x:c>
      <x:c r="G107" s="12" t="n">
        <x:f>(D107-E107)/D107</x:f>
        <x:v>0.05105129488968671</x:v>
      </x:c>
      <x:c r="H107" s="10" t="n">
        <x:f>AVERAGE('540条种子'!F309:F311)</x:f>
        <x:v>0.9674906309810675</x:v>
      </x:c>
      <x:c r="I107" s="12" t="n">
        <x:f>(D107-H107)/D107</x:f>
        <x:v>0.13128024416975947</x:v>
      </x:c>
      <x:c r="J107" s="2" t="n">
        <x:f>COUNTIFS('540条种子'!H309:H311,"&gt;0",'540条种子'!I309:I311,"&gt;0")</x:f>
        <x:v>3</x:v>
      </x:c>
      <x:c r="K107" s="2" t="str">
        <x:f>IF(G107&gt;0.0000001,"改善",IF(G107&lt;-0.0000001,"退化","持平"))</x:f>
        <x:v>改善</x:v>
      </x:c>
      <x:c r="L107" s="11" t="n">
        <x:f>AVERAGE('540条种子'!H309:H311)</x:f>
        <x:v>0.5</x:v>
      </x:c>
    </x:row>
    <x:row r="108" ht="23" customHeight="1">
      <x:c r="A108" s="2" t="str">
        <x:v>Health</x:v>
      </x:c>
      <x:c r="B108" s="2" t="n">
        <x:v>12</x:v>
      </x:c>
      <x:c r="C108" s="2" t="str">
        <x:v>SpecTF</x:v>
      </x:c>
      <x:c r="D108" s="10" t="n">
        <x:f>'540条种子'!E312</x:f>
        <x:v>1.4038450804546994</x:v>
      </x:c>
      <x:c r="E108" s="10" t="n">
        <x:f>AVERAGE('540条种子'!G312:G314)</x:f>
        <x:v>1.4038450804546994</x:v>
      </x:c>
      <x:c r="F108" s="10" t="n">
        <x:f>STDEV.S('540条种子'!G312:G314)</x:f>
        <x:v>0</x:v>
      </x:c>
      <x:c r="G108" s="12" t="n">
        <x:f>(D108-E108)/D108</x:f>
        <x:v>0</x:v>
      </x:c>
      <x:c r="H108" s="10" t="n">
        <x:f>AVERAGE('540条种子'!F312:F314)</x:f>
        <x:v>1.4396982529298554</x:v>
      </x:c>
      <x:c r="I108" s="12" t="n">
        <x:f>(D108-H108)/D108</x:f>
        <x:v>-0.02553926567420344</x:v>
      </x:c>
      <x:c r="J108" s="2" t="n">
        <x:f>COUNTIFS('540条种子'!H312:H314,"&gt;0",'540条种子'!I312:I314,"&gt;0")</x:f>
        <x:v>0</x:v>
      </x:c>
      <x:c r="K108" s="2" t="str">
        <x:f>IF(G108&gt;0.0000001,"改善",IF(G108&lt;-0.0000001,"退化","持平"))</x:f>
        <x:v>持平</x:v>
      </x:c>
      <x:c r="L108" s="11" t="n">
        <x:f>AVERAGE('540条种子'!H312:H314)</x:f>
        <x:v>0</x:v>
      </x:c>
    </x:row>
    <x:row r="109" ht="23" customHeight="1">
      <x:c r="A109" s="2" t="str">
        <x:v>Health</x:v>
      </x:c>
      <x:c r="B109" s="2" t="n">
        <x:v>12</x:v>
      </x:c>
      <x:c r="C109" s="2" t="str">
        <x:v>CFA</x:v>
      </x:c>
      <x:c r="D109" s="10" t="n">
        <x:f>'540条种子'!E315</x:f>
        <x:v>1.2511063849645137</x:v>
      </x:c>
      <x:c r="E109" s="10" t="n">
        <x:f>AVERAGE('540条种子'!G315:G317)</x:f>
        <x:v>1.2511063849645137</x:v>
      </x:c>
      <x:c r="F109" s="10" t="n">
        <x:f>STDEV.S('540条种子'!G315:G317)</x:f>
        <x:v>0</x:v>
      </x:c>
      <x:c r="G109" s="12" t="n">
        <x:f>(D109-E109)/D109</x:f>
        <x:v>0</x:v>
      </x:c>
      <x:c r="H109" s="10" t="n">
        <x:f>AVERAGE('540条种子'!F315:F317)</x:f>
        <x:v>1.3586433062015513</x:v>
      </x:c>
      <x:c r="I109" s="12" t="n">
        <x:f>(D109-H109)/D109</x:f>
        <x:v>-0.08595345889797197</x:v>
      </x:c>
      <x:c r="J109" s="2" t="n">
        <x:f>COUNTIFS('540条种子'!H315:H317,"&gt;0",'540条种子'!I315:I317,"&gt;0")</x:f>
        <x:v>0</x:v>
      </x:c>
      <x:c r="K109" s="2" t="str">
        <x:f>IF(G109&gt;0.0000001,"改善",IF(G109&lt;-0.0000001,"退化","持平"))</x:f>
        <x:v>持平</x:v>
      </x:c>
      <x:c r="L109" s="11" t="n">
        <x:f>AVERAGE('540条种子'!H315:H317)</x:f>
        <x:v>0</x:v>
      </x:c>
    </x:row>
    <x:row r="110" ht="23" customHeight="1">
      <x:c r="A110" s="2" t="str">
        <x:v>Health</x:v>
      </x:c>
      <x:c r="B110" s="2" t="n">
        <x:v>12</x:v>
      </x:c>
      <x:c r="C110" s="2" t="str">
        <x:v>Aurora</x:v>
      </x:c>
      <x:c r="D110" s="10" t="n">
        <x:f>'540条种子'!E318</x:f>
        <x:v>2.9515839192135953</x:v>
      </x:c>
      <x:c r="E110" s="10" t="n">
        <x:f>AVERAGE('540条种子'!G318:G320)</x:f>
        <x:v>2.4638170217101805</x:v>
      </x:c>
      <x:c r="F110" s="10" t="n">
        <x:f>STDEV.S('540条种子'!G318:G320)</x:f>
        <x:v>0.3918978411477765</x:v>
      </x:c>
      <x:c r="G110" s="12" t="n">
        <x:f>(D110-E110)/D110</x:f>
        <x:v>0.16525598148446782</x:v>
      </x:c>
      <x:c r="H110" s="10" t="n">
        <x:f>AVERAGE('540条种子'!F318:F320)</x:f>
        <x:v>2.4638170217101805</x:v>
      </x:c>
      <x:c r="I110" s="12" t="n">
        <x:f>(D110-H110)/D110</x:f>
        <x:v>0.16525598148446782</x:v>
      </x:c>
      <x:c r="J110" s="2" t="n">
        <x:f>COUNTIFS('540条种子'!H318:H320,"&gt;0",'540条种子'!I318:I320,"&gt;0")</x:f>
        <x:v>3</x:v>
      </x:c>
      <x:c r="K110" s="2" t="str">
        <x:f>IF(G110&gt;0.0000001,"改善",IF(G110&lt;-0.0000001,"退化","持平"))</x:f>
        <x:v>改善</x:v>
      </x:c>
      <x:c r="L110" s="11" t="n">
        <x:f>AVERAGE('540条种子'!H318:H320)</x:f>
        <x:v>1</x:v>
      </x:c>
    </x:row>
    <x:row r="111" ht="23" customHeight="1">
      <x:c r="A111" s="2" t="str">
        <x:v>Health</x:v>
      </x:c>
      <x:c r="B111" s="2" t="n">
        <x:v>24</x:v>
      </x:c>
      <x:c r="C111" s="2" t="str">
        <x:v>TaTS</x:v>
      </x:c>
      <x:c r="D111" s="10" t="n">
        <x:f>'540条种子'!E321</x:f>
        <x:v>1.9588399705676387</x:v>
      </x:c>
      <x:c r="E111" s="10" t="n">
        <x:f>AVERAGE('540条种子'!G321:G323)</x:f>
        <x:v>1.9588399705676387</x:v>
      </x:c>
      <x:c r="F111" s="10" t="n">
        <x:f>STDEV.S('540条种子'!G321:G323)</x:f>
        <x:v>0</x:v>
      </x:c>
      <x:c r="G111" s="12" t="n">
        <x:f>(D111-E111)/D111</x:f>
        <x:v>0</x:v>
      </x:c>
      <x:c r="H111" s="10" t="n">
        <x:f>AVERAGE('540条种子'!F321:F323)</x:f>
        <x:v>1.951877898207593</x:v>
      </x:c>
      <x:c r="I111" s="12" t="n">
        <x:f>(D111-H111)/D111</x:f>
        <x:v>0.003554181283133688</x:v>
      </x:c>
      <x:c r="J111" s="2" t="n">
        <x:f>COUNTIFS('540条种子'!H321:H323,"&gt;0",'540条种子'!I321:I323,"&gt;0")</x:f>
        <x:v>0</x:v>
      </x:c>
      <x:c r="K111" s="2" t="str">
        <x:f>IF(G111&gt;0.0000001,"改善",IF(G111&lt;-0.0000001,"退化","持平"))</x:f>
        <x:v>持平</x:v>
      </x:c>
      <x:c r="L111" s="11" t="n">
        <x:f>AVERAGE('540条种子'!H321:H323)</x:f>
        <x:v>0</x:v>
      </x:c>
    </x:row>
    <x:row r="112" ht="23" customHeight="1">
      <x:c r="A112" s="2" t="str">
        <x:v>Health</x:v>
      </x:c>
      <x:c r="B112" s="2" t="n">
        <x:v>24</x:v>
      </x:c>
      <x:c r="C112" s="2" t="str">
        <x:v>MM-TSFlib</x:v>
      </x:c>
      <x:c r="D112" s="10" t="n">
        <x:f>'540条种子'!E324</x:f>
        <x:v>1.2781150498056244</x:v>
      </x:c>
      <x:c r="E112" s="10" t="n">
        <x:f>AVERAGE('540条种子'!G324:G326)</x:f>
        <x:v>1.2213412369038972</x:v>
      </x:c>
      <x:c r="F112" s="10" t="n">
        <x:f>STDEV.S('540条种子'!G324:G326)</x:f>
        <x:v>0.014400199188801512</x:v>
      </x:c>
      <x:c r="G112" s="12" t="n">
        <x:f>(D112-E112)/D112</x:f>
        <x:v>0.04441995492531082</x:v>
      </x:c>
      <x:c r="H112" s="10" t="n">
        <x:f>AVERAGE('540条种子'!F324:F326)</x:f>
        <x:v>1.192317116524856</x:v>
      </x:c>
      <x:c r="I112" s="12" t="n">
        <x:f>(D112-H112)/D112</x:f>
        <x:v>0.06712848995387112</x:v>
      </x:c>
      <x:c r="J112" s="2" t="n">
        <x:f>COUNTIFS('540条种子'!H324:H326,"&gt;0",'540条种子'!I324:I326,"&gt;0")</x:f>
        <x:v>3</x:v>
      </x:c>
      <x:c r="K112" s="2" t="str">
        <x:f>IF(G112&gt;0.0000001,"改善",IF(G112&lt;-0.0000001,"退化","持平"))</x:f>
        <x:v>改善</x:v>
      </x:c>
      <x:c r="L112" s="11" t="n">
        <x:f>AVERAGE('540条种子'!H324:H326)</x:f>
        <x:v>0.4166666666666667</x:v>
      </x:c>
    </x:row>
    <x:row r="113" ht="23" customHeight="1">
      <x:c r="A113" s="2" t="str">
        <x:v>Health</x:v>
      </x:c>
      <x:c r="B113" s="2" t="n">
        <x:v>24</x:v>
      </x:c>
      <x:c r="C113" s="2" t="str">
        <x:v>SpecTF</x:v>
      </x:c>
      <x:c r="D113" s="10" t="n">
        <x:f>'540条种子'!E327</x:f>
        <x:v>1.8081685181614635</x:v>
      </x:c>
      <x:c r="E113" s="10" t="n">
        <x:f>AVERAGE('540条种子'!G327:G329)</x:f>
        <x:v>1.8022039352865777</x:v>
      </x:c>
      <x:c r="F113" s="10" t="n">
        <x:f>STDEV.S('540条种子'!G327:G329)</x:f>
        <x:v>0.010330960585257268</x:v>
      </x:c>
      <x:c r="G113" s="12" t="n">
        <x:f>(D113-E113)/D113</x:f>
        <x:v>0.0032986874923309297</x:v>
      </x:c>
      <x:c r="H113" s="10" t="n">
        <x:f>AVERAGE('540条种子'!F327:F329)</x:f>
        <x:v>1.8412578096873926</x:v>
      </x:c>
      <x:c r="I113" s="12" t="n">
        <x:f>(D113-H113)/D113</x:f>
        <x:v>-0.01829989361808717</x:v>
      </x:c>
      <x:c r="J113" s="2" t="n">
        <x:f>COUNTIFS('540条种子'!H327:H329,"&gt;0",'540条种子'!I327:I329,"&gt;0")</x:f>
        <x:v>1</x:v>
      </x:c>
      <x:c r="K113" s="2" t="str">
        <x:f>IF(G113&gt;0.0000001,"改善",IF(G113&lt;-0.0000001,"退化","持平"))</x:f>
        <x:v>改善</x:v>
      </x:c>
      <x:c r="L113" s="11" t="n">
        <x:f>AVERAGE('540条种子'!H327:H329)</x:f>
        <x:v>0.08333333333333333</x:v>
      </x:c>
    </x:row>
    <x:row r="114" ht="23" customHeight="1">
      <x:c r="A114" s="2" t="str">
        <x:v>Health</x:v>
      </x:c>
      <x:c r="B114" s="2" t="n">
        <x:v>24</x:v>
      </x:c>
      <x:c r="C114" s="2" t="str">
        <x:v>CFA</x:v>
      </x:c>
      <x:c r="D114" s="10" t="n">
        <x:f>'540条种子'!E330</x:f>
        <x:v>2.2477706654605583</x:v>
      </x:c>
      <x:c r="E114" s="10" t="n">
        <x:f>AVERAGE('540条种子'!G330:G332)</x:f>
        <x:v>2.22599654140789</x:v>
      </x:c>
      <x:c r="F114" s="10" t="n">
        <x:f>STDEV.S('540条种子'!G330:G332)</x:f>
        <x:v>0.027545640684226814</x:v>
      </x:c>
      <x:c r="G114" s="12" t="n">
        <x:f>(D114-E114)/D114</x:f>
        <x:v>0.00968698648276331</x:v>
      </x:c>
      <x:c r="H114" s="10" t="n">
        <x:f>AVERAGE('540条种子'!F330:F332)</x:f>
        <x:v>2.259830619337968</x:v>
      </x:c>
      <x:c r="I114" s="12" t="n">
        <x:f>(D114-H114)/D114</x:f>
        <x:v>-0.005365295518232389</x:v>
      </x:c>
      <x:c r="J114" s="2" t="n">
        <x:f>COUNTIFS('540条种子'!H330:H332,"&gt;0",'540条种子'!I330:I332,"&gt;0")</x:f>
        <x:v>2</x:v>
      </x:c>
      <x:c r="K114" s="2" t="str">
        <x:f>IF(G114&gt;0.0000001,"改善",IF(G114&lt;-0.0000001,"退化","持平"))</x:f>
        <x:v>改善</x:v>
      </x:c>
      <x:c r="L114" s="11" t="n">
        <x:f>AVERAGE('540条种子'!H330:H332)</x:f>
        <x:v>0.25</x:v>
      </x:c>
    </x:row>
    <x:row r="115" ht="23" customHeight="1">
      <x:c r="A115" s="2" t="str">
        <x:v>Health</x:v>
      </x:c>
      <x:c r="B115" s="2" t="n">
        <x:v>24</x:v>
      </x:c>
      <x:c r="C115" s="2" t="str">
        <x:v>Aurora</x:v>
      </x:c>
      <x:c r="D115" s="10" t="n">
        <x:f>'540条种子'!E333</x:f>
        <x:v>3.68080986261969</x:v>
      </x:c>
      <x:c r="E115" s="10" t="n">
        <x:f>AVERAGE('540条种子'!G333:G335)</x:f>
        <x:v>3.0239001352480686</x:v>
      </x:c>
      <x:c r="F115" s="10" t="n">
        <x:f>STDEV.S('540条种子'!G333:G335)</x:f>
        <x:v>0.18146979816193834</x:v>
      </x:c>
      <x:c r="G115" s="12" t="n">
        <x:f>(D115-E115)/D115</x:f>
        <x:v>0.17846880221737083</x:v>
      </x:c>
      <x:c r="H115" s="10" t="n">
        <x:f>AVERAGE('540条种子'!F333:F335)</x:f>
        <x:v>3.0239001352480686</x:v>
      </x:c>
      <x:c r="I115" s="12" t="n">
        <x:f>(D115-H115)/D115</x:f>
        <x:v>0.17846880221737083</x:v>
      </x:c>
      <x:c r="J115" s="2" t="n">
        <x:f>COUNTIFS('540条种子'!H333:H335,"&gt;0",'540条种子'!I333:I335,"&gt;0")</x:f>
        <x:v>3</x:v>
      </x:c>
      <x:c r="K115" s="2" t="str">
        <x:f>IF(G115&gt;0.0000001,"改善",IF(G115&lt;-0.0000001,"退化","持平"))</x:f>
        <x:v>改善</x:v>
      </x:c>
      <x:c r="L115" s="11" t="n">
        <x:f>AVERAGE('540条种子'!H333:H335)</x:f>
        <x:v>1</x:v>
      </x:c>
    </x:row>
    <x:row r="116" ht="23" customHeight="1">
      <x:c r="A116" s="2" t="str">
        <x:v>Health</x:v>
      </x:c>
      <x:c r="B116" s="2" t="n">
        <x:v>36</x:v>
      </x:c>
      <x:c r="C116" s="2" t="str">
        <x:v>TaTS</x:v>
      </x:c>
      <x:c r="D116" s="10" t="n">
        <x:f>'540条种子'!E336</x:f>
        <x:v>2.6637995198269984</x:v>
      </x:c>
      <x:c r="E116" s="10" t="n">
        <x:f>AVERAGE('540条种子'!G336:G338)</x:f>
        <x:v>2.7035868261574847</x:v>
      </x:c>
      <x:c r="F116" s="10" t="n">
        <x:f>STDEV.S('540条种子'!G336:G338)</x:f>
        <x:v>0.01718063976535849</x:v>
      </x:c>
      <x:c r="G116" s="12" t="n">
        <x:f>(D116-E116)/D116</x:f>
        <x:v>-0.014936299084951532</x:v>
      </x:c>
      <x:c r="H116" s="10" t="n">
        <x:f>AVERAGE('540条种子'!F336:F338)</x:f>
        <x:v>2.7035868261574847</x:v>
      </x:c>
      <x:c r="I116" s="12" t="n">
        <x:f>(D116-H116)/D116</x:f>
        <x:v>-0.014936299084951532</x:v>
      </x:c>
      <x:c r="J116" s="2" t="n">
        <x:f>COUNTIFS('540条种子'!H336:H338,"&gt;0",'540条种子'!I336:I338,"&gt;0")</x:f>
        <x:v>3</x:v>
      </x:c>
      <x:c r="K116" s="2" t="str">
        <x:f>IF(G116&gt;0.0000001,"改善",IF(G116&lt;-0.0000001,"退化","持平"))</x:f>
        <x:v>退化</x:v>
      </x:c>
      <x:c r="L116" s="11" t="n">
        <x:f>AVERAGE('540条种子'!H336:H338)</x:f>
        <x:v>1</x:v>
      </x:c>
    </x:row>
    <x:row r="117" ht="23" customHeight="1">
      <x:c r="A117" s="2" t="str">
        <x:v>Health</x:v>
      </x:c>
      <x:c r="B117" s="2" t="n">
        <x:v>36</x:v>
      </x:c>
      <x:c r="C117" s="2" t="str">
        <x:v>MM-TSFlib</x:v>
      </x:c>
      <x:c r="D117" s="10" t="n">
        <x:f>'540条种子'!E339</x:f>
        <x:v>1.3416884662270774</x:v>
      </x:c>
      <x:c r="E117" s="10" t="n">
        <x:f>AVERAGE('540条种子'!G339:G341)</x:f>
        <x:v>1.3416884662270772</x:v>
      </x:c>
      <x:c r="F117" s="10" t="n">
        <x:f>STDEV.S('540条种子'!G339:G341)</x:f>
        <x:v>2.7194799110210365e-16</x:v>
      </x:c>
      <x:c r="G117" s="12" t="n">
        <x:f>(D117-E117)/D117</x:f>
        <x:v>1.6549639541095288e-16</x:v>
      </x:c>
      <x:c r="H117" s="10" t="n">
        <x:f>AVERAGE('540条种子'!F339:F341)</x:f>
        <x:v>1.3178466294064843</x:v>
      </x:c>
      <x:c r="I117" s="12" t="n">
        <x:f>(D117-H117)/D117</x:f>
        <x:v>0.01777002442872448</x:v>
      </x:c>
      <x:c r="J117" s="2" t="n">
        <x:f>COUNTIFS('540条种子'!H339:H341,"&gt;0",'540条种子'!I339:I341,"&gt;0")</x:f>
        <x:v>0</x:v>
      </x:c>
      <x:c r="K117" s="2" t="str">
        <x:f>IF(G117&gt;0.0000001,"改善",IF(G117&lt;-0.0000001,"退化","持平"))</x:f>
        <x:v>持平</x:v>
      </x:c>
      <x:c r="L117" s="11" t="n">
        <x:f>AVERAGE('540条种子'!H339:H341)</x:f>
        <x:v>0</x:v>
      </x:c>
    </x:row>
    <x:row r="118" ht="23" customHeight="1">
      <x:c r="A118" s="2" t="str">
        <x:v>Health</x:v>
      </x:c>
      <x:c r="B118" s="2" t="n">
        <x:v>36</x:v>
      </x:c>
      <x:c r="C118" s="2" t="str">
        <x:v>SpecTF</x:v>
      </x:c>
      <x:c r="D118" s="10" t="n">
        <x:f>'540条种子'!E342</x:f>
        <x:v>1.9760118218181606</x:v>
      </x:c>
      <x:c r="E118" s="10" t="n">
        <x:f>AVERAGE('540条种子'!G342:G344)</x:f>
        <x:v>1.9760118218181606</x:v>
      </x:c>
      <x:c r="F118" s="10" t="n">
        <x:f>STDEV.S('540条种子'!G342:G344)</x:f>
        <x:v>0</x:v>
      </x:c>
      <x:c r="G118" s="12" t="n">
        <x:f>(D118-E118)/D118</x:f>
        <x:v>0</x:v>
      </x:c>
      <x:c r="H118" s="10" t="n">
        <x:f>AVERAGE('540条种子'!F342:F344)</x:f>
        <x:v>2.0043614887420405</x:v>
      </x:c>
      <x:c r="I118" s="12" t="n">
        <x:f>(D118-H118)/D118</x:f>
        <x:v>-0.014346911597823775</x:v>
      </x:c>
      <x:c r="J118" s="2" t="n">
        <x:f>COUNTIFS('540条种子'!H342:H344,"&gt;0",'540条种子'!I342:I344,"&gt;0")</x:f>
        <x:v>0</x:v>
      </x:c>
      <x:c r="K118" s="2" t="str">
        <x:f>IF(G118&gt;0.0000001,"改善",IF(G118&lt;-0.0000001,"退化","持平"))</x:f>
        <x:v>持平</x:v>
      </x:c>
      <x:c r="L118" s="11" t="n">
        <x:f>AVERAGE('540条种子'!H342:H344)</x:f>
        <x:v>0</x:v>
      </x:c>
    </x:row>
    <x:row r="119" ht="23" customHeight="1">
      <x:c r="A119" s="2" t="str">
        <x:v>Health</x:v>
      </x:c>
      <x:c r="B119" s="2" t="n">
        <x:v>36</x:v>
      </x:c>
      <x:c r="C119" s="2" t="str">
        <x:v>CFA</x:v>
      </x:c>
      <x:c r="D119" s="10" t="n">
        <x:f>'540条种子'!E345</x:f>
        <x:v>3.2615469383600995</x:v>
      </x:c>
      <x:c r="E119" s="10" t="n">
        <x:f>AVERAGE('540条种子'!G345:G347)</x:f>
        <x:v>3.2615469383600995</x:v>
      </x:c>
      <x:c r="F119" s="10" t="n">
        <x:f>STDEV.S('540条种子'!G345:G347)</x:f>
        <x:v>0</x:v>
      </x:c>
      <x:c r="G119" s="12" t="n">
        <x:f>(D119-E119)/D119</x:f>
        <x:v>0</x:v>
      </x:c>
      <x:c r="H119" s="10" t="n">
        <x:f>AVERAGE('540条种子'!F345:F347)</x:f>
        <x:v>3.3330838836215424</x:v>
      </x:c>
      <x:c r="I119" s="12" t="n">
        <x:f>(D119-H119)/D119</x:f>
        <x:v>-0.021933440362324388</x:v>
      </x:c>
      <x:c r="J119" s="2" t="n">
        <x:f>COUNTIFS('540条种子'!H345:H347,"&gt;0",'540条种子'!I345:I347,"&gt;0")</x:f>
        <x:v>0</x:v>
      </x:c>
      <x:c r="K119" s="2" t="str">
        <x:f>IF(G119&gt;0.0000001,"改善",IF(G119&lt;-0.0000001,"退化","持平"))</x:f>
        <x:v>持平</x:v>
      </x:c>
      <x:c r="L119" s="11" t="n">
        <x:f>AVERAGE('540条种子'!H345:H347)</x:f>
        <x:v>0</x:v>
      </x:c>
    </x:row>
    <x:row r="120" ht="23" customHeight="1">
      <x:c r="A120" s="2" t="str">
        <x:v>Health</x:v>
      </x:c>
      <x:c r="B120" s="2" t="n">
        <x:v>36</x:v>
      </x:c>
      <x:c r="C120" s="2" t="str">
        <x:v>Aurora</x:v>
      </x:c>
      <x:c r="D120" s="10" t="n">
        <x:f>'540条种子'!E348</x:f>
        <x:v>3.2140425584838486</x:v>
      </x:c>
      <x:c r="E120" s="10" t="n">
        <x:f>AVERAGE('540条种子'!G348:G350)</x:f>
        <x:v>3.2140425584838486</x:v>
      </x:c>
      <x:c r="F120" s="10" t="n">
        <x:f>STDEV.S('540条种子'!G348:G350)</x:f>
        <x:v>0</x:v>
      </x:c>
      <x:c r="G120" s="12" t="n">
        <x:f>(D120-E120)/D120</x:f>
        <x:v>0</x:v>
      </x:c>
      <x:c r="H120" s="10" t="n">
        <x:f>AVERAGE('540条种子'!F348:F350)</x:f>
        <x:v>3.240998735710701</x:v>
      </x:c>
      <x:c r="I120" s="12" t="n">
        <x:f>(D120-H120)/D120</x:f>
        <x:v>-0.008387000712140063</x:v>
      </x:c>
      <x:c r="J120" s="2" t="n">
        <x:f>COUNTIFS('540条种子'!H348:H350,"&gt;0",'540条种子'!I348:I350,"&gt;0")</x:f>
        <x:v>0</x:v>
      </x:c>
      <x:c r="K120" s="2" t="str">
        <x:f>IF(G120&gt;0.0000001,"改善",IF(G120&lt;-0.0000001,"退化","持平"))</x:f>
        <x:v>持平</x:v>
      </x:c>
      <x:c r="L120" s="11" t="n">
        <x:f>AVERAGE('540条种子'!H348:H350)</x:f>
        <x:v>0</x:v>
      </x:c>
    </x:row>
    <x:row r="121" ht="23" customHeight="1">
      <x:c r="A121" s="2" t="str">
        <x:v>Health</x:v>
      </x:c>
      <x:c r="B121" s="2" t="n">
        <x:v>48</x:v>
      </x:c>
      <x:c r="C121" s="2" t="str">
        <x:v>TaTS</x:v>
      </x:c>
      <x:c r="D121" s="10" t="n">
        <x:f>'540条种子'!E351</x:f>
        <x:v>2.4391529485784003</x:v>
      </x:c>
      <x:c r="E121" s="10" t="n">
        <x:f>AVERAGE('540条种子'!G351:G353)</x:f>
        <x:v>2.4356994289580025</x:v>
      </x:c>
      <x:c r="F121" s="10" t="n">
        <x:f>STDEV.S('540条种子'!G351:G353)</x:f>
        <x:v>0.005423975210683196</x:v>
      </x:c>
      <x:c r="G121" s="12" t="n">
        <x:f>(D121-E121)/D121</x:f>
        <x:v>0.001415868415472079</x:v>
      </x:c>
      <x:c r="H121" s="10" t="n">
        <x:f>AVERAGE('540条种子'!F351:F353)</x:f>
        <x:v>2.4505540878624856</x:v>
      </x:c>
      <x:c r="I121" s="12" t="n">
        <x:f>(D121-H121)/D121</x:f>
        <x:v>-0.004674220733361654</x:v>
      </x:c>
      <x:c r="J121" s="2" t="n">
        <x:f>COUNTIFS('540条种子'!H351:H353,"&gt;0",'540条种子'!I351:I353,"&gt;0")</x:f>
        <x:v>2</x:v>
      </x:c>
      <x:c r="K121" s="2" t="str">
        <x:f>IF(G121&gt;0.0000001,"改善",IF(G121&lt;-0.0000001,"退化","持平"))</x:f>
        <x:v>改善</x:v>
      </x:c>
      <x:c r="L121" s="11" t="n">
        <x:f>AVERAGE('540条种子'!H351:H353)</x:f>
        <x:v>0.4166666666666667</x:v>
      </x:c>
    </x:row>
    <x:row r="122" ht="23" customHeight="1">
      <x:c r="A122" s="2" t="str">
        <x:v>Health</x:v>
      </x:c>
      <x:c r="B122" s="2" t="n">
        <x:v>48</x:v>
      </x:c>
      <x:c r="C122" s="2" t="str">
        <x:v>MM-TSFlib</x:v>
      </x:c>
      <x:c r="D122" s="10" t="n">
        <x:f>'540条种子'!E354</x:f>
        <x:v>1.5206820696563101</x:v>
      </x:c>
      <x:c r="E122" s="10" t="n">
        <x:f>AVERAGE('540条种子'!G354:G356)</x:f>
        <x:v>1.4874065586171585</x:v>
      </x:c>
      <x:c r="F122" s="10" t="n">
        <x:f>STDEV.S('540条种子'!G354:G356)</x:f>
        <x:v>0.057634875675984173</x:v>
      </x:c>
      <x:c r="G122" s="12" t="n">
        <x:f>(D122-E122)/D122</x:f>
        <x:v>0.02188196448365582</x:v>
      </x:c>
      <x:c r="H122" s="10" t="n">
        <x:f>AVERAGE('540条种子'!F354:F356)</x:f>
        <x:v>1.471403898431743</x:v>
      </x:c>
      <x:c r="I122" s="12" t="n">
        <x:f>(D122-H122)/D122</x:f>
        <x:v>0.03240530825467318</x:v>
      </x:c>
      <x:c r="J122" s="2" t="n">
        <x:f>COUNTIFS('540条种子'!H354:H356,"&gt;0",'540条种子'!I354:I356,"&gt;0")</x:f>
        <x:v>1</x:v>
      </x:c>
      <x:c r="K122" s="2" t="str">
        <x:f>IF(G122&gt;0.0000001,"改善",IF(G122&lt;-0.0000001,"退化","持平"))</x:f>
        <x:v>改善</x:v>
      </x:c>
      <x:c r="L122" s="11" t="n">
        <x:f>AVERAGE('540条种子'!H354:H356)</x:f>
        <x:v>0.5</x:v>
      </x:c>
    </x:row>
    <x:row r="123" ht="23" customHeight="1">
      <x:c r="A123" s="2" t="str">
        <x:v>Health</x:v>
      </x:c>
      <x:c r="B123" s="2" t="n">
        <x:v>48</x:v>
      </x:c>
      <x:c r="C123" s="2" t="str">
        <x:v>SpecTF</x:v>
      </x:c>
      <x:c r="D123" s="10" t="n">
        <x:f>'540条种子'!E357</x:f>
        <x:v>1.8182009804632495</x:v>
      </x:c>
      <x:c r="E123" s="10" t="n">
        <x:f>AVERAGE('540条种子'!G357:G359)</x:f>
        <x:v>1.8182009804611994</x:v>
      </x:c>
      <x:c r="F123" s="10" t="n">
        <x:f>STDEV.S('540条种子'!G357:G359)</x:f>
        <x:v>3.550942896675889e-12</x:v>
      </x:c>
      <x:c r="G123" s="12" t="n">
        <x:f>(D123-E123)/D123</x:f>
        <x:v>1.1275639268165342e-12</x:v>
      </x:c>
      <x:c r="H123" s="10" t="n">
        <x:f>AVERAGE('540条种子'!F357:F359)</x:f>
        <x:v>1.8801291086687473</x:v>
      </x:c>
      <x:c r="I123" s="12" t="n">
        <x:f>(D123-H123)/D123</x:f>
        <x:v>-0.034060111544830116</x:v>
      </x:c>
      <x:c r="J123" s="2" t="n">
        <x:f>COUNTIFS('540条种子'!H357:H359,"&gt;0",'540条种子'!I357:I359,"&gt;0")</x:f>
        <x:v>0</x:v>
      </x:c>
      <x:c r="K123" s="2" t="str">
        <x:f>IF(G123&gt;0.0000001,"改善",IF(G123&lt;-0.0000001,"退化","持平"))</x:f>
        <x:v>持平</x:v>
      </x:c>
      <x:c r="L123" s="11" t="n">
        <x:f>AVERAGE('540条种子'!H357:H359)</x:f>
        <x:v>0.08333333333333333</x:v>
      </x:c>
    </x:row>
    <x:row r="124" ht="23" customHeight="1">
      <x:c r="A124" s="2" t="str">
        <x:v>Health</x:v>
      </x:c>
      <x:c r="B124" s="2" t="n">
        <x:v>48</x:v>
      </x:c>
      <x:c r="C124" s="2" t="str">
        <x:v>CFA</x:v>
      </x:c>
      <x:c r="D124" s="10" t="n">
        <x:f>'540条种子'!E360</x:f>
        <x:v>2.486236831301244</x:v>
      </x:c>
      <x:c r="E124" s="10" t="n">
        <x:f>AVERAGE('540条种子'!G360:G362)</x:f>
        <x:v>2.486236831301244</x:v>
      </x:c>
      <x:c r="F124" s="10" t="n">
        <x:f>STDEV.S('540条种子'!G360:G362)</x:f>
        <x:v>0</x:v>
      </x:c>
      <x:c r="G124" s="12" t="n">
        <x:f>(D124-E124)/D124</x:f>
        <x:v>0</x:v>
      </x:c>
      <x:c r="H124" s="10" t="n">
        <x:f>AVERAGE('540条种子'!F360:F362)</x:f>
        <x:v>2.5741656106028095</x:v>
      </x:c>
      <x:c r="I124" s="12" t="n">
        <x:f>(D124-H124)/D124</x:f>
        <x:v>-0.03536621217840507</x:v>
      </x:c>
      <x:c r="J124" s="2" t="n">
        <x:f>COUNTIFS('540条种子'!H360:H362,"&gt;0",'540条种子'!I360:I362,"&gt;0")</x:f>
        <x:v>0</x:v>
      </x:c>
      <x:c r="K124" s="2" t="str">
        <x:f>IF(G124&gt;0.0000001,"改善",IF(G124&lt;-0.0000001,"退化","持平"))</x:f>
        <x:v>持平</x:v>
      </x:c>
      <x:c r="L124" s="11" t="n">
        <x:f>AVERAGE('540条种子'!H360:H362)</x:f>
        <x:v>0</x:v>
      </x:c>
    </x:row>
    <x:row r="125" ht="23" customHeight="1">
      <x:c r="A125" s="2" t="str">
        <x:v>Health</x:v>
      </x:c>
      <x:c r="B125" s="2" t="n">
        <x:v>48</x:v>
      </x:c>
      <x:c r="C125" s="2" t="str">
        <x:v>Aurora</x:v>
      </x:c>
      <x:c r="D125" s="10" t="n">
        <x:f>'540条种子'!E363</x:f>
        <x:v>3.04441356828496</x:v>
      </x:c>
      <x:c r="E125" s="10" t="n">
        <x:f>AVERAGE('540条种子'!G363:G365)</x:f>
        <x:v>3.0444135682849605</x:v>
      </x:c>
      <x:c r="F125" s="10" t="n">
        <x:f>STDEV.S('540条种子'!G363:G365)</x:f>
        <x:v>5.438959822042073e-16</x:v>
      </x:c>
      <x:c r="G125" s="12" t="n">
        <x:f>(D125-E125)/D125</x:f>
        <x:v>-1.458701979508769e-16</x:v>
      </x:c>
      <x:c r="H125" s="10" t="n">
        <x:f>AVERAGE('540条种子'!F363:F365)</x:f>
        <x:v>3.0559467128858144</x:v>
      </x:c>
      <x:c r="I125" s="12" t="n">
        <x:f>(D125-H125)/D125</x:f>
        <x:v>-0.0037882975956356345</x:v>
      </x:c>
      <x:c r="J125" s="2" t="n">
        <x:f>COUNTIFS('540条种子'!H363:H365,"&gt;0",'540条种子'!I363:I365,"&gt;0")</x:f>
        <x:v>0</x:v>
      </x:c>
      <x:c r="K125" s="2" t="str">
        <x:f>IF(G125&gt;0.0000001,"改善",IF(G125&lt;-0.0000001,"退化","持平"))</x:f>
        <x:v>持平</x:v>
      </x:c>
      <x:c r="L125" s="11" t="n">
        <x:f>AVERAGE('540条种子'!H363:H365)</x:f>
        <x:v>0</x:v>
      </x:c>
    </x:row>
    <x:row r="126" ht="23" customHeight="1">
      <x:c r="A126" s="2" t="str">
        <x:v>Security</x:v>
      </x:c>
      <x:c r="B126" s="2" t="n">
        <x:v>6</x:v>
      </x:c>
      <x:c r="C126" s="2" t="str">
        <x:v>TaTS</x:v>
      </x:c>
      <x:c r="D126" s="10" t="n">
        <x:f>'540条种子'!E366</x:f>
        <x:v>72.6991374139132</x:v>
      </x:c>
      <x:c r="E126" s="10" t="n">
        <x:f>AVERAGE('540条种子'!G366:G368)</x:f>
        <x:v>72.6991374139132</x:v>
      </x:c>
      <x:c r="F126" s="10" t="n">
        <x:f>STDEV.S('540条种子'!G366:G368)</x:f>
        <x:v>0</x:v>
      </x:c>
      <x:c r="G126" s="12" t="n">
        <x:f>(D126-E126)/D126</x:f>
        <x:v>0</x:v>
      </x:c>
      <x:c r="H126" s="10" t="n">
        <x:f>AVERAGE('540条种子'!F366:F368)</x:f>
        <x:v>83.80946335463612</x:v>
      </x:c>
      <x:c r="I126" s="12" t="n">
        <x:f>(D126-H126)/D126</x:f>
        <x:v>-0.15282610407694625</x:v>
      </x:c>
      <x:c r="J126" s="2" t="n">
        <x:f>COUNTIFS('540条种子'!H366:H368,"&gt;0",'540条种子'!I366:I368,"&gt;0")</x:f>
        <x:v>0</x:v>
      </x:c>
      <x:c r="K126" s="2" t="str">
        <x:f>IF(G126&gt;0.0000001,"改善",IF(G126&lt;-0.0000001,"退化","持平"))</x:f>
        <x:v>持平</x:v>
      </x:c>
      <x:c r="L126" s="11" t="n">
        <x:f>AVERAGE('540条种子'!H366:H368)</x:f>
        <x:v>0</x:v>
      </x:c>
    </x:row>
    <x:row r="127" ht="23" customHeight="1">
      <x:c r="A127" s="2" t="str">
        <x:v>Security</x:v>
      </x:c>
      <x:c r="B127" s="2" t="n">
        <x:v>6</x:v>
      </x:c>
      <x:c r="C127" s="2" t="str">
        <x:v>MM-TSFlib</x:v>
      </x:c>
      <x:c r="D127" s="10" t="n">
        <x:f>'540条种子'!E369</x:f>
        <x:v>93.2256797838897</x:v>
      </x:c>
      <x:c r="E127" s="10" t="n">
        <x:f>AVERAGE('540条种子'!G369:G371)</x:f>
        <x:v>74.55925241876317</x:v>
      </x:c>
      <x:c r="F127" s="10" t="n">
        <x:f>STDEV.S('540条种子'!G369:G371)</x:f>
        <x:v>1.2317455625733875</x:v>
      </x:c>
      <x:c r="G127" s="12" t="n">
        <x:f>(D127-E127)/D127</x:f>
        <x:v>0.20022838565938006</x:v>
      </x:c>
      <x:c r="H127" s="10" t="n">
        <x:f>AVERAGE('540条种子'!F369:F371)</x:f>
        <x:v>74.55925241876317</x:v>
      </x:c>
      <x:c r="I127" s="12" t="n">
        <x:f>(D127-H127)/D127</x:f>
        <x:v>0.20022838565938006</x:v>
      </x:c>
      <x:c r="J127" s="2" t="n">
        <x:f>COUNTIFS('540条种子'!H369:H371,"&gt;0",'540条种子'!I369:I371,"&gt;0")</x:f>
        <x:v>3</x:v>
      </x:c>
      <x:c r="K127" s="2" t="str">
        <x:f>IF(G127&gt;0.0000001,"改善",IF(G127&lt;-0.0000001,"退化","持平"))</x:f>
        <x:v>改善</x:v>
      </x:c>
      <x:c r="L127" s="11" t="n">
        <x:f>AVERAGE('540条种子'!H369:H371)</x:f>
        <x:v>1</x:v>
      </x:c>
    </x:row>
    <x:row r="128" ht="23" customHeight="1">
      <x:c r="A128" s="2" t="str">
        <x:v>Security</x:v>
      </x:c>
      <x:c r="B128" s="2" t="n">
        <x:v>6</x:v>
      </x:c>
      <x:c r="C128" s="2" t="str">
        <x:v>SpecTF</x:v>
      </x:c>
      <x:c r="D128" s="10" t="n">
        <x:f>'540条种子'!E372</x:f>
        <x:v>67.14183396997961</x:v>
      </x:c>
      <x:c r="E128" s="10" t="n">
        <x:f>AVERAGE('540条种子'!G372:G374)</x:f>
        <x:v>67.14183396997961</x:v>
      </x:c>
      <x:c r="F128" s="10" t="n">
        <x:f>STDEV.S('540条种子'!G372:G374)</x:f>
        <x:v>0</x:v>
      </x:c>
      <x:c r="G128" s="12" t="n">
        <x:f>(D128-E128)/D128</x:f>
        <x:v>0</x:v>
      </x:c>
      <x:c r="H128" s="10" t="n">
        <x:f>AVERAGE('540条种子'!F372:F374)</x:f>
        <x:v>78.58945273105243</x:v>
      </x:c>
      <x:c r="I128" s="12" t="n">
        <x:f>(D128-H128)/D128</x:f>
        <x:v>-0.1704990478245093</x:v>
      </x:c>
      <x:c r="J128" s="2" t="n">
        <x:f>COUNTIFS('540条种子'!H372:H374,"&gt;0",'540条种子'!I372:I374,"&gt;0")</x:f>
        <x:v>0</x:v>
      </x:c>
      <x:c r="K128" s="2" t="str">
        <x:f>IF(G128&gt;0.0000001,"改善",IF(G128&lt;-0.0000001,"退化","持平"))</x:f>
        <x:v>持平</x:v>
      </x:c>
      <x:c r="L128" s="11" t="n">
        <x:f>AVERAGE('540条种子'!H372:H374)</x:f>
        <x:v>0</x:v>
      </x:c>
    </x:row>
    <x:row r="129" ht="23" customHeight="1">
      <x:c r="A129" s="2" t="str">
        <x:v>Security</x:v>
      </x:c>
      <x:c r="B129" s="2" t="n">
        <x:v>6</x:v>
      </x:c>
      <x:c r="C129" s="2" t="str">
        <x:v>CFA</x:v>
      </x:c>
      <x:c r="D129" s="10" t="n">
        <x:f>'540条种子'!E375</x:f>
        <x:v>73.16995799985796</x:v>
      </x:c>
      <x:c r="E129" s="10" t="n">
        <x:f>AVERAGE('540条种子'!G375:G377)</x:f>
        <x:v>73.16995799985796</x:v>
      </x:c>
      <x:c r="F129" s="10" t="n">
        <x:f>STDEV.S('540条种子'!G375:G377)</x:f>
        <x:v>0</x:v>
      </x:c>
      <x:c r="G129" s="12" t="n">
        <x:f>(D129-E129)/D129</x:f>
        <x:v>0</x:v>
      </x:c>
      <x:c r="H129" s="10" t="n">
        <x:f>AVERAGE('540条种子'!F375:F377)</x:f>
        <x:v>93.13654187411213</x:v>
      </x:c>
      <x:c r="I129" s="12" t="n">
        <x:f>(D129-H129)/D129</x:f>
        <x:v>-0.2728795317101717</x:v>
      </x:c>
      <x:c r="J129" s="2" t="n">
        <x:f>COUNTIFS('540条种子'!H375:H377,"&gt;0",'540条种子'!I375:I377,"&gt;0")</x:f>
        <x:v>0</x:v>
      </x:c>
      <x:c r="K129" s="2" t="str">
        <x:f>IF(G129&gt;0.0000001,"改善",IF(G129&lt;-0.0000001,"退化","持平"))</x:f>
        <x:v>持平</x:v>
      </x:c>
      <x:c r="L129" s="11" t="n">
        <x:f>AVERAGE('540条种子'!H375:H377)</x:f>
        <x:v>0</x:v>
      </x:c>
    </x:row>
    <x:row r="130" ht="23" customHeight="1">
      <x:c r="A130" s="2" t="str">
        <x:v>Security</x:v>
      </x:c>
      <x:c r="B130" s="2" t="n">
        <x:v>6</x:v>
      </x:c>
      <x:c r="C130" s="2" t="str">
        <x:v>Aurora</x:v>
      </x:c>
      <x:c r="D130" s="10" t="n">
        <x:f>'540条种子'!E378</x:f>
        <x:v>77.16228360015839</x:v>
      </x:c>
      <x:c r="E130" s="10" t="n">
        <x:f>AVERAGE('540条种子'!G378:G380)</x:f>
        <x:v>79.28809600617852</x:v>
      </x:c>
      <x:c r="F130" s="10" t="n">
        <x:f>STDEV.S('540条种子'!G378:G380)</x:f>
        <x:v>1.382930589449574</x:v>
      </x:c>
      <x:c r="G130" s="12" t="n">
        <x:f>(D130-E130)/D130</x:f>
        <x:v>-0.02754988974970885</x:v>
      </x:c>
      <x:c r="H130" s="10" t="n">
        <x:f>AVERAGE('540条种子'!F378:F380)</x:f>
        <x:v>84.76913425836192</x:v>
      </x:c>
      <x:c r="I130" s="12" t="n">
        <x:f>(D130-H130)/D130</x:f>
        <x:v>-0.09858249786412376</x:v>
      </x:c>
      <x:c r="J130" s="2" t="n">
        <x:f>COUNTIFS('540条种子'!H378:H380,"&gt;0",'540条种子'!I378:I380,"&gt;0")</x:f>
        <x:v>3</x:v>
      </x:c>
      <x:c r="K130" s="2" t="str">
        <x:f>IF(G130&gt;0.0000001,"改善",IF(G130&lt;-0.0000001,"退化","持平"))</x:f>
        <x:v>退化</x:v>
      </x:c>
      <x:c r="L130" s="11" t="n">
        <x:f>AVERAGE('540条种子'!H378:H380)</x:f>
        <x:v>0.5833333333333334</x:v>
      </x:c>
    </x:row>
    <x:row r="131" ht="23" customHeight="1">
      <x:c r="A131" s="2" t="str">
        <x:v>Security</x:v>
      </x:c>
      <x:c r="B131" s="2" t="n">
        <x:v>8</x:v>
      </x:c>
      <x:c r="C131" s="2" t="str">
        <x:v>TaTS</x:v>
      </x:c>
      <x:c r="D131" s="10" t="n">
        <x:f>'540条种子'!E381</x:f>
        <x:v>72.97911949508219</x:v>
      </x:c>
      <x:c r="E131" s="10" t="n">
        <x:f>AVERAGE('540条种子'!G381:G383)</x:f>
        <x:v>72.97911949508219</x:v>
      </x:c>
      <x:c r="F131" s="10" t="n">
        <x:f>STDEV.S('540条种子'!G381:G383)</x:f>
        <x:v>0</x:v>
      </x:c>
      <x:c r="G131" s="12" t="n">
        <x:f>(D131-E131)/D131</x:f>
        <x:v>0</x:v>
      </x:c>
      <x:c r="H131" s="10" t="n">
        <x:f>AVERAGE('540条种子'!F381:F383)</x:f>
        <x:v>75.96256041736291</x:v>
      </x:c>
      <x:c r="I131" s="12" t="n">
        <x:f>(D131-H131)/D131</x:f>
        <x:v>-0.04088074702630202</x:v>
      </x:c>
      <x:c r="J131" s="2" t="n">
        <x:f>COUNTIFS('540条种子'!H381:H383,"&gt;0",'540条种子'!I381:I383,"&gt;0")</x:f>
        <x:v>0</x:v>
      </x:c>
      <x:c r="K131" s="2" t="str">
        <x:f>IF(G131&gt;0.0000001,"改善",IF(G131&lt;-0.0000001,"退化","持平"))</x:f>
        <x:v>持平</x:v>
      </x:c>
      <x:c r="L131" s="11" t="n">
        <x:f>AVERAGE('540条种子'!H381:H383)</x:f>
        <x:v>0</x:v>
      </x:c>
    </x:row>
    <x:row r="132" ht="23" customHeight="1">
      <x:c r="A132" s="2" t="str">
        <x:v>Security</x:v>
      </x:c>
      <x:c r="B132" s="2" t="n">
        <x:v>8</x:v>
      </x:c>
      <x:c r="C132" s="2" t="str">
        <x:v>MM-TSFlib</x:v>
      </x:c>
      <x:c r="D132" s="10" t="n">
        <x:f>'540条种子'!E384</x:f>
        <x:v>96.53889005739344</x:v>
      </x:c>
      <x:c r="E132" s="10" t="n">
        <x:f>AVERAGE('540条种子'!G384:G386)</x:f>
        <x:v>95.16251747405742</x:v>
      </x:c>
      <x:c r="F132" s="10" t="n">
        <x:f>STDEV.S('540条种子'!G384:G386)</x:f>
        <x:v>2.383947179933249</x:v>
      </x:c>
      <x:c r="G132" s="12" t="n">
        <x:f>(D132-E132)/D132</x:f>
        <x:v>0.014257182597787818</x:v>
      </x:c>
      <x:c r="H132" s="10" t="n">
        <x:f>AVERAGE('540条种子'!F384:F386)</x:f>
        <x:v>95.07851243065431</x:v>
      </x:c>
      <x:c r="I132" s="12" t="n">
        <x:f>(D132-H132)/D132</x:f>
        <x:v>0.015127350499585404</x:v>
      </x:c>
      <x:c r="J132" s="2" t="n">
        <x:f>COUNTIFS('540条种子'!H384:H386,"&gt;0",'540条种子'!I384:I386,"&gt;0")</x:f>
        <x:v>1</x:v>
      </x:c>
      <x:c r="K132" s="2" t="str">
        <x:f>IF(G132&gt;0.0000001,"改善",IF(G132&lt;-0.0000001,"退化","持平"))</x:f>
        <x:v>改善</x:v>
      </x:c>
      <x:c r="L132" s="11" t="n">
        <x:f>AVERAGE('540条种子'!H384:H386)</x:f>
        <x:v>0.75</x:v>
      </x:c>
    </x:row>
    <x:row r="133" ht="23" customHeight="1">
      <x:c r="A133" s="2" t="str">
        <x:v>Security</x:v>
      </x:c>
      <x:c r="B133" s="2" t="n">
        <x:v>8</x:v>
      </x:c>
      <x:c r="C133" s="2" t="str">
        <x:v>SpecTF</x:v>
      </x:c>
      <x:c r="D133" s="10" t="n">
        <x:f>'540条种子'!E387</x:f>
        <x:v>70.6990198622295</x:v>
      </x:c>
      <x:c r="E133" s="10" t="n">
        <x:f>AVERAGE('540条种子'!G387:G389)</x:f>
        <x:v>70.6990198622295</x:v>
      </x:c>
      <x:c r="F133" s="10" t="n">
        <x:f>STDEV.S('540条种子'!G387:G389)</x:f>
        <x:v>0</x:v>
      </x:c>
      <x:c r="G133" s="12" t="n">
        <x:f>(D133-E133)/D133</x:f>
        <x:v>0</x:v>
      </x:c>
      <x:c r="H133" s="10" t="n">
        <x:f>AVERAGE('540条种子'!F387:F389)</x:f>
        <x:v>72.7838356814933</x:v>
      </x:c>
      <x:c r="I133" s="12" t="n">
        <x:f>(D133-H133)/D133</x:f>
        <x:v>-0.029488609931600972</x:v>
      </x:c>
      <x:c r="J133" s="2" t="n">
        <x:f>COUNTIFS('540条种子'!H387:H389,"&gt;0",'540条种子'!I387:I389,"&gt;0")</x:f>
        <x:v>0</x:v>
      </x:c>
      <x:c r="K133" s="2" t="str">
        <x:f>IF(G133&gt;0.0000001,"改善",IF(G133&lt;-0.0000001,"退化","持平"))</x:f>
        <x:v>持平</x:v>
      </x:c>
      <x:c r="L133" s="11" t="n">
        <x:f>AVERAGE('540条种子'!H387:H389)</x:f>
        <x:v>0</x:v>
      </x:c>
    </x:row>
    <x:row r="134" ht="23" customHeight="1">
      <x:c r="A134" s="2" t="str">
        <x:v>Security</x:v>
      </x:c>
      <x:c r="B134" s="2" t="n">
        <x:v>8</x:v>
      </x:c>
      <x:c r="C134" s="2" t="str">
        <x:v>CFA</x:v>
      </x:c>
      <x:c r="D134" s="10" t="n">
        <x:f>'540条种子'!E390</x:f>
        <x:v>91.43265867362122</x:v>
      </x:c>
      <x:c r="E134" s="10" t="n">
        <x:f>AVERAGE('540条种子'!G390:G392)</x:f>
        <x:v>91.43265867362122</x:v>
      </x:c>
      <x:c r="F134" s="10" t="n">
        <x:f>STDEV.S('540条种子'!G390:G392)</x:f>
        <x:v>0</x:v>
      </x:c>
      <x:c r="G134" s="12" t="n">
        <x:f>(D134-E134)/D134</x:f>
        <x:v>0</x:v>
      </x:c>
      <x:c r="H134" s="10" t="n">
        <x:f>AVERAGE('540条种子'!F390:F392)</x:f>
        <x:v>96.02867451085145</x:v>
      </x:c>
      <x:c r="I134" s="12" t="n">
        <x:f>(D134-H134)/D134</x:f>
        <x:v>-0.05026667608601651</x:v>
      </x:c>
      <x:c r="J134" s="2" t="n">
        <x:f>COUNTIFS('540条种子'!H390:H392,"&gt;0",'540条种子'!I390:I392,"&gt;0")</x:f>
        <x:v>0</x:v>
      </x:c>
      <x:c r="K134" s="2" t="str">
        <x:f>IF(G134&gt;0.0000001,"改善",IF(G134&lt;-0.0000001,"退化","持平"))</x:f>
        <x:v>持平</x:v>
      </x:c>
      <x:c r="L134" s="11" t="n">
        <x:f>AVERAGE('540条种子'!H390:H392)</x:f>
        <x:v>0</x:v>
      </x:c>
    </x:row>
    <x:row r="135" ht="23" customHeight="1">
      <x:c r="A135" s="2" t="str">
        <x:v>Security</x:v>
      </x:c>
      <x:c r="B135" s="2" t="n">
        <x:v>8</x:v>
      </x:c>
      <x:c r="C135" s="2" t="str">
        <x:v>Aurora</x:v>
      </x:c>
      <x:c r="D135" s="10" t="n">
        <x:f>'540条种子'!E393</x:f>
        <x:v>81.18467338330083</x:v>
      </x:c>
      <x:c r="E135" s="10" t="n">
        <x:f>AVERAGE('540条种子'!G393:G395)</x:f>
        <x:v>81.83984320753761</x:v>
      </x:c>
      <x:c r="F135" s="10" t="n">
        <x:f>STDEV.S('540条种子'!G393:G395)</x:f>
        <x:v>1.1347874231640809</x:v>
      </x:c>
      <x:c r="G135" s="12" t="n">
        <x:f>(D135-E135)/D135</x:f>
        <x:v>-0.008070117140750158</x:v>
      </x:c>
      <x:c r="H135" s="10" t="n">
        <x:f>AVERAGE('540条种子'!F393:F395)</x:f>
        <x:v>83.28823350234516</x:v>
      </x:c>
      <x:c r="I135" s="12" t="n">
        <x:f>(D135-H135)/D135</x:f>
        <x:v>-0.02591080349751115</x:v>
      </x:c>
      <x:c r="J135" s="2" t="n">
        <x:f>COUNTIFS('540条种子'!H393:H395,"&gt;0",'540条种子'!I393:I395,"&gt;0")</x:f>
        <x:v>1</x:v>
      </x:c>
      <x:c r="K135" s="2" t="str">
        <x:f>IF(G135&gt;0.0000001,"改善",IF(G135&lt;-0.0000001,"退化","持平"))</x:f>
        <x:v>退化</x:v>
      </x:c>
      <x:c r="L135" s="11" t="n">
        <x:f>AVERAGE('540条种子'!H393:H395)</x:f>
        <x:v>0.8333333333333334</x:v>
      </x:c>
    </x:row>
    <x:row r="136" ht="23" customHeight="1">
      <x:c r="A136" s="2" t="str">
        <x:v>Security</x:v>
      </x:c>
      <x:c r="B136" s="2" t="n">
        <x:v>10</x:v>
      </x:c>
      <x:c r="C136" s="2" t="str">
        <x:v>TaTS</x:v>
      </x:c>
      <x:c r="D136" s="10" t="n">
        <x:f>'540条种子'!E396</x:f>
        <x:v>83.39170242577858</x:v>
      </x:c>
      <x:c r="E136" s="10" t="n">
        <x:f>AVERAGE('540条种子'!G396:G398)</x:f>
        <x:v>83.3917024227843</x:v>
      </x:c>
      <x:c r="F136" s="10" t="n">
        <x:f>STDEV.S('540条种子'!G396:G398)</x:f>
        <x:v>2.5931095419041793e-9</x:v>
      </x:c>
      <x:c r="G136" s="12" t="n">
        <x:f>(D136-E136)/D136</x:f>
        <x:v>3.590608698416019e-11</x:v>
      </x:c>
      <x:c r="H136" s="10" t="n">
        <x:f>AVERAGE('540条种子'!F396:F398)</x:f>
        <x:v>83.40565068601025</x:v>
      </x:c>
      <x:c r="I136" s="12" t="n">
        <x:f>(D136-H136)/D136</x:f>
        <x:v>-0.0001672619676290487</x:v>
      </x:c>
      <x:c r="J136" s="2" t="n">
        <x:f>COUNTIFS('540条种子'!H396:H398,"&gt;0",'540条种子'!I396:I398,"&gt;0")</x:f>
        <x:v>0</x:v>
      </x:c>
      <x:c r="K136" s="2" t="str">
        <x:f>IF(G136&gt;0.0000001,"改善",IF(G136&lt;-0.0000001,"退化","持平"))</x:f>
        <x:v>持平</x:v>
      </x:c>
      <x:c r="L136" s="11" t="n">
        <x:f>AVERAGE('540条种子'!H396:H398)</x:f>
        <x:v>0.3333333333333333</x:v>
      </x:c>
    </x:row>
    <x:row r="137" ht="23" customHeight="1">
      <x:c r="A137" s="2" t="str">
        <x:v>Security</x:v>
      </x:c>
      <x:c r="B137" s="2" t="n">
        <x:v>10</x:v>
      </x:c>
      <x:c r="C137" s="2" t="str">
        <x:v>MM-TSFlib</x:v>
      </x:c>
      <x:c r="D137" s="10" t="n">
        <x:f>'540条种子'!E399</x:f>
        <x:v>97.48980175008192</x:v>
      </x:c>
      <x:c r="E137" s="10" t="n">
        <x:f>AVERAGE('540条种子'!G399:G401)</x:f>
        <x:v>97.42273132558635</x:v>
      </x:c>
      <x:c r="F137" s="10" t="n">
        <x:f>STDEV.S('540条种子'!G399:G401)</x:f>
        <x:v>0.1161693323502495</x:v>
      </x:c>
      <x:c r="G137" s="12" t="n">
        <x:f>(D137-E137)/D137</x:f>
        <x:v>0.0006879737499877755</x:v>
      </x:c>
      <x:c r="H137" s="10" t="n">
        <x:f>AVERAGE('540条种子'!F399:F401)</x:f>
        <x:v>97.42273131332955</x:v>
      </x:c>
      <x:c r="I137" s="12" t="n">
        <x:f>(D137-H137)/D137</x:f>
        <x:v>0.00068797387571175</x:v>
      </x:c>
      <x:c r="J137" s="2" t="n">
        <x:f>COUNTIFS('540条种子'!H399:H401,"&gt;0",'540条种子'!I399:I401,"&gt;0")</x:f>
        <x:v>1</x:v>
      </x:c>
      <x:c r="K137" s="2" t="str">
        <x:f>IF(G137&gt;0.0000001,"改善",IF(G137&lt;-0.0000001,"退化","持平"))</x:f>
        <x:v>改善</x:v>
      </x:c>
      <x:c r="L137" s="11" t="n">
        <x:f>AVERAGE('540条种子'!H399:H401)</x:f>
        <x:v>0.8333333333333334</x:v>
      </x:c>
    </x:row>
    <x:row r="138" ht="23" customHeight="1">
      <x:c r="A138" s="2" t="str">
        <x:v>Security</x:v>
      </x:c>
      <x:c r="B138" s="2" t="n">
        <x:v>10</x:v>
      </x:c>
      <x:c r="C138" s="2" t="str">
        <x:v>SpecTF</x:v>
      </x:c>
      <x:c r="D138" s="10" t="n">
        <x:f>'540条种子'!E402</x:f>
        <x:v>73.9949897801101</x:v>
      </x:c>
      <x:c r="E138" s="10" t="n">
        <x:f>AVERAGE('540条种子'!G402:G404)</x:f>
        <x:v>73.9949897801101</x:v>
      </x:c>
      <x:c r="F138" s="10" t="n">
        <x:f>STDEV.S('540条种子'!G402:G404)</x:f>
        <x:v>0</x:v>
      </x:c>
      <x:c r="G138" s="12" t="n">
        <x:f>(D138-E138)/D138</x:f>
        <x:v>0</x:v>
      </x:c>
      <x:c r="H138" s="10" t="n">
        <x:f>AVERAGE('540条种子'!F402:F404)</x:f>
        <x:v>74.00645594959364</x:v>
      </x:c>
      <x:c r="I138" s="12" t="n">
        <x:f>(D138-H138)/D138</x:f>
        <x:v>-0.00015495872784920128</x:v>
      </x:c>
      <x:c r="J138" s="2" t="n">
        <x:f>COUNTIFS('540条种子'!H402:H404,"&gt;0",'540条种子'!I402:I404,"&gt;0")</x:f>
        <x:v>0</x:v>
      </x:c>
      <x:c r="K138" s="2" t="str">
        <x:f>IF(G138&gt;0.0000001,"改善",IF(G138&lt;-0.0000001,"退化","持平"))</x:f>
        <x:v>持平</x:v>
      </x:c>
      <x:c r="L138" s="11" t="n">
        <x:f>AVERAGE('540条种子'!H402:H404)</x:f>
        <x:v>0.3333333333333333</x:v>
      </x:c>
    </x:row>
    <x:row r="139" ht="23" customHeight="1">
      <x:c r="A139" s="2" t="str">
        <x:v>Security</x:v>
      </x:c>
      <x:c r="B139" s="2" t="n">
        <x:v>10</x:v>
      </x:c>
      <x:c r="C139" s="2" t="str">
        <x:v>CFA</x:v>
      </x:c>
      <x:c r="D139" s="10" t="n">
        <x:f>'540条种子'!E405</x:f>
        <x:v>81.72534727849892</x:v>
      </x:c>
      <x:c r="E139" s="10" t="n">
        <x:f>AVERAGE('540条种子'!G405:G407)</x:f>
        <x:v>81.72534727800492</x:v>
      </x:c>
      <x:c r="F139" s="10" t="n">
        <x:f>STDEV.S('540条种子'!G405:G407)</x:f>
        <x:v>4.278063805025755e-10</x:v>
      </x:c>
      <x:c r="G139" s="12" t="n">
        <x:f>(D139-E139)/D139</x:f>
        <x:v>6.044608534074932e-12</x:v>
      </x:c>
      <x:c r="H139" s="10" t="n">
        <x:f>AVERAGE('540条种子'!F405:F407)</x:f>
        <x:v>81.7414351288645</x:v>
      </x:c>
      <x:c r="I139" s="12" t="n">
        <x:f>(D139-H139)/D139</x:f>
        <x:v>-0.00019685263998641967</x:v>
      </x:c>
      <x:c r="J139" s="2" t="n">
        <x:f>COUNTIFS('540条种子'!H405:H407,"&gt;0",'540条种子'!I405:I407,"&gt;0")</x:f>
        <x:v>0</x:v>
      </x:c>
      <x:c r="K139" s="2" t="str">
        <x:f>IF(G139&gt;0.0000001,"改善",IF(G139&lt;-0.0000001,"退化","持平"))</x:f>
        <x:v>持平</x:v>
      </x:c>
      <x:c r="L139" s="11" t="n">
        <x:f>AVERAGE('540条种子'!H405:H407)</x:f>
        <x:v>0.3333333333333333</x:v>
      </x:c>
    </x:row>
    <x:row r="140" ht="23" customHeight="1">
      <x:c r="A140" s="2" t="str">
        <x:v>Security</x:v>
      </x:c>
      <x:c r="B140" s="2" t="n">
        <x:v>10</x:v>
      </x:c>
      <x:c r="C140" s="2" t="str">
        <x:v>Aurora</x:v>
      </x:c>
      <x:c r="D140" s="10" t="n">
        <x:f>'540条种子'!E408</x:f>
        <x:v>84.90057875764339</x:v>
      </x:c>
      <x:c r="E140" s="10" t="n">
        <x:f>AVERAGE('540条种子'!G408:G410)</x:f>
        <x:v>84.9097071622486</x:v>
      </x:c>
      <x:c r="F140" s="10" t="n">
        <x:f>STDEV.S('540条种子'!G408:G410)</x:f>
        <x:v>0.015810862027212946</x:v>
      </x:c>
      <x:c r="G140" s="12" t="n">
        <x:f>(D140-E140)/D140</x:f>
        <x:v>-0.00010751875592349704</x:v>
      </x:c>
      <x:c r="H140" s="10" t="n">
        <x:f>AVERAGE('540条种子'!F408:F410)</x:f>
        <x:v>84.9097071622486</x:v>
      </x:c>
      <x:c r="I140" s="12" t="n">
        <x:f>(D140-H140)/D140</x:f>
        <x:v>-0.00010751875592349704</x:v>
      </x:c>
      <x:c r="J140" s="2" t="n">
        <x:f>COUNTIFS('540条种子'!H408:H410,"&gt;0",'540条种子'!I408:I410,"&gt;0")</x:f>
        <x:v>1</x:v>
      </x:c>
      <x:c r="K140" s="2" t="str">
        <x:f>IF(G140&gt;0.0000001,"改善",IF(G140&lt;-0.0000001,"退化","持平"))</x:f>
        <x:v>退化</x:v>
      </x:c>
      <x:c r="L140" s="11" t="n">
        <x:f>AVERAGE('540条种子'!H408:H410)</x:f>
        <x:v>1</x:v>
      </x:c>
    </x:row>
    <x:row r="141" ht="23" customHeight="1">
      <x:c r="A141" s="2" t="str">
        <x:v>Security</x:v>
      </x:c>
      <x:c r="B141" s="2" t="n">
        <x:v>12</x:v>
      </x:c>
      <x:c r="C141" s="2" t="str">
        <x:v>TaTS</x:v>
      </x:c>
      <x:c r="D141" s="10" t="n">
        <x:f>'540条种子'!E411</x:f>
        <x:v>80.98327342565297</x:v>
      </x:c>
      <x:c r="E141" s="10" t="n">
        <x:f>AVERAGE('540条种子'!G411:G413)</x:f>
        <x:v>80.98327342565297</x:v>
      </x:c>
      <x:c r="F141" s="10" t="n">
        <x:f>STDEV.S('540条种子'!G411:G413)</x:f>
        <x:v>0</x:v>
      </x:c>
      <x:c r="G141" s="12" t="n">
        <x:f>(D141-E141)/D141</x:f>
        <x:v>0</x:v>
      </x:c>
      <x:c r="H141" s="10" t="n">
        <x:f>AVERAGE('540条种子'!F411:F413)</x:f>
        <x:v>81.02981357929349</x:v>
      </x:c>
      <x:c r="I141" s="12" t="n">
        <x:f>(D141-H141)/D141</x:f>
        <x:v>-0.0005746884717280215</x:v>
      </x:c>
      <x:c r="J141" s="2" t="n">
        <x:f>COUNTIFS('540条种子'!H411:H413,"&gt;0",'540条种子'!I411:I413,"&gt;0")</x:f>
        <x:v>0</x:v>
      </x:c>
      <x:c r="K141" s="2" t="str">
        <x:f>IF(G141&gt;0.0000001,"改善",IF(G141&lt;-0.0000001,"退化","持平"))</x:f>
        <x:v>持平</x:v>
      </x:c>
      <x:c r="L141" s="11" t="n">
        <x:f>AVERAGE('540条种子'!H411:H413)</x:f>
        <x:v>0</x:v>
      </x:c>
    </x:row>
    <x:row r="142" ht="23" customHeight="1">
      <x:c r="A142" s="2" t="str">
        <x:v>Security</x:v>
      </x:c>
      <x:c r="B142" s="2" t="n">
        <x:v>12</x:v>
      </x:c>
      <x:c r="C142" s="2" t="str">
        <x:v>MM-TSFlib</x:v>
      </x:c>
      <x:c r="D142" s="10" t="n">
        <x:f>'540条种子'!E414</x:f>
        <x:v>96.64963786673496</x:v>
      </x:c>
      <x:c r="E142" s="10" t="n">
        <x:f>AVERAGE('540条种子'!G414:G416)</x:f>
        <x:v>96.55755705345467</x:v>
      </x:c>
      <x:c r="F142" s="10" t="n">
        <x:f>STDEV.S('540条种子'!G414:G416)</x:f>
        <x:v>0.1594885376035543</x:v>
      </x:c>
      <x:c r="G142" s="12" t="n">
        <x:f>(D142-E142)/D142</x:f>
        <x:v>0.000952727969940826</x:v>
      </x:c>
      <x:c r="H142" s="10" t="n">
        <x:f>AVERAGE('540条种子'!F414:F416)</x:f>
        <x:v>96.55755704919243</x:v>
      </x:c>
      <x:c r="I142" s="12" t="n">
        <x:f>(D142-H142)/D142</x:f>
        <x:v>0.0009527280140408095</x:v>
      </x:c>
      <x:c r="J142" s="2" t="n">
        <x:f>COUNTIFS('540条种子'!H414:H416,"&gt;0",'540条种子'!I414:I416,"&gt;0")</x:f>
        <x:v>1</x:v>
      </x:c>
      <x:c r="K142" s="2" t="str">
        <x:f>IF(G142&gt;0.0000001,"改善",IF(G142&lt;-0.0000001,"退化","持平"))</x:f>
        <x:v>改善</x:v>
      </x:c>
      <x:c r="L142" s="11" t="n">
        <x:f>AVERAGE('540条种子'!H414:H416)</x:f>
        <x:v>0.8333333333333334</x:v>
      </x:c>
    </x:row>
    <x:row r="143" ht="23" customHeight="1">
      <x:c r="A143" s="2" t="str">
        <x:v>Security</x:v>
      </x:c>
      <x:c r="B143" s="2" t="n">
        <x:v>12</x:v>
      </x:c>
      <x:c r="C143" s="2" t="str">
        <x:v>SpecTF</x:v>
      </x:c>
      <x:c r="D143" s="10" t="n">
        <x:f>'540条种子'!E417</x:f>
        <x:v>78.07562570941445</x:v>
      </x:c>
      <x:c r="E143" s="10" t="n">
        <x:f>AVERAGE('540条种子'!G417:G419)</x:f>
        <x:v>78.07562570941445</x:v>
      </x:c>
      <x:c r="F143" s="10" t="n">
        <x:f>STDEV.S('540条种子'!G417:G419)</x:f>
        <x:v>0</x:v>
      </x:c>
      <x:c r="G143" s="12" t="n">
        <x:f>(D143-E143)/D143</x:f>
        <x:v>0</x:v>
      </x:c>
      <x:c r="H143" s="10" t="n">
        <x:f>AVERAGE('540条种子'!F417:F419)</x:f>
        <x:v>78.11654919467175</x:v>
      </x:c>
      <x:c r="I143" s="12" t="n">
        <x:f>(D143-H143)/D143</x:f>
        <x:v>-0.0005241518705159791</x:v>
      </x:c>
      <x:c r="J143" s="2" t="n">
        <x:f>COUNTIFS('540条种子'!H417:H419,"&gt;0",'540条种子'!I417:I419,"&gt;0")</x:f>
        <x:v>0</x:v>
      </x:c>
      <x:c r="K143" s="2" t="str">
        <x:f>IF(G143&gt;0.0000001,"改善",IF(G143&lt;-0.0000001,"退化","持平"))</x:f>
        <x:v>持平</x:v>
      </x:c>
      <x:c r="L143" s="11" t="n">
        <x:f>AVERAGE('540条种子'!H417:H419)</x:f>
        <x:v>0.3333333333333333</x:v>
      </x:c>
    </x:row>
    <x:row r="144" ht="23" customHeight="1">
      <x:c r="A144" s="2" t="str">
        <x:v>Security</x:v>
      </x:c>
      <x:c r="B144" s="2" t="n">
        <x:v>12</x:v>
      </x:c>
      <x:c r="C144" s="2" t="str">
        <x:v>CFA</x:v>
      </x:c>
      <x:c r="D144" s="10" t="n">
        <x:f>'540条种子'!E420</x:f>
        <x:v>101.22611710260571</x:v>
      </x:c>
      <x:c r="E144" s="10" t="n">
        <x:f>AVERAGE('540条种子'!G420:G422)</x:f>
        <x:v>101.2261170885544</x:v>
      </x:c>
      <x:c r="F144" s="10" t="n">
        <x:f>STDEV.S('540条种子'!G420:G422)</x:f>
        <x:v>1.2168803246516268e-8</x:v>
      </x:c>
      <x:c r="G144" s="12" t="n">
        <x:f>(D144-E144)/D144</x:f>
        <x:v>1.3881110776057544e-10</x:v>
      </x:c>
      <x:c r="H144" s="10" t="n">
        <x:f>AVERAGE('540条种子'!F420:F422)</x:f>
        <x:v>101.31990986913208</x:v>
      </x:c>
      <x:c r="I144" s="12" t="n">
        <x:f>(D144-H144)/D144</x:f>
        <x:v>-0.0009265668703985936</x:v>
      </x:c>
      <x:c r="J144" s="2" t="n">
        <x:f>COUNTIFS('540条种子'!H420:H422,"&gt;0",'540条种子'!I420:I422,"&gt;0")</x:f>
        <x:v>0</x:v>
      </x:c>
      <x:c r="K144" s="2" t="str">
        <x:f>IF(G144&gt;0.0000001,"改善",IF(G144&lt;-0.0000001,"退化","持平"))</x:f>
        <x:v>持平</x:v>
      </x:c>
      <x:c r="L144" s="11" t="n">
        <x:f>AVERAGE('540条种子'!H420:H422)</x:f>
        <x:v>0.5</x:v>
      </x:c>
    </x:row>
    <x:row r="145" ht="23" customHeight="1">
      <x:c r="A145" s="2" t="str">
        <x:v>Security</x:v>
      </x:c>
      <x:c r="B145" s="2" t="n">
        <x:v>12</x:v>
      </x:c>
      <x:c r="C145" s="2" t="str">
        <x:v>Aurora</x:v>
      </x:c>
      <x:c r="D145" s="10" t="n">
        <x:f>'540条种子'!E423</x:f>
        <x:v>89.22429087175277</x:v>
      </x:c>
      <x:c r="E145" s="10" t="n">
        <x:f>AVERAGE('540条种子'!G423:G425)</x:f>
        <x:v>89.24185869772852</x:v>
      </x:c>
      <x:c r="F145" s="10" t="n">
        <x:f>STDEV.S('540条种子'!G423:G425)</x:f>
        <x:v>0.030428377468241025</x:v>
      </x:c>
      <x:c r="G145" s="12" t="n">
        <x:f>(D145-E145)/D145</x:f>
        <x:v>-0.0001968951033861102</x:v>
      </x:c>
      <x:c r="H145" s="10" t="n">
        <x:f>AVERAGE('540条种子'!F423:F425)</x:f>
        <x:v>89.24185869772852</x:v>
      </x:c>
      <x:c r="I145" s="12" t="n">
        <x:f>(D145-H145)/D145</x:f>
        <x:v>-0.0001968951033861102</x:v>
      </x:c>
      <x:c r="J145" s="2" t="n">
        <x:f>COUNTIFS('540条种子'!H423:H425,"&gt;0",'540条种子'!I423:I425,"&gt;0")</x:f>
        <x:v>1</x:v>
      </x:c>
      <x:c r="K145" s="2" t="str">
        <x:f>IF(G145&gt;0.0000001,"改善",IF(G145&lt;-0.0000001,"退化","持平"))</x:f>
        <x:v>退化</x:v>
      </x:c>
      <x:c r="L145" s="11" t="n">
        <x:f>AVERAGE('540条种子'!H423:H425)</x:f>
        <x:v>1</x:v>
      </x:c>
    </x:row>
    <x:row r="146" ht="23" customHeight="1">
      <x:c r="A146" s="2" t="str">
        <x:v>SocialGood</x:v>
      </x:c>
      <x:c r="B146" s="2" t="n">
        <x:v>6</x:v>
      </x:c>
      <x:c r="C146" s="2" t="str">
        <x:v>TaTS</x:v>
      </x:c>
      <x:c r="D146" s="10" t="n">
        <x:f>'540条种子'!E426</x:f>
        <x:v>1.064878293277627</x:v>
      </x:c>
      <x:c r="E146" s="10" t="n">
        <x:f>AVERAGE('540条种子'!G426:G428)</x:f>
        <x:v>1.0527372108545727</x:v>
      </x:c>
      <x:c r="F146" s="10" t="n">
        <x:f>STDEV.S('540条种子'!G426:G428)</x:f>
        <x:v>0.021028971273652396</x:v>
      </x:c>
      <x:c r="G146" s="12" t="n">
        <x:f>(D146-E146)/D146</x:f>
        <x:v>0.011401380326464226</x:v>
      </x:c>
      <x:c r="H146" s="10" t="n">
        <x:f>AVERAGE('540条种子'!F426:F428)</x:f>
        <x:v>1.0527372108545727</x:v>
      </x:c>
      <x:c r="I146" s="12" t="n">
        <x:f>(D146-H146)/D146</x:f>
        <x:v>0.011401380326464226</x:v>
      </x:c>
      <x:c r="J146" s="2" t="n">
        <x:f>COUNTIFS('540条种子'!H426:H428,"&gt;0",'540条种子'!I426:I428,"&gt;0")</x:f>
        <x:v>1</x:v>
      </x:c>
      <x:c r="K146" s="2" t="str">
        <x:f>IF(G146&gt;0.0000001,"改善",IF(G146&lt;-0.0000001,"退化","持平"))</x:f>
        <x:v>改善</x:v>
      </x:c>
      <x:c r="L146" s="11" t="n">
        <x:f>AVERAGE('540条种子'!H426:H428)</x:f>
        <x:v>1</x:v>
      </x:c>
    </x:row>
    <x:row r="147" ht="23" customHeight="1">
      <x:c r="A147" s="2" t="str">
        <x:v>SocialGood</x:v>
      </x:c>
      <x:c r="B147" s="2" t="n">
        <x:v>6</x:v>
      </x:c>
      <x:c r="C147" s="2" t="str">
        <x:v>MM-TSFlib</x:v>
      </x:c>
      <x:c r="D147" s="10" t="n">
        <x:f>'540条种子'!E429</x:f>
        <x:v>0.7169099234673274</x:v>
      </x:c>
      <x:c r="E147" s="10" t="n">
        <x:f>AVERAGE('540条种子'!G429:G431)</x:f>
        <x:v>0.7169099234673274</x:v>
      </x:c>
      <x:c r="F147" s="10" t="n">
        <x:f>STDEV.S('540条种子'!G429:G431)</x:f>
        <x:v>0</x:v>
      </x:c>
      <x:c r="G147" s="12" t="n">
        <x:f>(D147-E147)/D147</x:f>
        <x:v>0</x:v>
      </x:c>
      <x:c r="H147" s="10" t="n">
        <x:f>AVERAGE('540条种子'!F429:F431)</x:f>
        <x:v>0.7160171362445434</x:v>
      </x:c>
      <x:c r="I147" s="12" t="n">
        <x:f>(D147-H147)/D147</x:f>
        <x:v>0.0012453269142460852</x:v>
      </x:c>
      <x:c r="J147" s="2" t="n">
        <x:f>COUNTIFS('540条种子'!H429:H431,"&gt;0",'540条种子'!I429:I431,"&gt;0")</x:f>
        <x:v>0</x:v>
      </x:c>
      <x:c r="K147" s="2" t="str">
        <x:f>IF(G147&gt;0.0000001,"改善",IF(G147&lt;-0.0000001,"退化","持平"))</x:f>
        <x:v>持平</x:v>
      </x:c>
      <x:c r="L147" s="11" t="n">
        <x:f>AVERAGE('540条种子'!H429:H431)</x:f>
        <x:v>0</x:v>
      </x:c>
    </x:row>
    <x:row r="148" ht="23" customHeight="1">
      <x:c r="A148" s="2" t="str">
        <x:v>SocialGood</x:v>
      </x:c>
      <x:c r="B148" s="2" t="n">
        <x:v>6</x:v>
      </x:c>
      <x:c r="C148" s="2" t="str">
        <x:v>SpecTF</x:v>
      </x:c>
      <x:c r="D148" s="10" t="n">
        <x:f>'540条种子'!E432</x:f>
        <x:v>0.9929525026766165</x:v>
      </x:c>
      <x:c r="E148" s="10" t="n">
        <x:f>AVERAGE('540条种子'!G432:G434)</x:f>
        <x:v>0.9929525026766165</x:v>
      </x:c>
      <x:c r="F148" s="10" t="n">
        <x:f>STDEV.S('540条种子'!G432:G434)</x:f>
        <x:v>0</x:v>
      </x:c>
      <x:c r="G148" s="12" t="n">
        <x:f>(D148-E148)/D148</x:f>
        <x:v>0</x:v>
      </x:c>
      <x:c r="H148" s="10" t="n">
        <x:f>AVERAGE('540条种子'!F432:F434)</x:f>
        <x:v>0.9888915965056003</x:v>
      </x:c>
      <x:c r="I148" s="12" t="n">
        <x:f>(D148-H148)/D148</x:f>
        <x:v>0.004089728521827118</x:v>
      </x:c>
      <x:c r="J148" s="2" t="n">
        <x:f>COUNTIFS('540条种子'!H432:H434,"&gt;0",'540条种子'!I432:I434,"&gt;0")</x:f>
        <x:v>0</x:v>
      </x:c>
      <x:c r="K148" s="2" t="str">
        <x:f>IF(G148&gt;0.0000001,"改善",IF(G148&lt;-0.0000001,"退化","持平"))</x:f>
        <x:v>持平</x:v>
      </x:c>
      <x:c r="L148" s="11" t="n">
        <x:f>AVERAGE('540条种子'!H432:H434)</x:f>
        <x:v>0</x:v>
      </x:c>
    </x:row>
    <x:row r="149" ht="23" customHeight="1">
      <x:c r="A149" s="2" t="str">
        <x:v>SocialGood</x:v>
      </x:c>
      <x:c r="B149" s="2" t="n">
        <x:v>6</x:v>
      </x:c>
      <x:c r="C149" s="2" t="str">
        <x:v>CFA</x:v>
      </x:c>
      <x:c r="D149" s="10" t="n">
        <x:f>'540条种子'!E435</x:f>
        <x:v>0.9942550612647435</x:v>
      </x:c>
      <x:c r="E149" s="10" t="n">
        <x:f>AVERAGE('540条种子'!G435:G437)</x:f>
        <x:v>0.9942550613286398</x:v>
      </x:c>
      <x:c r="F149" s="10" t="n">
        <x:f>STDEV.S('540条种子'!G435:G437)</x:f>
        <x:v>5.533575115234641e-11</x:v>
      </x:c>
      <x:c r="G149" s="12" t="n">
        <x:f>(D149-E149)/D149</x:f>
        <x:v>-6.426553422626265e-11</x:v>
      </x:c>
      <x:c r="H149" s="10" t="n">
        <x:f>AVERAGE('540条种子'!F435:F437)</x:f>
        <x:v>0.990568725401452</x:v>
      </x:c>
      <x:c r="I149" s="12" t="n">
        <x:f>(D149-H149)/D149</x:f>
        <x:v>0.0037076360049927938</x:v>
      </x:c>
      <x:c r="J149" s="2" t="n">
        <x:f>COUNTIFS('540条种子'!H435:H437,"&gt;0",'540条种子'!I435:I437,"&gt;0")</x:f>
        <x:v>0</x:v>
      </x:c>
      <x:c r="K149" s="2" t="str">
        <x:f>IF(G149&gt;0.0000001,"改善",IF(G149&lt;-0.0000001,"退化","持平"))</x:f>
        <x:v>持平</x:v>
      </x:c>
      <x:c r="L149" s="11" t="n">
        <x:f>AVERAGE('540条种子'!H435:H437)</x:f>
        <x:v>0.3333333333333333</x:v>
      </x:c>
    </x:row>
    <x:row r="150" ht="23" customHeight="1">
      <x:c r="A150" s="2" t="str">
        <x:v>SocialGood</x:v>
      </x:c>
      <x:c r="B150" s="2" t="n">
        <x:v>6</x:v>
      </x:c>
      <x:c r="C150" s="2" t="str">
        <x:v>Aurora</x:v>
      </x:c>
      <x:c r="D150" s="10" t="n">
        <x:f>'540条种子'!E438</x:f>
        <x:v>1.6768303961171411</x:v>
      </x:c>
      <x:c r="E150" s="10" t="n">
        <x:f>AVERAGE('540条种子'!G438:G440)</x:f>
        <x:v>1.6768303962961066</x:v>
      </x:c>
      <x:c r="F150" s="10" t="n">
        <x:f>STDEV.S('540条种子'!G438:G440)</x:f>
        <x:v>1.5498848496753019e-10</x:v>
      </x:c>
      <x:c r="G150" s="12" t="n">
        <x:f>(D150-E150)/D150</x:f>
        <x:v>-1.0672844999311354e-10</x:v>
      </x:c>
      <x:c r="H150" s="10" t="n">
        <x:f>AVERAGE('540条种子'!F438:F440)</x:f>
        <x:v>1.6783132766314928</x:v>
      </x:c>
      <x:c r="I150" s="12" t="n">
        <x:f>(D150-H150)/D150</x:f>
        <x:v>-0.0008843354210332698</x:v>
      </x:c>
      <x:c r="J150" s="2" t="n">
        <x:f>COUNTIFS('540条种子'!H438:H440,"&gt;0",'540条种子'!I438:I440,"&gt;0")</x:f>
        <x:v>0</x:v>
      </x:c>
      <x:c r="K150" s="2" t="str">
        <x:f>IF(G150&gt;0.0000001,"改善",IF(G150&lt;-0.0000001,"退化","持平"))</x:f>
        <x:v>持平</x:v>
      </x:c>
      <x:c r="L150" s="11" t="n">
        <x:f>AVERAGE('540条种子'!H438:H440)</x:f>
        <x:v>0.3333333333333333</x:v>
      </x:c>
    </x:row>
    <x:row r="151" ht="23" customHeight="1">
      <x:c r="A151" s="2" t="str">
        <x:v>SocialGood</x:v>
      </x:c>
      <x:c r="B151" s="2" t="n">
        <x:v>8</x:v>
      </x:c>
      <x:c r="C151" s="2" t="str">
        <x:v>TaTS</x:v>
      </x:c>
      <x:c r="D151" s="10" t="n">
        <x:f>'540条种子'!E441</x:f>
        <x:v>1.1622191062566747</x:v>
      </x:c>
      <x:c r="E151" s="10" t="n">
        <x:f>AVERAGE('540条种子'!G441:G443)</x:f>
        <x:v>1.1195366188388725</x:v>
      </x:c>
      <x:c r="F151" s="10" t="n">
        <x:f>STDEV.S('540条种子'!G441:G443)</x:f>
        <x:v>0.07392823684079107</x:v>
      </x:c>
      <x:c r="G151" s="12" t="n">
        <x:f>(D151-E151)/D151</x:f>
        <x:v>0.036724992032935874</x:v>
      </x:c>
      <x:c r="H151" s="10" t="n">
        <x:f>AVERAGE('540条种子'!F441:F443)</x:f>
        <x:v>1.1195366188494387</x:v>
      </x:c>
      <x:c r="I151" s="12" t="n">
        <x:f>(D151-H151)/D151</x:f>
        <x:v>0.03672499202384446</x:v>
      </x:c>
      <x:c r="J151" s="2" t="n">
        <x:f>COUNTIFS('540条种子'!H441:H443,"&gt;0",'540条种子'!I441:I443,"&gt;0")</x:f>
        <x:v>1</x:v>
      </x:c>
      <x:c r="K151" s="2" t="str">
        <x:f>IF(G151&gt;0.0000001,"改善",IF(G151&lt;-0.0000001,"退化","持平"))</x:f>
        <x:v>改善</x:v>
      </x:c>
      <x:c r="L151" s="11" t="n">
        <x:f>AVERAGE('540条种子'!H441:H443)</x:f>
        <x:v>0.6666666666666666</x:v>
      </x:c>
    </x:row>
    <x:row r="152" ht="23" customHeight="1">
      <x:c r="A152" s="2" t="str">
        <x:v>SocialGood</x:v>
      </x:c>
      <x:c r="B152" s="2" t="n">
        <x:v>8</x:v>
      </x:c>
      <x:c r="C152" s="2" t="str">
        <x:v>MM-TSFlib</x:v>
      </x:c>
      <x:c r="D152" s="10" t="n">
        <x:f>'540条种子'!E444</x:f>
        <x:v>0.845313280627705</x:v>
      </x:c>
      <x:c r="E152" s="10" t="n">
        <x:f>AVERAGE('540条种子'!G444:G446)</x:f>
        <x:v>0.845313280627705</x:v>
      </x:c>
      <x:c r="F152" s="10" t="n">
        <x:f>STDEV.S('540条种子'!G444:G446)</x:f>
        <x:v>0</x:v>
      </x:c>
      <x:c r="G152" s="12" t="n">
        <x:f>(D152-E152)/D152</x:f>
        <x:v>0</x:v>
      </x:c>
      <x:c r="H152" s="10" t="n">
        <x:f>AVERAGE('540条种子'!F444:F446)</x:f>
        <x:v>0.8412605125380025</x:v>
      </x:c>
      <x:c r="I152" s="12" t="n">
        <x:f>(D152-H152)/D152</x:f>
        <x:v>0.004794397748835905</x:v>
      </x:c>
      <x:c r="J152" s="2" t="n">
        <x:f>COUNTIFS('540条种子'!H444:H446,"&gt;0",'540条种子'!I444:I446,"&gt;0")</x:f>
        <x:v>0</x:v>
      </x:c>
      <x:c r="K152" s="2" t="str">
        <x:f>IF(G152&gt;0.0000001,"改善",IF(G152&lt;-0.0000001,"退化","持平"))</x:f>
        <x:v>持平</x:v>
      </x:c>
      <x:c r="L152" s="11" t="n">
        <x:f>AVERAGE('540条种子'!H444:H446)</x:f>
        <x:v>0</x:v>
      </x:c>
    </x:row>
    <x:row r="153" ht="23" customHeight="1">
      <x:c r="A153" s="2" t="str">
        <x:v>SocialGood</x:v>
      </x:c>
      <x:c r="B153" s="2" t="n">
        <x:v>8</x:v>
      </x:c>
      <x:c r="C153" s="2" t="str">
        <x:v>SpecTF</x:v>
      </x:c>
      <x:c r="D153" s="10" t="n">
        <x:f>'540条种子'!E447</x:f>
        <x:v>1.0952617932062743</x:v>
      </x:c>
      <x:c r="E153" s="10" t="n">
        <x:f>AVERAGE('540条种子'!G447:G449)</x:f>
        <x:v>1.095261793243276</x:v>
      </x:c>
      <x:c r="F153" s="10" t="n">
        <x:f>STDEV.S('540条种子'!G447:G449)</x:f>
        <x:v>3.204437840353635e-11</x:v>
      </x:c>
      <x:c r="G153" s="12" t="n">
        <x:f>(D153-E153)/D153</x:f>
        <x:v>-3.3783461852524864e-11</x:v>
      </x:c>
      <x:c r="H153" s="10" t="n">
        <x:f>AVERAGE('540条种子'!F447:F449)</x:f>
        <x:v>1.0716723367074186</x:v>
      </x:c>
      <x:c r="I153" s="12" t="n">
        <x:f>(D153-H153)/D153</x:f>
        <x:v>0.021537733394132015</x:v>
      </x:c>
      <x:c r="J153" s="2" t="n">
        <x:f>COUNTIFS('540条种子'!H447:H449,"&gt;0",'540条种子'!I447:I449,"&gt;0")</x:f>
        <x:v>0</x:v>
      </x:c>
      <x:c r="K153" s="2" t="str">
        <x:f>IF(G153&gt;0.0000001,"改善",IF(G153&lt;-0.0000001,"退化","持平"))</x:f>
        <x:v>持平</x:v>
      </x:c>
      <x:c r="L153" s="11" t="n">
        <x:f>AVERAGE('540条种子'!H447:H449)</x:f>
        <x:v>0.3333333333333333</x:v>
      </x:c>
    </x:row>
    <x:row r="154" ht="23" customHeight="1">
      <x:c r="A154" s="2" t="str">
        <x:v>SocialGood</x:v>
      </x:c>
      <x:c r="B154" s="2" t="n">
        <x:v>8</x:v>
      </x:c>
      <x:c r="C154" s="2" t="str">
        <x:v>CFA</x:v>
      </x:c>
      <x:c r="D154" s="10" t="n">
        <x:f>'540条种子'!E450</x:f>
        <x:v>0.8982351742735893</x:v>
      </x:c>
      <x:c r="E154" s="10" t="n">
        <x:f>AVERAGE('540条种子'!G450:G452)</x:f>
        <x:v>0.8982351743012068</x:v>
      </x:c>
      <x:c r="F154" s="10" t="n">
        <x:f>STDEV.S('540条种子'!G450:G452)</x:f>
        <x:v>2.391742530070149e-11</x:v>
      </x:c>
      <x:c r="G154" s="12" t="n">
        <x:f>(D154-E154)/D154</x:f>
        <x:v>-3.0746362046776925e-11</x:v>
      </x:c>
      <x:c r="H154" s="10" t="n">
        <x:f>AVERAGE('540条种子'!F450:F452)</x:f>
        <x:v>0.8854103604078779</x:v>
      </x:c>
      <x:c r="I154" s="12" t="n">
        <x:f>(D154-H154)/D154</x:f>
        <x:v>0.014277790753499468</x:v>
      </x:c>
      <x:c r="J154" s="2" t="n">
        <x:f>COUNTIFS('540条种子'!H450:H452,"&gt;0",'540条种子'!I450:I452,"&gt;0")</x:f>
        <x:v>0</x:v>
      </x:c>
      <x:c r="K154" s="2" t="str">
        <x:f>IF(G154&gt;0.0000001,"改善",IF(G154&lt;-0.0000001,"退化","持平"))</x:f>
        <x:v>持平</x:v>
      </x:c>
      <x:c r="L154" s="11" t="n">
        <x:f>AVERAGE('540条种子'!H450:H452)</x:f>
        <x:v>0.6666666666666666</x:v>
      </x:c>
    </x:row>
    <x:row r="155" ht="23" customHeight="1">
      <x:c r="A155" s="2" t="str">
        <x:v>SocialGood</x:v>
      </x:c>
      <x:c r="B155" s="2" t="n">
        <x:v>8</x:v>
      </x:c>
      <x:c r="C155" s="2" t="str">
        <x:v>Aurora</x:v>
      </x:c>
      <x:c r="D155" s="10" t="n">
        <x:f>'540条种子'!E453</x:f>
        <x:v>1.787518923563987</x:v>
      </x:c>
      <x:c r="E155" s="10" t="n">
        <x:f>AVERAGE('540条种子'!G453:G455)</x:f>
        <x:v>1.7228705185063113</x:v>
      </x:c>
      <x:c r="F155" s="10" t="n">
        <x:f>STDEV.S('540条种子'!G453:G455)</x:f>
        <x:v>0.11197432218818677</x:v>
      </x:c>
      <x:c r="G155" s="12" t="n">
        <x:f>(D155-E155)/D155</x:f>
        <x:v>0.036166557011199925</x:v>
      </x:c>
      <x:c r="H155" s="10" t="n">
        <x:f>AVERAGE('540条种子'!F453:F455)</x:f>
        <x:v>1.7228705185222803</x:v>
      </x:c>
      <x:c r="I155" s="12" t="n">
        <x:f>(D155-H155)/D155</x:f>
        <x:v>0.036166557002266314</x:v>
      </x:c>
      <x:c r="J155" s="2" t="n">
        <x:f>COUNTIFS('540条种子'!H453:H455,"&gt;0",'540条种子'!I453:I455,"&gt;0")</x:f>
        <x:v>1</x:v>
      </x:c>
      <x:c r="K155" s="2" t="str">
        <x:f>IF(G155&gt;0.0000001,"改善",IF(G155&lt;-0.0000001,"退化","持平"))</x:f>
        <x:v>改善</x:v>
      </x:c>
      <x:c r="L155" s="11" t="n">
        <x:f>AVERAGE('540条种子'!H453:H455)</x:f>
        <x:v>0.3333333333333333</x:v>
      </x:c>
    </x:row>
    <x:row r="156" ht="23" customHeight="1">
      <x:c r="A156" s="2" t="str">
        <x:v>SocialGood</x:v>
      </x:c>
      <x:c r="B156" s="2" t="n">
        <x:v>10</x:v>
      </x:c>
      <x:c r="C156" s="2" t="str">
        <x:v>TaTS</x:v>
      </x:c>
      <x:c r="D156" s="10" t="n">
        <x:f>'540条种子'!E456</x:f>
        <x:v>1.2931527146674995</x:v>
      </x:c>
      <x:c r="E156" s="10" t="n">
        <x:f>AVERAGE('540条种子'!G456:G458)</x:f>
        <x:v>1.1891676277675314</x:v>
      </x:c>
      <x:c r="F156" s="10" t="n">
        <x:f>STDEV.S('540条种子'!G456:G458)</x:f>
        <x:v>0.09546090932585279</x:v>
      </x:c>
      <x:c r="G156" s="12" t="n">
        <x:f>(D156-E156)/D156</x:f>
        <x:v>0.08041207022227469</x:v>
      </x:c>
      <x:c r="H156" s="10" t="n">
        <x:f>AVERAGE('540条种子'!F456:F458)</x:f>
        <x:v>1.1789690122712324</x:v>
      </x:c>
      <x:c r="I156" s="12" t="n">
        <x:f>(D156-H156)/D156</x:f>
        <x:v>0.08829869906403626</x:v>
      </x:c>
      <x:c r="J156" s="2" t="n">
        <x:f>COUNTIFS('540条种子'!H456:H458,"&gt;0",'540条种子'!I456:I458,"&gt;0")</x:f>
        <x:v>2</x:v>
      </x:c>
      <x:c r="K156" s="2" t="str">
        <x:f>IF(G156&gt;0.0000001,"改善",IF(G156&lt;-0.0000001,"退化","持平"))</x:f>
        <x:v>改善</x:v>
      </x:c>
      <x:c r="L156" s="11" t="n">
        <x:f>AVERAGE('540条种子'!H456:H458)</x:f>
        <x:v>0.5833333333333334</x:v>
      </x:c>
    </x:row>
    <x:row r="157" ht="23" customHeight="1">
      <x:c r="A157" s="2" t="str">
        <x:v>SocialGood</x:v>
      </x:c>
      <x:c r="B157" s="2" t="n">
        <x:v>10</x:v>
      </x:c>
      <x:c r="C157" s="2" t="str">
        <x:v>MM-TSFlib</x:v>
      </x:c>
      <x:c r="D157" s="10" t="n">
        <x:f>'540条种子'!E459</x:f>
        <x:v>0.8738624749434614</x:v>
      </x:c>
      <x:c r="E157" s="10" t="n">
        <x:f>AVERAGE('540条种子'!G459:G461)</x:f>
        <x:v>0.8738624749434614</x:v>
      </x:c>
      <x:c r="F157" s="10" t="n">
        <x:f>STDEV.S('540条种子'!G459:G461)</x:f>
        <x:v>0</x:v>
      </x:c>
      <x:c r="G157" s="12" t="n">
        <x:f>(D157-E157)/D157</x:f>
        <x:v>0</x:v>
      </x:c>
      <x:c r="H157" s="10" t="n">
        <x:f>AVERAGE('540条种子'!F459:F461)</x:f>
        <x:v>0.861823382441691</x:v>
      </x:c>
      <x:c r="I157" s="12" t="n">
        <x:f>(D157-H157)/D157</x:f>
        <x:v>0.013776873188826769</x:v>
      </x:c>
      <x:c r="J157" s="2" t="n">
        <x:f>COUNTIFS('540条种子'!H459:H461,"&gt;0",'540条种子'!I459:I461,"&gt;0")</x:f>
        <x:v>0</x:v>
      </x:c>
      <x:c r="K157" s="2" t="str">
        <x:f>IF(G157&gt;0.0000001,"改善",IF(G157&lt;-0.0000001,"退化","持平"))</x:f>
        <x:v>持平</x:v>
      </x:c>
      <x:c r="L157" s="11" t="n">
        <x:f>AVERAGE('540条种子'!H459:H461)</x:f>
        <x:v>0</x:v>
      </x:c>
    </x:row>
    <x:row r="158" ht="23" customHeight="1">
      <x:c r="A158" s="2" t="str">
        <x:v>SocialGood</x:v>
      </x:c>
      <x:c r="B158" s="2" t="n">
        <x:v>10</x:v>
      </x:c>
      <x:c r="C158" s="2" t="str">
        <x:v>SpecTF</x:v>
      </x:c>
      <x:c r="D158" s="10" t="n">
        <x:f>'540条种子'!E462</x:f>
        <x:v>1.3973327760600354</x:v>
      </x:c>
      <x:c r="E158" s="10" t="n">
        <x:f>AVERAGE('540条种子'!G462:G464)</x:f>
        <x:v>1.397332776017638</x:v>
      </x:c>
      <x:c r="F158" s="10" t="n">
        <x:f>STDEV.S('540条种子'!G462:G464)</x:f>
        <x:v>7.343474005540146e-11</x:v>
      </x:c>
      <x:c r="G158" s="12" t="n">
        <x:f>(D158-E158)/D158</x:f>
        <x:v>3.034167639618068e-11</x:v>
      </x:c>
      <x:c r="H158" s="10" t="n">
        <x:f>AVERAGE('540条种子'!F462:F464)</x:f>
        <x:v>1.3199438193336508</x:v>
      </x:c>
      <x:c r="I158" s="12" t="n">
        <x:f>(D158-H158)/D158</x:f>
        <x:v>0.05538334035546849</x:v>
      </x:c>
      <x:c r="J158" s="2" t="n">
        <x:f>COUNTIFS('540条种子'!H462:H464,"&gt;0",'540条种子'!I462:I464,"&gt;0")</x:f>
        <x:v>0</x:v>
      </x:c>
      <x:c r="K158" s="2" t="str">
        <x:f>IF(G158&gt;0.0000001,"改善",IF(G158&lt;-0.0000001,"退化","持平"))</x:f>
        <x:v>持平</x:v>
      </x:c>
      <x:c r="L158" s="11" t="n">
        <x:f>AVERAGE('540条种子'!H462:H464)</x:f>
        <x:v>0.3333333333333333</x:v>
      </x:c>
    </x:row>
    <x:row r="159" ht="23" customHeight="1">
      <x:c r="A159" s="2" t="str">
        <x:v>SocialGood</x:v>
      </x:c>
      <x:c r="B159" s="2" t="n">
        <x:v>10</x:v>
      </x:c>
      <x:c r="C159" s="2" t="str">
        <x:v>CFA</x:v>
      </x:c>
      <x:c r="D159" s="10" t="n">
        <x:f>'540条种子'!E465</x:f>
        <x:v>0.9862629560847868</x:v>
      </x:c>
      <x:c r="E159" s="10" t="n">
        <x:f>AVERAGE('540条种子'!G465:G467)</x:f>
        <x:v>0.9862629560847868</x:v>
      </x:c>
      <x:c r="F159" s="10" t="n">
        <x:f>STDEV.S('540条种子'!G465:G467)</x:f>
        <x:v>0</x:v>
      </x:c>
      <x:c r="G159" s="12" t="n">
        <x:f>(D159-E159)/D159</x:f>
        <x:v>0</x:v>
      </x:c>
      <x:c r="H159" s="10" t="n">
        <x:f>AVERAGE('540条种子'!F465:F467)</x:f>
        <x:v>0.953489888266026</x:v>
      </x:c>
      <x:c r="I159" s="12" t="n">
        <x:f>(D159-H159)/D159</x:f>
        <x:v>0.033229543517340976</x:v>
      </x:c>
      <x:c r="J159" s="2" t="n">
        <x:f>COUNTIFS('540条种子'!H465:H467,"&gt;0",'540条种子'!I465:I467,"&gt;0")</x:f>
        <x:v>0</x:v>
      </x:c>
      <x:c r="K159" s="2" t="str">
        <x:f>IF(G159&gt;0.0000001,"改善",IF(G159&lt;-0.0000001,"退化","持平"))</x:f>
        <x:v>持平</x:v>
      </x:c>
      <x:c r="L159" s="11" t="n">
        <x:f>AVERAGE('540条种子'!H465:H467)</x:f>
        <x:v>0</x:v>
      </x:c>
    </x:row>
    <x:row r="160" ht="23" customHeight="1">
      <x:c r="A160" s="2" t="str">
        <x:v>SocialGood</x:v>
      </x:c>
      <x:c r="B160" s="2" t="n">
        <x:v>10</x:v>
      </x:c>
      <x:c r="C160" s="2" t="str">
        <x:v>Aurora</x:v>
      </x:c>
      <x:c r="D160" s="10" t="n">
        <x:f>'540条种子'!E468</x:f>
        <x:v>1.8458122988986667</x:v>
      </x:c>
      <x:c r="E160" s="10" t="n">
        <x:f>AVERAGE('540条种子'!G468:G470)</x:f>
        <x:v>1.7435649850457795</x:v>
      </x:c>
      <x:c r="F160" s="10" t="n">
        <x:f>STDEV.S('540条种子'!G468:G470)</x:f>
        <x:v>0.1770975425306416</x:v>
      </x:c>
      <x:c r="G160" s="12" t="n">
        <x:f>(D160-E160)/D160</x:f>
        <x:v>0.05539420986299349</x:v>
      </x:c>
      <x:c r="H160" s="10" t="n">
        <x:f>AVERAGE('540条种子'!F468:F470)</x:f>
        <x:v>1.6798373350589013</x:v>
      </x:c>
      <x:c r="I160" s="12" t="n">
        <x:f>(D160-H160)/D160</x:f>
        <x:v>0.08991974099359779</x:v>
      </x:c>
      <x:c r="J160" s="2" t="n">
        <x:f>COUNTIFS('540条种子'!H468:H470,"&gt;0",'540条种子'!I468:I470,"&gt;0")</x:f>
        <x:v>1</x:v>
      </x:c>
      <x:c r="K160" s="2" t="str">
        <x:f>IF(G160&gt;0.0000001,"改善",IF(G160&lt;-0.0000001,"退化","持平"))</x:f>
        <x:v>改善</x:v>
      </x:c>
      <x:c r="L160" s="11" t="n">
        <x:f>AVERAGE('540条种子'!H468:H470)</x:f>
        <x:v>0.3333333333333333</x:v>
      </x:c>
    </x:row>
    <x:row r="161" ht="23" customHeight="1">
      <x:c r="A161" s="2" t="str">
        <x:v>SocialGood</x:v>
      </x:c>
      <x:c r="B161" s="2" t="n">
        <x:v>12</x:v>
      </x:c>
      <x:c r="C161" s="2" t="str">
        <x:v>TaTS</x:v>
      </x:c>
      <x:c r="D161" s="10" t="n">
        <x:f>'540条种子'!E471</x:f>
        <x:v>1.322838435281429</x:v>
      </x:c>
      <x:c r="E161" s="10" t="n">
        <x:f>AVERAGE('540条种子'!G471:G473)</x:f>
        <x:v>1.322838435281429</x:v>
      </x:c>
      <x:c r="F161" s="10" t="n">
        <x:f>STDEV.S('540条种子'!G471:G473)</x:f>
        <x:v>0</x:v>
      </x:c>
      <x:c r="G161" s="12" t="n">
        <x:f>(D161-E161)/D161</x:f>
        <x:v>0</x:v>
      </x:c>
      <x:c r="H161" s="10" t="n">
        <x:f>AVERAGE('540条种子'!F471:F473)</x:f>
        <x:v>1.323645230792608</x:v>
      </x:c>
      <x:c r="I161" s="12" t="n">
        <x:f>(D161-H161)/D161</x:f>
        <x:v>-0.0006098972404043975</x:v>
      </x:c>
      <x:c r="J161" s="2" t="n">
        <x:f>COUNTIFS('540条种子'!H471:H473,"&gt;0",'540条种子'!I471:I473,"&gt;0")</x:f>
        <x:v>0</x:v>
      </x:c>
      <x:c r="K161" s="2" t="str">
        <x:f>IF(G161&gt;0.0000001,"改善",IF(G161&lt;-0.0000001,"退化","持平"))</x:f>
        <x:v>持平</x:v>
      </x:c>
      <x:c r="L161" s="11" t="n">
        <x:f>AVERAGE('540条种子'!H471:H473)</x:f>
        <x:v>0</x:v>
      </x:c>
    </x:row>
    <x:row r="162" ht="23" customHeight="1">
      <x:c r="A162" s="2" t="str">
        <x:v>SocialGood</x:v>
      </x:c>
      <x:c r="B162" s="2" t="n">
        <x:v>12</x:v>
      </x:c>
      <x:c r="C162" s="2" t="str">
        <x:v>MM-TSFlib</x:v>
      </x:c>
      <x:c r="D162" s="10" t="n">
        <x:f>'540条种子'!E474</x:f>
        <x:v>0.9595029697920977</x:v>
      </x:c>
      <x:c r="E162" s="10" t="n">
        <x:f>AVERAGE('540条种子'!G474:G476)</x:f>
        <x:v>0.959403889069738</x:v>
      </x:c>
      <x:c r="F162" s="10" t="n">
        <x:f>STDEV.S('540条种子'!G474:G476)</x:f>
        <x:v>0.00017161284517778848</x:v>
      </x:c>
      <x:c r="G162" s="12" t="n">
        <x:f>(D162-E162)/D162</x:f>
        <x:v>0.00010326254892282956</x:v>
      </x:c>
      <x:c r="H162" s="10" t="n">
        <x:f>AVERAGE('540条种子'!F474:F476)</x:f>
        <x:v>0.959403889137517</x:v>
      </x:c>
      <x:c r="I162" s="12" t="n">
        <x:f>(D162-H162)/D162</x:f>
        <x:v>0.00010326247828312674</x:v>
      </x:c>
      <x:c r="J162" s="2" t="n">
        <x:f>COUNTIFS('540条种子'!H474:H476,"&gt;0",'540条种子'!I474:I476,"&gt;0")</x:f>
        <x:v>1</x:v>
      </x:c>
      <x:c r="K162" s="2" t="str">
        <x:f>IF(G162&gt;0.0000001,"改善",IF(G162&lt;-0.0000001,"退化","持平"))</x:f>
        <x:v>改善</x:v>
      </x:c>
      <x:c r="L162" s="11" t="n">
        <x:f>AVERAGE('540条种子'!H474:H476)</x:f>
        <x:v>0.3333333333333333</x:v>
      </x:c>
    </x:row>
    <x:row r="163" ht="23" customHeight="1">
      <x:c r="A163" s="2" t="str">
        <x:v>SocialGood</x:v>
      </x:c>
      <x:c r="B163" s="2" t="n">
        <x:v>12</x:v>
      </x:c>
      <x:c r="C163" s="2" t="str">
        <x:v>SpecTF</x:v>
      </x:c>
      <x:c r="D163" s="10" t="n">
        <x:f>'540条种子'!E477</x:f>
        <x:v>1.302310829209715</x:v>
      </x:c>
      <x:c r="E163" s="10" t="n">
        <x:f>AVERAGE('540条种子'!G477:G479)</x:f>
        <x:v>1.302310829209715</x:v>
      </x:c>
      <x:c r="F163" s="10" t="n">
        <x:f>STDEV.S('540条种子'!G477:G479)</x:f>
        <x:v>0</x:v>
      </x:c>
      <x:c r="G163" s="12" t="n">
        <x:f>(D163-E163)/D163</x:f>
        <x:v>0</x:v>
      </x:c>
      <x:c r="H163" s="10" t="n">
        <x:f>AVERAGE('540条种子'!F477:F479)</x:f>
        <x:v>1.300679733058808</x:v>
      </x:c>
      <x:c r="I163" s="12" t="n">
        <x:f>(D163-H163)/D163</x:f>
        <x:v>0.0012524630175245913</x:v>
      </x:c>
      <x:c r="J163" s="2" t="n">
        <x:f>COUNTIFS('540条种子'!H477:H479,"&gt;0",'540条种子'!I477:I479,"&gt;0")</x:f>
        <x:v>0</x:v>
      </x:c>
      <x:c r="K163" s="2" t="str">
        <x:f>IF(G163&gt;0.0000001,"改善",IF(G163&lt;-0.0000001,"退化","持平"))</x:f>
        <x:v>持平</x:v>
      </x:c>
      <x:c r="L163" s="11" t="n">
        <x:f>AVERAGE('540条种子'!H477:H479)</x:f>
        <x:v>0</x:v>
      </x:c>
    </x:row>
    <x:row r="164" ht="23" customHeight="1">
      <x:c r="A164" s="2" t="str">
        <x:v>SocialGood</x:v>
      </x:c>
      <x:c r="B164" s="2" t="n">
        <x:v>12</x:v>
      </x:c>
      <x:c r="C164" s="2" t="str">
        <x:v>CFA</x:v>
      </x:c>
      <x:c r="D164" s="10" t="n">
        <x:f>'540条种子'!E480</x:f>
        <x:v>1.1426291047109751</x:v>
      </x:c>
      <x:c r="E164" s="10" t="n">
        <x:f>AVERAGE('540条种子'!G480:G482)</x:f>
        <x:v>1.1426291047609711</x:v>
      </x:c>
      <x:c r="F164" s="10" t="n">
        <x:f>STDEV.S('540条种子'!G480:G482)</x:f>
        <x:v>4.3297940637041596e-11</x:v>
      </x:c>
      <x:c r="G164" s="12" t="n">
        <x:f>(D164-E164)/D164</x:f>
        <x:v>-4.375523704761245e-11</x:v>
      </x:c>
      <x:c r="H164" s="10" t="n">
        <x:f>AVERAGE('540条种子'!F480:F482)</x:f>
        <x:v>1.1395789050820133</x:v>
      </x:c>
      <x:c r="I164" s="12" t="n">
        <x:f>(D164-H164)/D164</x:f>
        <x:v>0.0026694573211780235</x:v>
      </x:c>
      <x:c r="J164" s="2" t="n">
        <x:f>COUNTIFS('540条种子'!H480:H482,"&gt;0",'540条种子'!I480:I482,"&gt;0")</x:f>
        <x:v>0</x:v>
      </x:c>
      <x:c r="K164" s="2" t="str">
        <x:f>IF(G164&gt;0.0000001,"改善",IF(G164&lt;-0.0000001,"退化","持平"))</x:f>
        <x:v>持平</x:v>
      </x:c>
      <x:c r="L164" s="11" t="n">
        <x:f>AVERAGE('540条种子'!H480:H482)</x:f>
        <x:v>0.6666666666666666</x:v>
      </x:c>
    </x:row>
    <x:row r="165" ht="23" customHeight="1">
      <x:c r="A165" s="2" t="str">
        <x:v>SocialGood</x:v>
      </x:c>
      <x:c r="B165" s="2" t="n">
        <x:v>12</x:v>
      </x:c>
      <x:c r="C165" s="2" t="str">
        <x:v>Aurora</x:v>
      </x:c>
      <x:c r="D165" s="10" t="n">
        <x:f>'540条种子'!E483</x:f>
        <x:v>1.8754868897925865</x:v>
      </x:c>
      <x:c r="E165" s="10" t="n">
        <x:f>AVERAGE('540条种子'!G483:G485)</x:f>
        <x:v>1.8754868897925865</x:v>
      </x:c>
      <x:c r="F165" s="10" t="n">
        <x:f>STDEV.S('540条种子'!G483:G485)</x:f>
        <x:v>0</x:v>
      </x:c>
      <x:c r="G165" s="12" t="n">
        <x:f>(D165-E165)/D165</x:f>
        <x:v>0</x:v>
      </x:c>
      <x:c r="H165" s="10" t="n">
        <x:f>AVERAGE('540条种子'!F483:F485)</x:f>
        <x:v>1.864503100775801</x:v>
      </x:c>
      <x:c r="I165" s="12" t="n">
        <x:f>(D165-H165)/D165</x:f>
        <x:v>0.005856500024908276</x:v>
      </x:c>
      <x:c r="J165" s="2" t="n">
        <x:f>COUNTIFS('540条种子'!H483:H485,"&gt;0",'540条种子'!I483:I485,"&gt;0")</x:f>
        <x:v>0</x:v>
      </x:c>
      <x:c r="K165" s="2" t="str">
        <x:f>IF(G165&gt;0.0000001,"改善",IF(G165&lt;-0.0000001,"退化","持平"))</x:f>
        <x:v>持平</x:v>
      </x:c>
      <x:c r="L165" s="11" t="n">
        <x:f>AVERAGE('540条种子'!H483:H485)</x:f>
        <x:v>0</x:v>
      </x:c>
    </x:row>
    <x:row r="166" ht="23" customHeight="1">
      <x:c r="A166" s="2" t="str">
        <x:v>Traffic</x:v>
      </x:c>
      <x:c r="B166" s="2" t="n">
        <x:v>6</x:v>
      </x:c>
      <x:c r="C166" s="2" t="str">
        <x:v>TaTS</x:v>
      </x:c>
      <x:c r="D166" s="10" t="n">
        <x:f>'540条种子'!E486</x:f>
        <x:v>0.24723389000952123</x:v>
      </x:c>
      <x:c r="E166" s="10" t="n">
        <x:f>AVERAGE('540条种子'!G486:G488)</x:f>
        <x:v>0.24723389000952123</x:v>
      </x:c>
      <x:c r="F166" s="10" t="n">
        <x:f>STDEV.S('540条种子'!G486:G488)</x:f>
        <x:v>0</x:v>
      </x:c>
      <x:c r="G166" s="12" t="n">
        <x:f>(D166-E166)/D166</x:f>
        <x:v>0</x:v>
      </x:c>
      <x:c r="H166" s="10" t="n">
        <x:f>AVERAGE('540条种子'!F486:F488)</x:f>
        <x:v>0.23843950850162896</x:v>
      </x:c>
      <x:c r="I166" s="12" t="n">
        <x:f>(D166-H166)/D166</x:f>
        <x:v>0.03557110033561173</x:v>
      </x:c>
      <x:c r="J166" s="2" t="n">
        <x:f>COUNTIFS('540条种子'!H486:H488,"&gt;0",'540条种子'!I486:I488,"&gt;0")</x:f>
        <x:v>0</x:v>
      </x:c>
      <x:c r="K166" s="2" t="str">
        <x:f>IF(G166&gt;0.0000001,"改善",IF(G166&lt;-0.0000001,"退化","持平"))</x:f>
        <x:v>持平</x:v>
      </x:c>
      <x:c r="L166" s="11" t="n">
        <x:f>AVERAGE('540条种子'!H486:H488)</x:f>
        <x:v>0</x:v>
      </x:c>
    </x:row>
    <x:row r="167" ht="23" customHeight="1">
      <x:c r="A167" s="2" t="str">
        <x:v>Traffic</x:v>
      </x:c>
      <x:c r="B167" s="2" t="n">
        <x:v>6</x:v>
      </x:c>
      <x:c r="C167" s="2" t="str">
        <x:v>MM-TSFlib</x:v>
      </x:c>
      <x:c r="D167" s="10" t="n">
        <x:f>'540条种子'!E489</x:f>
        <x:v>0.15184177843025573</x:v>
      </x:c>
      <x:c r="E167" s="10" t="n">
        <x:f>AVERAGE('540条种子'!G489:G491)</x:f>
        <x:v>0.15184177843025573</x:v>
      </x:c>
      <x:c r="F167" s="10" t="n">
        <x:f>STDEV.S('540条种子'!G489:G491)</x:f>
        <x:v>0</x:v>
      </x:c>
      <x:c r="G167" s="12" t="n">
        <x:f>(D167-E167)/D167</x:f>
        <x:v>0</x:v>
      </x:c>
      <x:c r="H167" s="10" t="n">
        <x:f>AVERAGE('540条种子'!F489:F491)</x:f>
        <x:v>0.15892224069845298</x:v>
      </x:c>
      <x:c r="I167" s="12" t="n">
        <x:f>(D167-H167)/D167</x:f>
        <x:v>-0.046630527786194656</x:v>
      </x:c>
      <x:c r="J167" s="2" t="n">
        <x:f>COUNTIFS('540条种子'!H489:H491,"&gt;0",'540条种子'!I489:I491,"&gt;0")</x:f>
        <x:v>0</x:v>
      </x:c>
      <x:c r="K167" s="2" t="str">
        <x:f>IF(G167&gt;0.0000001,"改善",IF(G167&lt;-0.0000001,"退化","持平"))</x:f>
        <x:v>持平</x:v>
      </x:c>
      <x:c r="L167" s="11" t="n">
        <x:f>AVERAGE('540条种子'!H489:H491)</x:f>
        <x:v>0</x:v>
      </x:c>
    </x:row>
    <x:row r="168" ht="23" customHeight="1">
      <x:c r="A168" s="2" t="str">
        <x:v>Traffic</x:v>
      </x:c>
      <x:c r="B168" s="2" t="n">
        <x:v>6</x:v>
      </x:c>
      <x:c r="C168" s="2" t="str">
        <x:v>SpecTF</x:v>
      </x:c>
      <x:c r="D168" s="10" t="n">
        <x:f>'540条种子'!E492</x:f>
        <x:v>0.16757848338838088</x:v>
      </x:c>
      <x:c r="E168" s="10" t="n">
        <x:f>AVERAGE('540条种子'!G492:G494)</x:f>
        <x:v>0.16757848338838088</x:v>
      </x:c>
      <x:c r="F168" s="10" t="n">
        <x:f>STDEV.S('540条种子'!G492:G494)</x:f>
        <x:v>0</x:v>
      </x:c>
      <x:c r="G168" s="12" t="n">
        <x:f>(D168-E168)/D168</x:f>
        <x:v>0</x:v>
      </x:c>
      <x:c r="H168" s="10" t="n">
        <x:f>AVERAGE('540条种子'!F492:F494)</x:f>
        <x:v>0.16399823164443333</x:v>
      </x:c>
      <x:c r="I168" s="12" t="n">
        <x:f>(D168-H168)/D168</x:f>
        <x:v>0.021364626720304758</x:v>
      </x:c>
      <x:c r="J168" s="2" t="n">
        <x:f>COUNTIFS('540条种子'!H492:H494,"&gt;0",'540条种子'!I492:I494,"&gt;0")</x:f>
        <x:v>0</x:v>
      </x:c>
      <x:c r="K168" s="2" t="str">
        <x:f>IF(G168&gt;0.0000001,"改善",IF(G168&lt;-0.0000001,"退化","持平"))</x:f>
        <x:v>持平</x:v>
      </x:c>
      <x:c r="L168" s="11" t="n">
        <x:f>AVERAGE('540条种子'!H492:H494)</x:f>
        <x:v>0</x:v>
      </x:c>
    </x:row>
    <x:row r="169" ht="23" customHeight="1">
      <x:c r="A169" s="2" t="str">
        <x:v>Traffic</x:v>
      </x:c>
      <x:c r="B169" s="2" t="n">
        <x:v>6</x:v>
      </x:c>
      <x:c r="C169" s="2" t="str">
        <x:v>CFA</x:v>
      </x:c>
      <x:c r="D169" s="10" t="n">
        <x:f>'540条种子'!E495</x:f>
        <x:v>0.15811983108467015</x:v>
      </x:c>
      <x:c r="E169" s="10" t="n">
        <x:f>AVERAGE('540条种子'!G495:G497)</x:f>
        <x:v>0.15625621720979446</x:v>
      </x:c>
      <x:c r="F169" s="10" t="n">
        <x:f>STDEV.S('540条种子'!G495:G497)</x:f>
        <x:v>0.00023015931550876076</x:v>
      </x:c>
      <x:c r="G169" s="12" t="n">
        <x:f>(D169-E169)/D169</x:f>
        <x:v>0.011786085667380685</x:v>
      </x:c>
      <x:c r="H169" s="10" t="n">
        <x:f>AVERAGE('540条种子'!F495:F497)</x:f>
        <x:v>0.15625621720979446</x:v>
      </x:c>
      <x:c r="I169" s="12" t="n">
        <x:f>(D169-H169)/D169</x:f>
        <x:v>0.011786085667380685</x:v>
      </x:c>
      <x:c r="J169" s="2" t="n">
        <x:f>COUNTIFS('540条种子'!H495:H497,"&gt;0",'540条种子'!I495:I497,"&gt;0")</x:f>
        <x:v>3</x:v>
      </x:c>
      <x:c r="K169" s="2" t="str">
        <x:f>IF(G169&gt;0.0000001,"改善",IF(G169&lt;-0.0000001,"退化","持平"))</x:f>
        <x:v>改善</x:v>
      </x:c>
      <x:c r="L169" s="11" t="n">
        <x:f>AVERAGE('540条种子'!H495:H497)</x:f>
        <x:v>1</x:v>
      </x:c>
    </x:row>
    <x:row r="170" ht="23" customHeight="1">
      <x:c r="A170" s="2" t="str">
        <x:v>Traffic</x:v>
      </x:c>
      <x:c r="B170" s="2" t="n">
        <x:v>6</x:v>
      </x:c>
      <x:c r="C170" s="2" t="str">
        <x:v>Aurora</x:v>
      </x:c>
      <x:c r="D170" s="10" t="n">
        <x:f>'540条种子'!E498</x:f>
        <x:v>0.15602859012632012</x:v>
      </x:c>
      <x:c r="E170" s="10" t="n">
        <x:f>AVERAGE('540条种子'!G498:G500)</x:f>
        <x:v>0.15602859012632012</x:v>
      </x:c>
      <x:c r="F170" s="10" t="n">
        <x:f>STDEV.S('540条种子'!G498:G500)</x:f>
        <x:v>0</x:v>
      </x:c>
      <x:c r="G170" s="12" t="n">
        <x:f>(D170-E170)/D170</x:f>
        <x:v>0</x:v>
      </x:c>
      <x:c r="H170" s="10" t="n">
        <x:f>AVERAGE('540条种子'!F498:F500)</x:f>
        <x:v>0.15920061390345916</x:v>
      </x:c>
      <x:c r="I170" s="12" t="n">
        <x:f>(D170-H170)/D170</x:f>
        <x:v>-0.02032975991496806</x:v>
      </x:c>
      <x:c r="J170" s="2" t="n">
        <x:f>COUNTIFS('540条种子'!H498:H500,"&gt;0",'540条种子'!I498:I500,"&gt;0")</x:f>
        <x:v>0</x:v>
      </x:c>
      <x:c r="K170" s="2" t="str">
        <x:f>IF(G170&gt;0.0000001,"改善",IF(G170&lt;-0.0000001,"退化","持平"))</x:f>
        <x:v>持平</x:v>
      </x:c>
      <x:c r="L170" s="11" t="n">
        <x:f>AVERAGE('540条种子'!H498:H500)</x:f>
        <x:v>0</x:v>
      </x:c>
    </x:row>
    <x:row r="171" ht="23" customHeight="1">
      <x:c r="A171" s="2" t="str">
        <x:v>Traffic</x:v>
      </x:c>
      <x:c r="B171" s="2" t="n">
        <x:v>8</x:v>
      </x:c>
      <x:c r="C171" s="2" t="str">
        <x:v>TaTS</x:v>
      </x:c>
      <x:c r="D171" s="10" t="n">
        <x:f>'540条种子'!E501</x:f>
        <x:v>0.23876363465916217</x:v>
      </x:c>
      <x:c r="E171" s="10" t="n">
        <x:f>AVERAGE('540条种子'!G501:G503)</x:f>
        <x:v>0.2367828702141799</x:v>
      </x:c>
      <x:c r="F171" s="10" t="n">
        <x:f>STDEV.S('540条种子'!G501:G503)</x:f>
        <x:v>0.0017343429329646062</x:v>
      </x:c>
      <x:c r="G171" s="12" t="n">
        <x:f>(D171-E171)/D171</x:f>
        <x:v>0.008295921813260353</x:v>
      </x:c>
      <x:c r="H171" s="10" t="n">
        <x:f>AVERAGE('540条种子'!F501:F503)</x:f>
        <x:v>0.2367828702141799</x:v>
      </x:c>
      <x:c r="I171" s="12" t="n">
        <x:f>(D171-H171)/D171</x:f>
        <x:v>0.008295921813260353</x:v>
      </x:c>
      <x:c r="J171" s="2" t="n">
        <x:f>COUNTIFS('540条种子'!H501:H503,"&gt;0",'540条种子'!I501:I503,"&gt;0")</x:f>
        <x:v>2</x:v>
      </x:c>
      <x:c r="K171" s="2" t="str">
        <x:f>IF(G171&gt;0.0000001,"改善",IF(G171&lt;-0.0000001,"退化","持平"))</x:f>
        <x:v>改善</x:v>
      </x:c>
      <x:c r="L171" s="11" t="n">
        <x:f>AVERAGE('540条种子'!H501:H503)</x:f>
        <x:v>0.6666666666666666</x:v>
      </x:c>
    </x:row>
    <x:row r="172" ht="23" customHeight="1">
      <x:c r="A172" s="2" t="str">
        <x:v>Traffic</x:v>
      </x:c>
      <x:c r="B172" s="2" t="n">
        <x:v>8</x:v>
      </x:c>
      <x:c r="C172" s="2" t="str">
        <x:v>MM-TSFlib</x:v>
      </x:c>
      <x:c r="D172" s="10" t="n">
        <x:f>'540条种子'!E504</x:f>
        <x:v>0.15819917205889875</x:v>
      </x:c>
      <x:c r="E172" s="10" t="n">
        <x:f>AVERAGE('540条种子'!G504:G506)</x:f>
        <x:v>0.15819917205889875</x:v>
      </x:c>
      <x:c r="F172" s="10" t="n">
        <x:f>STDEV.S('540条种子'!G504:G506)</x:f>
        <x:v>0</x:v>
      </x:c>
      <x:c r="G172" s="12" t="n">
        <x:f>(D172-E172)/D172</x:f>
        <x:v>0</x:v>
      </x:c>
      <x:c r="H172" s="10" t="n">
        <x:f>AVERAGE('540条种子'!F504:F506)</x:f>
        <x:v>0.15919848467136258</x:v>
      </x:c>
      <x:c r="I172" s="12" t="n">
        <x:f>(D172-H172)/D172</x:f>
        <x:v>-0.006316800520876179</x:v>
      </x:c>
      <x:c r="J172" s="2" t="n">
        <x:f>COUNTIFS('540条种子'!H504:H506,"&gt;0",'540条种子'!I504:I506,"&gt;0")</x:f>
        <x:v>0</x:v>
      </x:c>
      <x:c r="K172" s="2" t="str">
        <x:f>IF(G172&gt;0.0000001,"改善",IF(G172&lt;-0.0000001,"退化","持平"))</x:f>
        <x:v>持平</x:v>
      </x:c>
      <x:c r="L172" s="11" t="n">
        <x:f>AVERAGE('540条种子'!H504:H506)</x:f>
        <x:v>0</x:v>
      </x:c>
    </x:row>
    <x:row r="173" ht="23" customHeight="1">
      <x:c r="A173" s="2" t="str">
        <x:v>Traffic</x:v>
      </x:c>
      <x:c r="B173" s="2" t="n">
        <x:v>8</x:v>
      </x:c>
      <x:c r="C173" s="2" t="str">
        <x:v>SpecTF</x:v>
      </x:c>
      <x:c r="D173" s="10" t="n">
        <x:f>'540条种子'!E507</x:f>
        <x:v>0.18590940564234654</x:v>
      </x:c>
      <x:c r="E173" s="10" t="n">
        <x:f>AVERAGE('540条种子'!G507:G509)</x:f>
        <x:v>0.1857856013000482</x:v>
      </x:c>
      <x:c r="F173" s="10" t="n">
        <x:f>STDEV.S('540条种子'!G507:G509)</x:f>
        <x:v>0.00011547635075838397</x:v>
      </x:c>
      <x:c r="G173" s="12" t="n">
        <x:f>(D173-E173)/D173</x:f>
        <x:v>0.0006659391001255156</x:v>
      </x:c>
      <x:c r="H173" s="10" t="n">
        <x:f>AVERAGE('540条种子'!F507:F509)</x:f>
        <x:v>0.18572990349846988</x:v>
      </x:c>
      <x:c r="I173" s="12" t="n">
        <x:f>(D173-H173)/D173</x:f>
        <x:v>0.0009655355696310803</x:v>
      </x:c>
      <x:c r="J173" s="2" t="n">
        <x:f>COUNTIFS('540条种子'!H507:H509,"&gt;0",'540条种子'!I507:I509,"&gt;0")</x:f>
        <x:v>2</x:v>
      </x:c>
      <x:c r="K173" s="2" t="str">
        <x:f>IF(G173&gt;0.0000001,"改善",IF(G173&lt;-0.0000001,"退化","持平"))</x:f>
        <x:v>改善</x:v>
      </x:c>
      <x:c r="L173" s="11" t="n">
        <x:f>AVERAGE('540条种子'!H507:H509)</x:f>
        <x:v>0.4166666666666667</x:v>
      </x:c>
    </x:row>
    <x:row r="174" ht="23" customHeight="1">
      <x:c r="A174" s="2" t="str">
        <x:v>Traffic</x:v>
      </x:c>
      <x:c r="B174" s="2" t="n">
        <x:v>8</x:v>
      </x:c>
      <x:c r="C174" s="2" t="str">
        <x:v>CFA</x:v>
      </x:c>
      <x:c r="D174" s="10" t="n">
        <x:f>'540条种子'!E510</x:f>
        <x:v>0.15928932672901436</x:v>
      </x:c>
      <x:c r="E174" s="10" t="n">
        <x:f>AVERAGE('540条种子'!G510:G512)</x:f>
        <x:v>0.15928932672901436</x:v>
      </x:c>
      <x:c r="F174" s="10" t="n">
        <x:f>STDEV.S('540条种子'!G510:G512)</x:f>
        <x:v>0</x:v>
      </x:c>
      <x:c r="G174" s="12" t="n">
        <x:f>(D174-E174)/D174</x:f>
        <x:v>0</x:v>
      </x:c>
      <x:c r="H174" s="10" t="n">
        <x:f>AVERAGE('540条种子'!F510:F512)</x:f>
        <x:v>0.15936752424357228</x:v>
      </x:c>
      <x:c r="I174" s="12" t="n">
        <x:f>(D174-H174)/D174</x:f>
        <x:v>-0.0004909149668951582</x:v>
      </x:c>
      <x:c r="J174" s="2" t="n">
        <x:f>COUNTIFS('540条种子'!H510:H512,"&gt;0",'540条种子'!I510:I512,"&gt;0")</x:f>
        <x:v>0</x:v>
      </x:c>
      <x:c r="K174" s="2" t="str">
        <x:f>IF(G174&gt;0.0000001,"改善",IF(G174&lt;-0.0000001,"退化","持平"))</x:f>
        <x:v>持平</x:v>
      </x:c>
      <x:c r="L174" s="11" t="n">
        <x:f>AVERAGE('540条种子'!H510:H512)</x:f>
        <x:v>0</x:v>
      </x:c>
    </x:row>
    <x:row r="175" ht="23" customHeight="1">
      <x:c r="A175" s="2" t="str">
        <x:v>Traffic</x:v>
      </x:c>
      <x:c r="B175" s="2" t="n">
        <x:v>8</x:v>
      </x:c>
      <x:c r="C175" s="2" t="str">
        <x:v>Aurora</x:v>
      </x:c>
      <x:c r="D175" s="10" t="n">
        <x:f>'540条种子'!E513</x:f>
        <x:v>0.16190882453397848</x:v>
      </x:c>
      <x:c r="E175" s="10" t="n">
        <x:f>AVERAGE('540条种子'!G513:G515)</x:f>
        <x:v>0.16190882453397848</x:v>
      </x:c>
      <x:c r="F175" s="10" t="n">
        <x:f>STDEV.S('540条种子'!G513:G515)</x:f>
        <x:v>0</x:v>
      </x:c>
      <x:c r="G175" s="12" t="n">
        <x:f>(D175-E175)/D175</x:f>
        <x:v>0</x:v>
      </x:c>
      <x:c r="H175" s="10" t="n">
        <x:f>AVERAGE('540条种子'!F513:F515)</x:f>
        <x:v>0.1624532693116458</x:v>
      </x:c>
      <x:c r="I175" s="12" t="n">
        <x:f>(D175-H175)/D175</x:f>
        <x:v>-0.0033626627778590677</x:v>
      </x:c>
      <x:c r="J175" s="2" t="n">
        <x:f>COUNTIFS('540条种子'!H513:H515,"&gt;0",'540条种子'!I513:I515,"&gt;0")</x:f>
        <x:v>0</x:v>
      </x:c>
      <x:c r="K175" s="2" t="str">
        <x:f>IF(G175&gt;0.0000001,"改善",IF(G175&lt;-0.0000001,"退化","持平"))</x:f>
        <x:v>持平</x:v>
      </x:c>
      <x:c r="L175" s="11" t="n">
        <x:f>AVERAGE('540条种子'!H513:H515)</x:f>
        <x:v>0</x:v>
      </x:c>
    </x:row>
    <x:row r="176" ht="23" customHeight="1">
      <x:c r="A176" s="2" t="str">
        <x:v>Traffic</x:v>
      </x:c>
      <x:c r="B176" s="2" t="n">
        <x:v>10</x:v>
      </x:c>
      <x:c r="C176" s="2" t="str">
        <x:v>TaTS</x:v>
      </x:c>
      <x:c r="D176" s="10" t="n">
        <x:f>'540条种子'!E516</x:f>
        <x:v>0.24555718831519832</x:v>
      </x:c>
      <x:c r="E176" s="10" t="n">
        <x:f>AVERAGE('540条种子'!G516:G518)</x:f>
        <x:v>0.24441621153902268</x:v>
      </x:c>
      <x:c r="F176" s="10" t="n">
        <x:f>STDEV.S('540条种子'!G516:G518)</x:f>
        <x:v>0.0010353694811029528</x:v>
      </x:c>
      <x:c r="G176" s="12" t="n">
        <x:f>(D176-E176)/D176</x:f>
        <x:v>0.004646480862580478</x:v>
      </x:c>
      <x:c r="H176" s="10" t="n">
        <x:f>AVERAGE('540条种子'!F516:F518)</x:f>
        <x:v>0.24395618085750473</x:v>
      </x:c>
      <x:c r="I176" s="12" t="n">
        <x:f>(D176-H176)/D176</x:f>
        <x:v>0.006519896520555254</x:v>
      </x:c>
      <x:c r="J176" s="2" t="n">
        <x:f>COUNTIFS('540条种子'!H516:H518,"&gt;0",'540条种子'!I516:I518,"&gt;0")</x:f>
        <x:v>2</x:v>
      </x:c>
      <x:c r="K176" s="2" t="str">
        <x:f>IF(G176&gt;0.0000001,"改善",IF(G176&lt;-0.0000001,"退化","持平"))</x:f>
        <x:v>改善</x:v>
      </x:c>
      <x:c r="L176" s="11" t="n">
        <x:f>AVERAGE('540条种子'!H516:H518)</x:f>
        <x:v>0.5</x:v>
      </x:c>
    </x:row>
    <x:row r="177" ht="23" customHeight="1">
      <x:c r="A177" s="2" t="str">
        <x:v>Traffic</x:v>
      </x:c>
      <x:c r="B177" s="2" t="n">
        <x:v>10</x:v>
      </x:c>
      <x:c r="C177" s="2" t="str">
        <x:v>MM-TSFlib</x:v>
      </x:c>
      <x:c r="D177" s="10" t="n">
        <x:f>'540条种子'!E519</x:f>
        <x:v>0.1666901516930486</x:v>
      </x:c>
      <x:c r="E177" s="10" t="n">
        <x:f>AVERAGE('540条种子'!G519:G521)</x:f>
        <x:v>0.1666901516930486</x:v>
      </x:c>
      <x:c r="F177" s="10" t="n">
        <x:f>STDEV.S('540条种子'!G519:G521)</x:f>
        <x:v>0</x:v>
      </x:c>
      <x:c r="G177" s="12" t="n">
        <x:f>(D177-E177)/D177</x:f>
        <x:v>0</x:v>
      </x:c>
      <x:c r="H177" s="10" t="n">
        <x:f>AVERAGE('540条种子'!F519:F521)</x:f>
        <x:v>0.16784815247453436</x:v>
      </x:c>
      <x:c r="I177" s="12" t="n">
        <x:f>(D177-H177)/D177</x:f>
        <x:v>-0.006947025782411889</x:v>
      </x:c>
      <x:c r="J177" s="2" t="n">
        <x:f>COUNTIFS('540条种子'!H519:H521,"&gt;0",'540条种子'!I519:I521,"&gt;0")</x:f>
        <x:v>0</x:v>
      </x:c>
      <x:c r="K177" s="2" t="str">
        <x:f>IF(G177&gt;0.0000001,"改善",IF(G177&lt;-0.0000001,"退化","持平"))</x:f>
        <x:v>持平</x:v>
      </x:c>
      <x:c r="L177" s="11" t="n">
        <x:f>AVERAGE('540条种子'!H519:H521)</x:f>
        <x:v>0</x:v>
      </x:c>
    </x:row>
    <x:row r="178" ht="23" customHeight="1">
      <x:c r="A178" s="2" t="str">
        <x:v>Traffic</x:v>
      </x:c>
      <x:c r="B178" s="2" t="n">
        <x:v>10</x:v>
      </x:c>
      <x:c r="C178" s="2" t="str">
        <x:v>SpecTF</x:v>
      </x:c>
      <x:c r="D178" s="10" t="n">
        <x:f>'540条种子'!E522</x:f>
        <x:v>0.19986794571428487</x:v>
      </x:c>
      <x:c r="E178" s="10" t="n">
        <x:f>AVERAGE('540条种子'!G522:G524)</x:f>
        <x:v>0.19986794571428487</x:v>
      </x:c>
      <x:c r="F178" s="10" t="n">
        <x:f>STDEV.S('540条种子'!G522:G524)</x:f>
        <x:v>0</x:v>
      </x:c>
      <x:c r="G178" s="12" t="n">
        <x:f>(D178-E178)/D178</x:f>
        <x:v>0</x:v>
      </x:c>
      <x:c r="H178" s="10" t="n">
        <x:f>AVERAGE('540条种子'!F522:F524)</x:f>
        <x:v>0.1997046375398733</x:v>
      </x:c>
      <x:c r="I178" s="12" t="n">
        <x:f>(D178-H178)/D178</x:f>
        <x:v>0.0008170803668789473</x:v>
      </x:c>
      <x:c r="J178" s="2" t="n">
        <x:f>COUNTIFS('540条种子'!H522:H524,"&gt;0",'540条种子'!I522:I524,"&gt;0")</x:f>
        <x:v>0</x:v>
      </x:c>
      <x:c r="K178" s="2" t="str">
        <x:f>IF(G178&gt;0.0000001,"改善",IF(G178&lt;-0.0000001,"退化","持平"))</x:f>
        <x:v>持平</x:v>
      </x:c>
      <x:c r="L178" s="11" t="n">
        <x:f>AVERAGE('540条种子'!H522:H524)</x:f>
        <x:v>0</x:v>
      </x:c>
    </x:row>
    <x:row r="179" ht="23" customHeight="1">
      <x:c r="A179" s="2" t="str">
        <x:v>Traffic</x:v>
      </x:c>
      <x:c r="B179" s="2" t="n">
        <x:v>10</x:v>
      </x:c>
      <x:c r="C179" s="2" t="str">
        <x:v>CFA</x:v>
      </x:c>
      <x:c r="D179" s="10" t="n">
        <x:f>'540条种子'!E525</x:f>
        <x:v>0.1732082597712524</x:v>
      </x:c>
      <x:c r="E179" s="10" t="n">
        <x:f>AVERAGE('540条种子'!G525:G527)</x:f>
        <x:v>0.1732082597712524</x:v>
      </x:c>
      <x:c r="F179" s="10" t="n">
        <x:f>STDEV.S('540条种子'!G525:G527)</x:f>
        <x:v>0</x:v>
      </x:c>
      <x:c r="G179" s="12" t="n">
        <x:f>(D179-E179)/D179</x:f>
        <x:v>0</x:v>
      </x:c>
      <x:c r="H179" s="10" t="n">
        <x:f>AVERAGE('540条种子'!F525:F527)</x:f>
        <x:v>0.17337565514040817</x:v>
      </x:c>
      <x:c r="I179" s="12" t="n">
        <x:f>(D179-H179)/D179</x:f>
        <x:v>-0.0009664398763479694</x:v>
      </x:c>
      <x:c r="J179" s="2" t="n">
        <x:f>COUNTIFS('540条种子'!H525:H527,"&gt;0",'540条种子'!I525:I527,"&gt;0")</x:f>
        <x:v>0</x:v>
      </x:c>
      <x:c r="K179" s="2" t="str">
        <x:f>IF(G179&gt;0.0000001,"改善",IF(G179&lt;-0.0000001,"退化","持平"))</x:f>
        <x:v>持平</x:v>
      </x:c>
      <x:c r="L179" s="11" t="n">
        <x:f>AVERAGE('540条种子'!H525:H527)</x:f>
        <x:v>0</x:v>
      </x:c>
    </x:row>
    <x:row r="180" ht="23" customHeight="1">
      <x:c r="A180" s="2" t="str">
        <x:v>Traffic</x:v>
      </x:c>
      <x:c r="B180" s="2" t="n">
        <x:v>10</x:v>
      </x:c>
      <x:c r="C180" s="2" t="str">
        <x:v>Aurora</x:v>
      </x:c>
      <x:c r="D180" s="10" t="n">
        <x:f>'540条种子'!E528</x:f>
        <x:v>0.16721218643952346</x:v>
      </x:c>
      <x:c r="E180" s="10" t="n">
        <x:f>AVERAGE('540条种子'!G528:G530)</x:f>
        <x:v>0.16721218643952343</x:v>
      </x:c>
      <x:c r="F180" s="10" t="n">
        <x:f>STDEV.S('540条种子'!G528:G530)</x:f>
        <x:v>3.3993498887762956e-17</x:v>
      </x:c>
      <x:c r="G180" s="12" t="n">
        <x:f>(D180-E180)/D180</x:f>
        <x:v>1.6599014824596786e-16</x:v>
      </x:c>
      <x:c r="H180" s="10" t="n">
        <x:f>AVERAGE('540条种子'!F528:F530)</x:f>
        <x:v>0.1676473163532561</x:v>
      </x:c>
      <x:c r="I180" s="12" t="n">
        <x:f>(D180-H180)/D180</x:f>
        <x:v>-0.0026022619702423854</x:v>
      </x:c>
      <x:c r="J180" s="2" t="n">
        <x:f>COUNTIFS('540条种子'!H528:H530,"&gt;0",'540条种子'!I528:I530,"&gt;0")</x:f>
        <x:v>0</x:v>
      </x:c>
      <x:c r="K180" s="2" t="str">
        <x:f>IF(G180&gt;0.0000001,"改善",IF(G180&lt;-0.0000001,"退化","持平"))</x:f>
        <x:v>持平</x:v>
      </x:c>
      <x:c r="L180" s="11" t="n">
        <x:f>AVERAGE('540条种子'!H528:H530)</x:f>
        <x:v>0</x:v>
      </x:c>
    </x:row>
    <x:row r="181" ht="23" customHeight="1">
      <x:c r="A181" s="2" t="str">
        <x:v>Traffic</x:v>
      </x:c>
      <x:c r="B181" s="2" t="n">
        <x:v>12</x:v>
      </x:c>
      <x:c r="C181" s="2" t="str">
        <x:v>TaTS</x:v>
      </x:c>
      <x:c r="D181" s="10" t="n">
        <x:f>'540条种子'!E531</x:f>
        <x:v>0.22234044158079816</x:v>
      </x:c>
      <x:c r="E181" s="10" t="n">
        <x:f>AVERAGE('540条种子'!G531:G533)</x:f>
        <x:v>0.22234044158079816</x:v>
      </x:c>
      <x:c r="F181" s="10" t="n">
        <x:f>STDEV.S('540条种子'!G531:G533)</x:f>
        <x:v>0</x:v>
      </x:c>
      <x:c r="G181" s="12" t="n">
        <x:f>(D181-E181)/D181</x:f>
        <x:v>0</x:v>
      </x:c>
      <x:c r="H181" s="10" t="n">
        <x:f>AVERAGE('540条种子'!F531:F533)</x:f>
        <x:v>0.22234044158079816</x:v>
      </x:c>
      <x:c r="I181" s="12" t="n">
        <x:f>(D181-H181)/D181</x:f>
        <x:v>0</x:v>
      </x:c>
      <x:c r="J181" s="2" t="n">
        <x:f>COUNTIFS('540条种子'!H531:H533,"&gt;0",'540条种子'!I531:I533,"&gt;0")</x:f>
        <x:v>0</x:v>
      </x:c>
      <x:c r="K181" s="2" t="str">
        <x:f>IF(G181&gt;0.0000001,"改善",IF(G181&lt;-0.0000001,"退化","持平"))</x:f>
        <x:v>持平</x:v>
      </x:c>
      <x:c r="L181" s="11" t="n">
        <x:f>AVERAGE('540条种子'!H531:H533)</x:f>
        <x:v>0</x:v>
      </x:c>
    </x:row>
    <x:row r="182" ht="23" customHeight="1">
      <x:c r="A182" s="2" t="str">
        <x:v>Traffic</x:v>
      </x:c>
      <x:c r="B182" s="2" t="n">
        <x:v>12</x:v>
      </x:c>
      <x:c r="C182" s="2" t="str">
        <x:v>MM-TSFlib</x:v>
      </x:c>
      <x:c r="D182" s="10" t="n">
        <x:f>'540条种子'!E534</x:f>
        <x:v>0.17549252996919057</x:v>
      </x:c>
      <x:c r="E182" s="10" t="n">
        <x:f>AVERAGE('540条种子'!G534:G536)</x:f>
        <x:v>0.1754925299691906</x:v>
      </x:c>
      <x:c r="F182" s="10" t="n">
        <x:f>STDEV.S('540条种子'!G534:G536)</x:f>
        <x:v>3.3993498887762956e-17</x:v>
      </x:c>
      <x:c r="G182" s="12" t="n">
        <x:f>(D182-E182)/D182</x:f>
        <x:v>-1.581581598971858e-16</x:v>
      </x:c>
      <x:c r="H182" s="10" t="n">
        <x:f>AVERAGE('540条种子'!F534:F536)</x:f>
        <x:v>0.1754925299691906</x:v>
      </x:c>
      <x:c r="I182" s="12" t="n">
        <x:f>(D182-H182)/D182</x:f>
        <x:v>-1.581581598971858e-16</x:v>
      </x:c>
      <x:c r="J182" s="2" t="n">
        <x:f>COUNTIFS('540条种子'!H534:H536,"&gt;0",'540条种子'!I534:I536,"&gt;0")</x:f>
        <x:v>0</x:v>
      </x:c>
      <x:c r="K182" s="2" t="str">
        <x:f>IF(G182&gt;0.0000001,"改善",IF(G182&lt;-0.0000001,"退化","持平"))</x:f>
        <x:v>持平</x:v>
      </x:c>
      <x:c r="L182" s="11" t="n">
        <x:f>AVERAGE('540条种子'!H534:H536)</x:f>
        <x:v>0</x:v>
      </x:c>
    </x:row>
    <x:row r="183" ht="23" customHeight="1">
      <x:c r="A183" s="2" t="str">
        <x:v>Traffic</x:v>
      </x:c>
      <x:c r="B183" s="2" t="n">
        <x:v>12</x:v>
      </x:c>
      <x:c r="C183" s="2" t="str">
        <x:v>SpecTF</x:v>
      </x:c>
      <x:c r="D183" s="10" t="n">
        <x:f>'540条种子'!E537</x:f>
        <x:v>0.18894771280705278</x:v>
      </x:c>
      <x:c r="E183" s="10" t="n">
        <x:f>AVERAGE('540条种子'!G537:G539)</x:f>
        <x:v>0.18894771280705278</x:v>
      </x:c>
      <x:c r="F183" s="10" t="n">
        <x:f>STDEV.S('540条种子'!G537:G539)</x:f>
        <x:v>0</x:v>
      </x:c>
      <x:c r="G183" s="12" t="n">
        <x:f>(D183-E183)/D183</x:f>
        <x:v>0</x:v>
      </x:c>
      <x:c r="H183" s="10" t="n">
        <x:f>AVERAGE('540条种子'!F537:F539)</x:f>
        <x:v>0.18894771280705278</x:v>
      </x:c>
      <x:c r="I183" s="12" t="n">
        <x:f>(D183-H183)/D183</x:f>
        <x:v>0</x:v>
      </x:c>
      <x:c r="J183" s="2" t="n">
        <x:f>COUNTIFS('540条种子'!H537:H539,"&gt;0",'540条种子'!I537:I539,"&gt;0")</x:f>
        <x:v>0</x:v>
      </x:c>
      <x:c r="K183" s="2" t="str">
        <x:f>IF(G183&gt;0.0000001,"改善",IF(G183&lt;-0.0000001,"退化","持平"))</x:f>
        <x:v>持平</x:v>
      </x:c>
      <x:c r="L183" s="11" t="n">
        <x:f>AVERAGE('540条种子'!H537:H539)</x:f>
        <x:v>0</x:v>
      </x:c>
    </x:row>
    <x:row r="184" ht="23" customHeight="1">
      <x:c r="A184" s="2" t="str">
        <x:v>Traffic</x:v>
      </x:c>
      <x:c r="B184" s="2" t="n">
        <x:v>12</x:v>
      </x:c>
      <x:c r="C184" s="2" t="str">
        <x:v>CFA</x:v>
      </x:c>
      <x:c r="D184" s="10" t="n">
        <x:f>'540条种子'!E540</x:f>
        <x:v>0.17699060160295385</x:v>
      </x:c>
      <x:c r="E184" s="10" t="n">
        <x:f>AVERAGE('540条种子'!G540:G542)</x:f>
        <x:v>0.17699060160295385</x:v>
      </x:c>
      <x:c r="F184" s="10" t="n">
        <x:f>STDEV.S('540条种子'!G540:G542)</x:f>
        <x:v>0</x:v>
      </x:c>
      <x:c r="G184" s="12" t="n">
        <x:f>(D184-E184)/D184</x:f>
        <x:v>0</x:v>
      </x:c>
      <x:c r="H184" s="10" t="n">
        <x:f>AVERAGE('540条种子'!F540:F542)</x:f>
        <x:v>0.17699060160295385</x:v>
      </x:c>
      <x:c r="I184" s="12" t="n">
        <x:f>(D184-H184)/D184</x:f>
        <x:v>0</x:v>
      </x:c>
      <x:c r="J184" s="2" t="n">
        <x:f>COUNTIFS('540条种子'!H540:H542,"&gt;0",'540条种子'!I540:I542,"&gt;0")</x:f>
        <x:v>0</x:v>
      </x:c>
      <x:c r="K184" s="2" t="str">
        <x:f>IF(G184&gt;0.0000001,"改善",IF(G184&lt;-0.0000001,"退化","持平"))</x:f>
        <x:v>持平</x:v>
      </x:c>
      <x:c r="L184" s="11" t="n">
        <x:f>AVERAGE('540条种子'!H540:H542)</x:f>
        <x:v>0</x:v>
      </x:c>
    </x:row>
    <x:row r="185" ht="23" customHeight="1">
      <x:c r="A185" s="2" t="str">
        <x:v>Traffic</x:v>
      </x:c>
      <x:c r="B185" s="2" t="n">
        <x:v>12</x:v>
      </x:c>
      <x:c r="C185" s="2" t="str">
        <x:v>Aurora</x:v>
      </x:c>
      <x:c r="D185" s="10" t="n">
        <x:f>'540条种子'!E543</x:f>
        <x:v>0.17349987474511538</x:v>
      </x:c>
      <x:c r="E185" s="10" t="n">
        <x:f>AVERAGE('540条种子'!G543:G545)</x:f>
        <x:v>0.17349987474511538</x:v>
      </x:c>
      <x:c r="F185" s="10" t="n">
        <x:f>STDEV.S('540条种子'!G543:G545)</x:f>
        <x:v>0</x:v>
      </x:c>
      <x:c r="G185" s="12" t="n">
        <x:f>(D185-E185)/D185</x:f>
        <x:v>0</x:v>
      </x:c>
      <x:c r="H185" s="10" t="n">
        <x:f>AVERAGE('540条种子'!F543:F545)</x:f>
        <x:v>0.17349987474511538</x:v>
      </x:c>
      <x:c r="I185" s="12" t="n">
        <x:f>(D185-H185)/D185</x:f>
        <x:v>0</x:v>
      </x:c>
      <x:c r="J185" s="2" t="n">
        <x:f>COUNTIFS('540条种子'!H543:H545,"&gt;0",'540条种子'!I543:I545,"&gt;0")</x:f>
        <x:v>0</x:v>
      </x:c>
      <x:c r="K185" s="2" t="str">
        <x:f>IF(G185&gt;0.0000001,"改善",IF(G185&lt;-0.0000001,"退化","持平"))</x:f>
        <x:v>持平</x:v>
      </x:c>
      <x:c r="L185" s="11" t="n">
        <x:f>AVERAGE('540条种子'!H543:H545)</x:f>
        <x:v>0</x:v>
      </x:c>
    </x:row>
  </x:sheetData>
  <x:conditionalFormatting sqref="G6:G185">
    <x:cfRule type="colorScale" priority="1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I6:I185">
    <x:cfRule type="colorScale" priority="2">
      <x:colorScale>
        <x:cfvo type="num" val="-0.1"/>
        <x:cfvo type="num" val="0"/>
        <x:cfvo type="num" val="0.1"/>
        <x:color rgb="FFE9A2A2"/>
        <x:color rgb="FFF4F5F7"/>
        <x:color rgb="FF6DC391"/>
      </x:colorScale>
    </x:cfRule>
  </x:conditionalFormatting>
  <x:conditionalFormatting sqref="K6:K185">
    <x:cfRule type="containsText" dxfId="0" priority="3" operator="containsText" text="退化"/>
    <x:cfRule type="containsText" dxfId="1" priority="4" operator="containsText" text="改善"/>
  </x:conditionalFormatting>
  <x:pageMargins left="0.7" right="0.7" top="0.75" bottom="0.75" header="0.3" footer="0.3"/>
  <x:tableParts count="1">
    <x:tablePart xmlns:r="http://schemas.openxmlformats.org/officeDocument/2006/relationships" r:id="R23b4e2f0741941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V1 新复跑原始种子记录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 t="str">
        <x:v>来源：本次独立复跑 test_seed_results.csv 与 fit_result.json；插件种子 2026、2027、2028。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 t="str">
        <x:v>V1 源码 b5e4d91；108 次全新拟合；原版预测固定；输入 SHA256 校验；结果归档 SHA256 701444aeb6e3ad338c4ca675a76fd9ab02cc007faadd3bbf0ff4fe2b244999cf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7" customHeight="1">
      <x:c r="A5" s="7" t="str">
        <x:v>领域</x:v>
      </x:c>
      <x:c r="B5" s="8" t="str">
        <x:v>预测步长</x:v>
      </x:c>
      <x:c r="C5" s="8" t="str">
        <x:v>模型</x:v>
      </x:c>
      <x:c r="D5" s="8" t="str">
        <x:v>插件种子</x:v>
      </x:c>
      <x:c r="E5" s="8" t="str">
        <x:v>原版MSE</x:v>
      </x:c>
      <x:c r="F5" s="8" t="str">
        <x:v>直接插件MSE</x:v>
      </x:c>
      <x:c r="G5" s="8" t="str">
        <x:v>选择后MSE</x:v>
      </x:c>
      <x:c r="H5" s="8" t="str">
        <x:v>验证alpha</x:v>
      </x:c>
      <x:c r="I5" s="8" t="str">
        <x:v>最佳轮次</x:v>
      </x:c>
      <x:c r="J5" s="8" t="str">
        <x:v>运行轮次</x:v>
      </x:c>
      <x:c r="K5" s="8" t="str">
        <x:v>验证平台期</x:v>
      </x:c>
      <x:c r="L5" s="8" t="str">
        <x:v>原版MAE</x:v>
      </x:c>
      <x:c r="M5" s="8" t="str">
        <x:v>直接插件MAE</x:v>
      </x:c>
      <x:c r="N5" s="8" t="str">
        <x:v>选择后MAE</x:v>
      </x:c>
      <x:c r="O5" s="8" t="str">
        <x:v>测试窗口数</x:v>
      </x:c>
      <x:c r="P5" s="8" t="str">
        <x:v>验证MSE比</x:v>
      </x:c>
      <x:c r="Q5" s="9" t="str">
        <x:v>验证MAE比</x:v>
      </x:c>
    </x:row>
    <x:row r="6" ht="23" customHeight="1">
      <x:c r="A6" s="2" t="str">
        <x:v>Agriculture</x:v>
      </x:c>
      <x:c r="B6" s="2" t="n">
        <x:v>6</x:v>
      </x:c>
      <x:c r="C6" s="2" t="str">
        <x:v>TaTS</x:v>
      </x:c>
      <x:c r="D6" s="2" t="n">
        <x:v>2026</x:v>
      </x:c>
      <x:c r="E6" s="10" t="n">
        <x:v>0.49579507604065326</x:v>
      </x:c>
      <x:c r="F6" s="10" t="n">
        <x:v>0.3998789099377476</x:v>
      </x:c>
      <x:c r="G6" s="10" t="n">
        <x:v>0.3998789099377476</x:v>
      </x:c>
      <x:c r="H6" s="11" t="n">
        <x:v>1</x:v>
      </x:c>
      <x:c r="I6" s="2" t="n">
        <x:v>77</x:v>
      </x:c>
      <x:c r="J6" s="2" t="n">
        <x:v>80</x:v>
      </x:c>
      <x:c r="K6" s="2" t="str">
        <x:v>未达到</x:v>
      </x:c>
      <x:c r="L6" s="10" t="n">
        <x:v>0.597170186592332</x:v>
      </x:c>
      <x:c r="M6" s="10" t="n">
        <x:v>0.5322029472242856</x:v>
      </x:c>
      <x:c r="N6" s="10" t="n">
        <x:v>0.5322029472242856</x:v>
      </x:c>
      <x:c r="O6" s="2" t="n">
        <x:v>94</x:v>
      </x:c>
      <x:c r="P6" s="10" t="n">
        <x:v>0.7732124191906117</x:v>
      </x:c>
      <x:c r="Q6" s="10" t="n">
        <x:v>0.8753689246921563</x:v>
      </x:c>
    </x:row>
    <x:row r="7" ht="23" customHeight="1">
      <x:c r="A7" s="2" t="str">
        <x:v>Agriculture</x:v>
      </x:c>
      <x:c r="B7" s="2" t="n">
        <x:v>6</x:v>
      </x:c>
      <x:c r="C7" s="2" t="str">
        <x:v>TaTS</x:v>
      </x:c>
      <x:c r="D7" s="2" t="n">
        <x:v>2027</x:v>
      </x:c>
      <x:c r="E7" s="10" t="n">
        <x:v>0.49579507604065326</x:v>
      </x:c>
      <x:c r="F7" s="10" t="n">
        <x:v>0.4041770250480193</x:v>
      </x:c>
      <x:c r="G7" s="10" t="n">
        <x:v>0.4041770250480193</x:v>
      </x:c>
      <x:c r="H7" s="11" t="n">
        <x:v>1</x:v>
      </x:c>
      <x:c r="I7" s="2" t="n">
        <x:v>80</x:v>
      </x:c>
      <x:c r="J7" s="2" t="n">
        <x:v>80</x:v>
      </x:c>
      <x:c r="K7" s="2" t="str">
        <x:v>未达到</x:v>
      </x:c>
      <x:c r="L7" s="10" t="n">
        <x:v>0.597170186592332</x:v>
      </x:c>
      <x:c r="M7" s="10" t="n">
        <x:v>0.5368352206886238</x:v>
      </x:c>
      <x:c r="N7" s="10" t="n">
        <x:v>0.5368352206886238</x:v>
      </x:c>
      <x:c r="O7" s="2" t="n">
        <x:v>94</x:v>
      </x:c>
      <x:c r="P7" s="10" t="n">
        <x:v>0.7705836514807027</x:v>
      </x:c>
      <x:c r="Q7" s="10" t="n">
        <x:v>0.8738466465474986</x:v>
      </x:c>
    </x:row>
    <x:row r="8" ht="23" customHeight="1">
      <x:c r="A8" s="2" t="str">
        <x:v>Agriculture</x:v>
      </x:c>
      <x:c r="B8" s="2" t="n">
        <x:v>6</x:v>
      </x:c>
      <x:c r="C8" s="2" t="str">
        <x:v>TaTS</x:v>
      </x:c>
      <x:c r="D8" s="2" t="n">
        <x:v>2028</x:v>
      </x:c>
      <x:c r="E8" s="10" t="n">
        <x:v>0.49579507604065326</x:v>
      </x:c>
      <x:c r="F8" s="10" t="n">
        <x:v>0.4001739371886475</x:v>
      </x:c>
      <x:c r="G8" s="10" t="n">
        <x:v>0.4001739371886475</x:v>
      </x:c>
      <x:c r="H8" s="11" t="n">
        <x:v>1</x:v>
      </x:c>
      <x:c r="I8" s="2" t="n">
        <x:v>80</x:v>
      </x:c>
      <x:c r="J8" s="2" t="n">
        <x:v>80</x:v>
      </x:c>
      <x:c r="K8" s="2" t="str">
        <x:v>未达到</x:v>
      </x:c>
      <x:c r="L8" s="10" t="n">
        <x:v>0.597170186592332</x:v>
      </x:c>
      <x:c r="M8" s="10" t="n">
        <x:v>0.5324132693997512</x:v>
      </x:c>
      <x:c r="N8" s="10" t="n">
        <x:v>0.5324132693997512</x:v>
      </x:c>
      <x:c r="O8" s="2" t="n">
        <x:v>94</x:v>
      </x:c>
      <x:c r="P8" s="10" t="n">
        <x:v>0.7764185115349854</x:v>
      </x:c>
      <x:c r="Q8" s="10" t="n">
        <x:v>0.8771590315184153</x:v>
      </x:c>
    </x:row>
    <x:row r="9" ht="23" customHeight="1">
      <x:c r="A9" s="2" t="str">
        <x:v>Agriculture</x:v>
      </x:c>
      <x:c r="B9" s="2" t="n">
        <x:v>6</x:v>
      </x:c>
      <x:c r="C9" s="2" t="str">
        <x:v>MM-TSFlib</x:v>
      </x:c>
      <x:c r="D9" s="2" t="n">
        <x:v>2026</x:v>
      </x:c>
      <x:c r="E9" s="10" t="n">
        <x:v>3.0201228416151027</x:v>
      </x:c>
      <x:c r="F9" s="10" t="n">
        <x:v>2.354936005014032</x:v>
      </x:c>
      <x:c r="G9" s="10" t="n">
        <x:v>2.354936005014032</x:v>
      </x:c>
      <x:c r="H9" s="11" t="n">
        <x:v>1</x:v>
      </x:c>
      <x:c r="I9" s="2" t="n">
        <x:v>77</x:v>
      </x:c>
      <x:c r="J9" s="2" t="n">
        <x:v>80</x:v>
      </x:c>
      <x:c r="K9" s="2" t="str">
        <x:v>未达到</x:v>
      </x:c>
      <x:c r="L9" s="10" t="n">
        <x:v>1.2793749966097216</x:v>
      </x:c>
      <x:c r="M9" s="10" t="n">
        <x:v>1.1136646344729348</x:v>
      </x:c>
      <x:c r="N9" s="10" t="n">
        <x:v>1.1136646344729348</x:v>
      </x:c>
      <x:c r="O9" s="2" t="n">
        <x:v>94</x:v>
      </x:c>
      <x:c r="P9" s="10" t="n">
        <x:v>0.8014556773060988</x:v>
      </x:c>
      <x:c r="Q9" s="10" t="n">
        <x:v>0.8925476146218684</x:v>
      </x:c>
    </x:row>
    <x:row r="10" ht="23" customHeight="1">
      <x:c r="A10" s="2" t="str">
        <x:v>Agriculture</x:v>
      </x:c>
      <x:c r="B10" s="2" t="n">
        <x:v>6</x:v>
      </x:c>
      <x:c r="C10" s="2" t="str">
        <x:v>MM-TSFlib</x:v>
      </x:c>
      <x:c r="D10" s="2" t="n">
        <x:v>2027</x:v>
      </x:c>
      <x:c r="E10" s="10" t="n">
        <x:v>3.0201228416151027</x:v>
      </x:c>
      <x:c r="F10" s="10" t="n">
        <x:v>2.3468192672117234</x:v>
      </x:c>
      <x:c r="G10" s="10" t="n">
        <x:v>2.3468192672117234</x:v>
      </x:c>
      <x:c r="H10" s="11" t="n">
        <x:v>1</x:v>
      </x:c>
      <x:c r="I10" s="2" t="n">
        <x:v>80</x:v>
      </x:c>
      <x:c r="J10" s="2" t="n">
        <x:v>80</x:v>
      </x:c>
      <x:c r="K10" s="2" t="str">
        <x:v>未达到</x:v>
      </x:c>
      <x:c r="L10" s="10" t="n">
        <x:v>1.2793749966097216</x:v>
      </x:c>
      <x:c r="M10" s="10" t="n">
        <x:v>1.1115513845538416</x:v>
      </x:c>
      <x:c r="N10" s="10" t="n">
        <x:v>1.1115513845538416</x:v>
      </x:c>
      <x:c r="O10" s="2" t="n">
        <x:v>94</x:v>
      </x:c>
      <x:c r="P10" s="10" t="n">
        <x:v>0.7989928511304443</x:v>
      </x:c>
      <x:c r="Q10" s="10" t="n">
        <x:v>0.8912081272649419</x:v>
      </x:c>
    </x:row>
    <x:row r="11" ht="23" customHeight="1">
      <x:c r="A11" s="2" t="str">
        <x:v>Agriculture</x:v>
      </x:c>
      <x:c r="B11" s="2" t="n">
        <x:v>6</x:v>
      </x:c>
      <x:c r="C11" s="2" t="str">
        <x:v>MM-TSFlib</x:v>
      </x:c>
      <x:c r="D11" s="2" t="n">
        <x:v>2028</x:v>
      </x:c>
      <x:c r="E11" s="10" t="n">
        <x:v>3.0201228416151027</x:v>
      </x:c>
      <x:c r="F11" s="10" t="n">
        <x:v>2.3572211205922238</x:v>
      </x:c>
      <x:c r="G11" s="10" t="n">
        <x:v>2.3572211205922238</x:v>
      </x:c>
      <x:c r="H11" s="11" t="n">
        <x:v>1</x:v>
      </x:c>
      <x:c r="I11" s="2" t="n">
        <x:v>80</x:v>
      </x:c>
      <x:c r="J11" s="2" t="n">
        <x:v>80</x:v>
      </x:c>
      <x:c r="K11" s="2" t="str">
        <x:v>未达到</x:v>
      </x:c>
      <x:c r="L11" s="10" t="n">
        <x:v>1.2793749966097216</x:v>
      </x:c>
      <x:c r="M11" s="10" t="n">
        <x:v>1.1148569757211293</x:v>
      </x:c>
      <x:c r="N11" s="10" t="n">
        <x:v>1.1148569757211293</x:v>
      </x:c>
      <x:c r="O11" s="2" t="n">
        <x:v>94</x:v>
      </x:c>
      <x:c r="P11" s="10" t="n">
        <x:v>0.8045837784310916</x:v>
      </x:c>
      <x:c r="Q11" s="10" t="n">
        <x:v>0.894486839881374</x:v>
      </x:c>
    </x:row>
    <x:row r="12" ht="23" customHeight="1">
      <x:c r="A12" s="2" t="str">
        <x:v>Agriculture</x:v>
      </x:c>
      <x:c r="B12" s="2" t="n">
        <x:v>6</x:v>
      </x:c>
      <x:c r="C12" s="2" t="str">
        <x:v>SpecTF</x:v>
      </x:c>
      <x:c r="D12" s="2" t="n">
        <x:v>2026</x:v>
      </x:c>
      <x:c r="E12" s="10" t="n">
        <x:v>0.2098411645526121</x:v>
      </x:c>
      <x:c r="F12" s="10" t="n">
        <x:v>0.18219679501404984</x:v>
      </x:c>
      <x:c r="G12" s="10" t="n">
        <x:v>0.19645240066748348</x:v>
      </x:c>
      <x:c r="H12" s="11" t="n">
        <x:v>0.25</x:v>
      </x:c>
      <x:c r="I12" s="2" t="n">
        <x:v>77</x:v>
      </x:c>
      <x:c r="J12" s="2" t="n">
        <x:v>80</x:v>
      </x:c>
      <x:c r="K12" s="2" t="str">
        <x:v>未达到</x:v>
      </x:c>
      <x:c r="L12" s="10" t="n">
        <x:v>0.29948388388816344</x:v>
      </x:c>
      <x:c r="M12" s="10" t="n">
        <x:v>0.31603198947635947</x:v>
      </x:c>
      <x:c r="N12" s="10" t="n">
        <x:v>0.29606614066353926</x:v>
      </x:c>
      <x:c r="O12" s="2" t="n">
        <x:v>94</x:v>
      </x:c>
      <x:c r="P12" s="10" t="n">
        <x:v>0.9821180736299363</x:v>
      </x:c>
      <x:c r="Q12" s="10" t="n">
        <x:v>0.9850702319377771</x:v>
      </x:c>
    </x:row>
    <x:row r="13" ht="23" customHeight="1">
      <x:c r="A13" s="2" t="str">
        <x:v>Agriculture</x:v>
      </x:c>
      <x:c r="B13" s="2" t="n">
        <x:v>6</x:v>
      </x:c>
      <x:c r="C13" s="2" t="str">
        <x:v>SpecTF</x:v>
      </x:c>
      <x:c r="D13" s="2" t="n">
        <x:v>2027</x:v>
      </x:c>
      <x:c r="E13" s="10" t="n">
        <x:v>0.2098411645526121</x:v>
      </x:c>
      <x:c r="F13" s="10" t="n">
        <x:v>0.18686402190568135</x:v>
      </x:c>
      <x:c r="G13" s="10" t="n">
        <x:v>0.1979338671981747</x:v>
      </x:c>
      <x:c r="H13" s="11" t="n">
        <x:v>0.25</x:v>
      </x:c>
      <x:c r="I13" s="2" t="n">
        <x:v>80</x:v>
      </x:c>
      <x:c r="J13" s="2" t="n">
        <x:v>80</x:v>
      </x:c>
      <x:c r="K13" s="2" t="str">
        <x:v>未达到</x:v>
      </x:c>
      <x:c r="L13" s="10" t="n">
        <x:v>0.29948388388816344</x:v>
      </x:c>
      <x:c r="M13" s="10" t="n">
        <x:v>0.3198835040237887</x:v>
      </x:c>
      <x:c r="N13" s="10" t="n">
        <x:v>0.29686214124902766</x:v>
      </x:c>
      <x:c r="O13" s="2" t="n">
        <x:v>94</x:v>
      </x:c>
      <x:c r="P13" s="10" t="n">
        <x:v>0.982913715631479</x:v>
      </x:c>
      <x:c r="Q13" s="10" t="n">
        <x:v>0.9853090252925537</x:v>
      </x:c>
    </x:row>
    <x:row r="14" ht="23" customHeight="1">
      <x:c r="A14" s="2" t="str">
        <x:v>Agriculture</x:v>
      </x:c>
      <x:c r="B14" s="2" t="n">
        <x:v>6</x:v>
      </x:c>
      <x:c r="C14" s="2" t="str">
        <x:v>SpecTF</x:v>
      </x:c>
      <x:c r="D14" s="2" t="n">
        <x:v>2028</x:v>
      </x:c>
      <x:c r="E14" s="10" t="n">
        <x:v>0.2098411645526121</x:v>
      </x:c>
      <x:c r="F14" s="10" t="n">
        <x:v>0.17974994056477286</x:v>
      </x:c>
      <x:c r="G14" s="10" t="n">
        <x:v>0.19514913855300242</x:v>
      </x:c>
      <x:c r="H14" s="11" t="n">
        <x:v>0.25</x:v>
      </x:c>
      <x:c r="I14" s="2" t="n">
        <x:v>80</x:v>
      </x:c>
      <x:c r="J14" s="2" t="n">
        <x:v>80</x:v>
      </x:c>
      <x:c r="K14" s="2" t="str">
        <x:v>未达到</x:v>
      </x:c>
      <x:c r="L14" s="10" t="n">
        <x:v>0.29948388388816344</x:v>
      </x:c>
      <x:c r="M14" s="10" t="n">
        <x:v>0.3150603633823124</x:v>
      </x:c>
      <x:c r="N14" s="10" t="n">
        <x:v>0.2951151542629756</x:v>
      </x:c>
      <x:c r="O14" s="2" t="n">
        <x:v>94</x:v>
      </x:c>
      <x:c r="P14" s="10" t="n">
        <x:v>0.9828632143520153</x:v>
      </x:c>
      <x:c r="Q14" s="10" t="n">
        <x:v>0.9858649387645185</x:v>
      </x:c>
    </x:row>
    <x:row r="15" ht="23" customHeight="1">
      <x:c r="A15" s="2" t="str">
        <x:v>Agriculture</x:v>
      </x:c>
      <x:c r="B15" s="2" t="n">
        <x:v>6</x:v>
      </x:c>
      <x:c r="C15" s="2" t="str">
        <x:v>CFA</x:v>
      </x:c>
      <x:c r="D15" s="2" t="n">
        <x:v>2026</x:v>
      </x:c>
      <x:c r="E15" s="10" t="n">
        <x:v>0.16785088749539434</x:v>
      </x:c>
      <x:c r="F15" s="10" t="n">
        <x:v>0.18552134160973677</x:v>
      </x:c>
      <x:c r="G15" s="10" t="n">
        <x:v>0.16785088749539434</x:v>
      </x:c>
      <x:c r="H15" s="11" t="n">
        <x:v>0</x:v>
      </x:c>
      <x:c r="I15" s="2" t="n">
        <x:v>77</x:v>
      </x:c>
      <x:c r="J15" s="2" t="n">
        <x:v>80</x:v>
      </x:c>
      <x:c r="K15" s="2" t="str">
        <x:v>未达到</x:v>
      </x:c>
      <x:c r="L15" s="10" t="n">
        <x:v>0.28960072571504203</x:v>
      </x:c>
      <x:c r="M15" s="10" t="n">
        <x:v>0.3325440617317849</x:v>
      </x:c>
      <x:c r="N15" s="10" t="n">
        <x:v>0.28960072571504203</x:v>
      </x:c>
      <x:c r="O15" s="2" t="n">
        <x:v>94</x:v>
      </x:c>
      <x:c r="P15" s="10" t="n">
        <x:v>1</x:v>
      </x:c>
      <x:c r="Q15" s="10" t="n">
        <x:v>1</x:v>
      </x:c>
    </x:row>
    <x:row r="16" ht="23" customHeight="1">
      <x:c r="A16" s="2" t="str">
        <x:v>Agriculture</x:v>
      </x:c>
      <x:c r="B16" s="2" t="n">
        <x:v>6</x:v>
      </x:c>
      <x:c r="C16" s="2" t="str">
        <x:v>CFA</x:v>
      </x:c>
      <x:c r="D16" s="2" t="n">
        <x:v>2027</x:v>
      </x:c>
      <x:c r="E16" s="10" t="n">
        <x:v>0.16785088749539434</x:v>
      </x:c>
      <x:c r="F16" s="10" t="n">
        <x:v>0.18504115501779683</x:v>
      </x:c>
      <x:c r="G16" s="10" t="n">
        <x:v>0.16785088749539434</x:v>
      </x:c>
      <x:c r="H16" s="11" t="n">
        <x:v>0</x:v>
      </x:c>
      <x:c r="I16" s="2" t="n">
        <x:v>80</x:v>
      </x:c>
      <x:c r="J16" s="2" t="n">
        <x:v>80</x:v>
      </x:c>
      <x:c r="K16" s="2" t="str">
        <x:v>未达到</x:v>
      </x:c>
      <x:c r="L16" s="10" t="n">
        <x:v>0.28960072571504203</x:v>
      </x:c>
      <x:c r="M16" s="10" t="n">
        <x:v>0.33229598339567795</x:v>
      </x:c>
      <x:c r="N16" s="10" t="n">
        <x:v>0.28960072571504203</x:v>
      </x:c>
      <x:c r="O16" s="2" t="n">
        <x:v>94</x:v>
      </x:c>
      <x:c r="P16" s="10" t="n">
        <x:v>1</x:v>
      </x:c>
      <x:c r="Q16" s="10" t="n">
        <x:v>1</x:v>
      </x:c>
    </x:row>
    <x:row r="17" ht="23" customHeight="1">
      <x:c r="A17" s="2" t="str">
        <x:v>Agriculture</x:v>
      </x:c>
      <x:c r="B17" s="2" t="n">
        <x:v>6</x:v>
      </x:c>
      <x:c r="C17" s="2" t="str">
        <x:v>CFA</x:v>
      </x:c>
      <x:c r="D17" s="2" t="n">
        <x:v>2028</x:v>
      </x:c>
      <x:c r="E17" s="10" t="n">
        <x:v>0.16785088749539434</x:v>
      </x:c>
      <x:c r="F17" s="10" t="n">
        <x:v>0.18847672068028276</x:v>
      </x:c>
      <x:c r="G17" s="10" t="n">
        <x:v>0.16785088749539434</x:v>
      </x:c>
      <x:c r="H17" s="11" t="n">
        <x:v>0</x:v>
      </x:c>
      <x:c r="I17" s="2" t="n">
        <x:v>80</x:v>
      </x:c>
      <x:c r="J17" s="2" t="n">
        <x:v>80</x:v>
      </x:c>
      <x:c r="K17" s="2" t="str">
        <x:v>未达到</x:v>
      </x:c>
      <x:c r="L17" s="10" t="n">
        <x:v>0.28960072571504203</x:v>
      </x:c>
      <x:c r="M17" s="10" t="n">
        <x:v>0.33439596789948484</x:v>
      </x:c>
      <x:c r="N17" s="10" t="n">
        <x:v>0.28960072571504203</x:v>
      </x:c>
      <x:c r="O17" s="2" t="n">
        <x:v>94</x:v>
      </x:c>
      <x:c r="P17" s="10" t="n">
        <x:v>1</x:v>
      </x:c>
      <x:c r="Q17" s="10" t="n">
        <x:v>1</x:v>
      </x:c>
    </x:row>
    <x:row r="18" ht="23" customHeight="1">
      <x:c r="A18" s="2" t="str">
        <x:v>Agriculture</x:v>
      </x:c>
      <x:c r="B18" s="2" t="n">
        <x:v>6</x:v>
      </x:c>
      <x:c r="C18" s="2" t="str">
        <x:v>Aurora</x:v>
      </x:c>
      <x:c r="D18" s="2" t="n">
        <x:v>2026</x:v>
      </x:c>
      <x:c r="E18" s="10" t="n">
        <x:v>0.9220825499208489</x:v>
      </x:c>
      <x:c r="F18" s="10" t="n">
        <x:v>0.6177162689386418</x:v>
      </x:c>
      <x:c r="G18" s="10" t="n">
        <x:v>0.6177162689386418</x:v>
      </x:c>
      <x:c r="H18" s="11" t="n">
        <x:v>1</x:v>
      </x:c>
      <x:c r="I18" s="2" t="n">
        <x:v>77</x:v>
      </x:c>
      <x:c r="J18" s="2" t="n">
        <x:v>80</x:v>
      </x:c>
      <x:c r="K18" s="2" t="str">
        <x:v>未达到</x:v>
      </x:c>
      <x:c r="L18" s="10" t="n">
        <x:v>0.6908093629576636</x:v>
      </x:c>
      <x:c r="M18" s="10" t="n">
        <x:v>0.5864551257579884</x:v>
      </x:c>
      <x:c r="N18" s="10" t="n">
        <x:v>0.5864551257579884</x:v>
      </x:c>
      <x:c r="O18" s="2" t="n">
        <x:v>94</x:v>
      </x:c>
      <x:c r="P18" s="10" t="n">
        <x:v>0.7900935643500985</x:v>
      </x:c>
      <x:c r="Q18" s="10" t="n">
        <x:v>0.8752935825355239</x:v>
      </x:c>
    </x:row>
    <x:row r="19" ht="23" customHeight="1">
      <x:c r="A19" s="2" t="str">
        <x:v>Agriculture</x:v>
      </x:c>
      <x:c r="B19" s="2" t="n">
        <x:v>6</x:v>
      </x:c>
      <x:c r="C19" s="2" t="str">
        <x:v>Aurora</x:v>
      </x:c>
      <x:c r="D19" s="2" t="n">
        <x:v>2027</x:v>
      </x:c>
      <x:c r="E19" s="10" t="n">
        <x:v>0.9220825499208489</x:v>
      </x:c>
      <x:c r="F19" s="10" t="n">
        <x:v>0.6166623965402174</x:v>
      </x:c>
      <x:c r="G19" s="10" t="n">
        <x:v>0.6166623965402174</x:v>
      </x:c>
      <x:c r="H19" s="11" t="n">
        <x:v>1</x:v>
      </x:c>
      <x:c r="I19" s="2" t="n">
        <x:v>80</x:v>
      </x:c>
      <x:c r="J19" s="2" t="n">
        <x:v>80</x:v>
      </x:c>
      <x:c r="K19" s="2" t="str">
        <x:v>未达到</x:v>
      </x:c>
      <x:c r="L19" s="10" t="n">
        <x:v>0.6908093629576636</x:v>
      </x:c>
      <x:c r="M19" s="10" t="n">
        <x:v>0.5869778758245157</x:v>
      </x:c>
      <x:c r="N19" s="10" t="n">
        <x:v>0.5869778758245157</x:v>
      </x:c>
      <x:c r="O19" s="2" t="n">
        <x:v>94</x:v>
      </x:c>
      <x:c r="P19" s="10" t="n">
        <x:v>0.7930582833740695</x:v>
      </x:c>
      <x:c r="Q19" s="10" t="n">
        <x:v>0.876617328370356</x:v>
      </x:c>
    </x:row>
    <x:row r="20" ht="23" customHeight="1">
      <x:c r="A20" s="2" t="str">
        <x:v>Agriculture</x:v>
      </x:c>
      <x:c r="B20" s="2" t="n">
        <x:v>6</x:v>
      </x:c>
      <x:c r="C20" s="2" t="str">
        <x:v>Aurora</x:v>
      </x:c>
      <x:c r="D20" s="2" t="n">
        <x:v>2028</x:v>
      </x:c>
      <x:c r="E20" s="10" t="n">
        <x:v>0.9220825499208489</x:v>
      </x:c>
      <x:c r="F20" s="10" t="n">
        <x:v>0.6137282768225522</x:v>
      </x:c>
      <x:c r="G20" s="10" t="n">
        <x:v>0.6137282768225522</x:v>
      </x:c>
      <x:c r="H20" s="11" t="n">
        <x:v>1</x:v>
      </x:c>
      <x:c r="I20" s="2" t="n">
        <x:v>80</x:v>
      </x:c>
      <x:c r="J20" s="2" t="n">
        <x:v>80</x:v>
      </x:c>
      <x:c r="K20" s="2" t="str">
        <x:v>未达到</x:v>
      </x:c>
      <x:c r="L20" s="10" t="n">
        <x:v>0.6908093629576636</x:v>
      </x:c>
      <x:c r="M20" s="10" t="n">
        <x:v>0.5838911970879169</x:v>
      </x:c>
      <x:c r="N20" s="10" t="n">
        <x:v>0.5838911970879169</x:v>
      </x:c>
      <x:c r="O20" s="2" t="n">
        <x:v>94</x:v>
      </x:c>
      <x:c r="P20" s="10" t="n">
        <x:v>0.7901310065557084</x:v>
      </x:c>
      <x:c r="Q20" s="10" t="n">
        <x:v>0.8751144227562151</x:v>
      </x:c>
    </x:row>
    <x:row r="21" ht="23" customHeight="1">
      <x:c r="A21" s="2" t="str">
        <x:v>Agriculture</x:v>
      </x:c>
      <x:c r="B21" s="2" t="n">
        <x:v>8</x:v>
      </x:c>
      <x:c r="C21" s="2" t="str">
        <x:v>TaTS</x:v>
      </x:c>
      <x:c r="D21" s="2" t="n">
        <x:v>2026</x:v>
      </x:c>
      <x:c r="E21" s="10" t="n">
        <x:v>0.4841925676786266</x:v>
      </x:c>
      <x:c r="F21" s="10" t="n">
        <x:v>0.44579931358205976</x:v>
      </x:c>
      <x:c r="G21" s="10" t="n">
        <x:v>0.44579931358205976</x:v>
      </x:c>
      <x:c r="H21" s="11" t="n">
        <x:v>1</x:v>
      </x:c>
      <x:c r="I21" s="2" t="n">
        <x:v>80</x:v>
      </x:c>
      <x:c r="J21" s="2" t="n">
        <x:v>80</x:v>
      </x:c>
      <x:c r="K21" s="2" t="str">
        <x:v>未达到</x:v>
      </x:c>
      <x:c r="L21" s="10" t="n">
        <x:v>0.572499158265798</x:v>
      </x:c>
      <x:c r="M21" s="10" t="n">
        <x:v>0.5357233825261178</x:v>
      </x:c>
      <x:c r="N21" s="10" t="n">
        <x:v>0.5357233825261178</x:v>
      </x:c>
      <x:c r="O21" s="2" t="n">
        <x:v>92</x:v>
      </x:c>
      <x:c r="P21" s="10" t="n">
        <x:v>0.7448615954076195</x:v>
      </x:c>
      <x:c r="Q21" s="10" t="n">
        <x:v>0.8551785744079305</x:v>
      </x:c>
    </x:row>
    <x:row r="22" ht="23" customHeight="1">
      <x:c r="A22" s="2" t="str">
        <x:v>Agriculture</x:v>
      </x:c>
      <x:c r="B22" s="2" t="n">
        <x:v>8</x:v>
      </x:c>
      <x:c r="C22" s="2" t="str">
        <x:v>TaTS</x:v>
      </x:c>
      <x:c r="D22" s="2" t="n">
        <x:v>2027</x:v>
      </x:c>
      <x:c r="E22" s="10" t="n">
        <x:v>0.4841925676786266</x:v>
      </x:c>
      <x:c r="F22" s="10" t="n">
        <x:v>0.4424099011914193</x:v>
      </x:c>
      <x:c r="G22" s="10" t="n">
        <x:v>0.4424099011914193</x:v>
      </x:c>
      <x:c r="H22" s="11" t="n">
        <x:v>1</x:v>
      </x:c>
      <x:c r="I22" s="2" t="n">
        <x:v>80</x:v>
      </x:c>
      <x:c r="J22" s="2" t="n">
        <x:v>80</x:v>
      </x:c>
      <x:c r="K22" s="2" t="str">
        <x:v>未达到</x:v>
      </x:c>
      <x:c r="L22" s="10" t="n">
        <x:v>0.572499158265798</x:v>
      </x:c>
      <x:c r="M22" s="10" t="n">
        <x:v>0.535071072695048</x:v>
      </x:c>
      <x:c r="N22" s="10" t="n">
        <x:v>0.535071072695048</x:v>
      </x:c>
      <x:c r="O22" s="2" t="n">
        <x:v>92</x:v>
      </x:c>
      <x:c r="P22" s="10" t="n">
        <x:v>0.7443169347240378</x:v>
      </x:c>
      <x:c r="Q22" s="10" t="n">
        <x:v>0.8548475729682108</x:v>
      </x:c>
    </x:row>
    <x:row r="23" ht="23" customHeight="1">
      <x:c r="A23" s="2" t="str">
        <x:v>Agriculture</x:v>
      </x:c>
      <x:c r="B23" s="2" t="n">
        <x:v>8</x:v>
      </x:c>
      <x:c r="C23" s="2" t="str">
        <x:v>TaTS</x:v>
      </x:c>
      <x:c r="D23" s="2" t="n">
        <x:v>2028</x:v>
      </x:c>
      <x:c r="E23" s="10" t="n">
        <x:v>0.4841925676786266</x:v>
      </x:c>
      <x:c r="F23" s="10" t="n">
        <x:v>0.44806076397118916</x:v>
      </x:c>
      <x:c r="G23" s="10" t="n">
        <x:v>0.44806076397118916</x:v>
      </x:c>
      <x:c r="H23" s="11" t="n">
        <x:v>1</x:v>
      </x:c>
      <x:c r="I23" s="2" t="n">
        <x:v>77</x:v>
      </x:c>
      <x:c r="J23" s="2" t="n">
        <x:v>80</x:v>
      </x:c>
      <x:c r="K23" s="2" t="str">
        <x:v>未达到</x:v>
      </x:c>
      <x:c r="L23" s="10" t="n">
        <x:v>0.572499158265798</x:v>
      </x:c>
      <x:c r="M23" s="10" t="n">
        <x:v>0.5369092676302661</x:v>
      </x:c>
      <x:c r="N23" s="10" t="n">
        <x:v>0.5369092676302661</x:v>
      </x:c>
      <x:c r="O23" s="2" t="n">
        <x:v>92</x:v>
      </x:c>
      <x:c r="P23" s="10" t="n">
        <x:v>0.7469887189682769</x:v>
      </x:c>
      <x:c r="Q23" s="10" t="n">
        <x:v>0.8564063808696823</x:v>
      </x:c>
    </x:row>
    <x:row r="24" ht="23" customHeight="1">
      <x:c r="A24" s="2" t="str">
        <x:v>Agriculture</x:v>
      </x:c>
      <x:c r="B24" s="2" t="n">
        <x:v>8</x:v>
      </x:c>
      <x:c r="C24" s="2" t="str">
        <x:v>MM-TSFlib</x:v>
      </x:c>
      <x:c r="D24" s="2" t="n">
        <x:v>2026</x:v>
      </x:c>
      <x:c r="E24" s="10" t="n">
        <x:v>3.1082829187258283</x:v>
      </x:c>
      <x:c r="F24" s="10" t="n">
        <x:v>2.4384452841102524</x:v>
      </x:c>
      <x:c r="G24" s="10" t="n">
        <x:v>2.4384452841102524</x:v>
      </x:c>
      <x:c r="H24" s="11" t="n">
        <x:v>1</x:v>
      </x:c>
      <x:c r="I24" s="2" t="n">
        <x:v>80</x:v>
      </x:c>
      <x:c r="J24" s="2" t="n">
        <x:v>80</x:v>
      </x:c>
      <x:c r="K24" s="2" t="str">
        <x:v>未达到</x:v>
      </x:c>
      <x:c r="L24" s="10" t="n">
        <x:v>1.2896458072506862</x:v>
      </x:c>
      <x:c r="M24" s="10" t="n">
        <x:v>1.1266669190448264</x:v>
      </x:c>
      <x:c r="N24" s="10" t="n">
        <x:v>1.1266669190448264</x:v>
      </x:c>
      <x:c r="O24" s="2" t="n">
        <x:v>92</x:v>
      </x:c>
      <x:c r="P24" s="10" t="n">
        <x:v>0.8045109716423234</x:v>
      </x:c>
      <x:c r="Q24" s="10" t="n">
        <x:v>0.8916699969142222</x:v>
      </x:c>
    </x:row>
    <x:row r="25" ht="23" customHeight="1">
      <x:c r="A25" s="2" t="str">
        <x:v>Agriculture</x:v>
      </x:c>
      <x:c r="B25" s="2" t="n">
        <x:v>8</x:v>
      </x:c>
      <x:c r="C25" s="2" t="str">
        <x:v>MM-TSFlib</x:v>
      </x:c>
      <x:c r="D25" s="2" t="n">
        <x:v>2027</x:v>
      </x:c>
      <x:c r="E25" s="10" t="n">
        <x:v>3.1082829187258283</x:v>
      </x:c>
      <x:c r="F25" s="10" t="n">
        <x:v>2.4373246162044926</x:v>
      </x:c>
      <x:c r="G25" s="10" t="n">
        <x:v>2.4373246162044926</x:v>
      </x:c>
      <x:c r="H25" s="11" t="n">
        <x:v>1</x:v>
      </x:c>
      <x:c r="I25" s="2" t="n">
        <x:v>80</x:v>
      </x:c>
      <x:c r="J25" s="2" t="n">
        <x:v>80</x:v>
      </x:c>
      <x:c r="K25" s="2" t="str">
        <x:v>未达到</x:v>
      </x:c>
      <x:c r="L25" s="10" t="n">
        <x:v>1.2896458072506862</x:v>
      </x:c>
      <x:c r="M25" s="10" t="n">
        <x:v>1.126332592866991</x:v>
      </x:c>
      <x:c r="N25" s="10" t="n">
        <x:v>1.126332592866991</x:v>
      </x:c>
      <x:c r="O25" s="2" t="n">
        <x:v>92</x:v>
      </x:c>
      <x:c r="P25" s="10" t="n">
        <x:v>0.8040046823909349</x:v>
      </x:c>
      <x:c r="Q25" s="10" t="n">
        <x:v>0.8913871316577187</x:v>
      </x:c>
    </x:row>
    <x:row r="26" ht="23" customHeight="1">
      <x:c r="A26" s="2" t="str">
        <x:v>Agriculture</x:v>
      </x:c>
      <x:c r="B26" s="2" t="n">
        <x:v>8</x:v>
      </x:c>
      <x:c r="C26" s="2" t="str">
        <x:v>MM-TSFlib</x:v>
      </x:c>
      <x:c r="D26" s="2" t="n">
        <x:v>2028</x:v>
      </x:c>
      <x:c r="E26" s="10" t="n">
        <x:v>3.1082829187258283</x:v>
      </x:c>
      <x:c r="F26" s="10" t="n">
        <x:v>2.4394586957531708</x:v>
      </x:c>
      <x:c r="G26" s="10" t="n">
        <x:v>2.4394586957531708</x:v>
      </x:c>
      <x:c r="H26" s="11" t="n">
        <x:v>1</x:v>
      </x:c>
      <x:c r="I26" s="2" t="n">
        <x:v>77</x:v>
      </x:c>
      <x:c r="J26" s="2" t="n">
        <x:v>80</x:v>
      </x:c>
      <x:c r="K26" s="2" t="str">
        <x:v>未达到</x:v>
      </x:c>
      <x:c r="L26" s="10" t="n">
        <x:v>1.2896458072506862</x:v>
      </x:c>
      <x:c r="M26" s="10" t="n">
        <x:v>1.1272061548155288</x:v>
      </x:c>
      <x:c r="N26" s="10" t="n">
        <x:v>1.1272061548155288</x:v>
      </x:c>
      <x:c r="O26" s="2" t="n">
        <x:v>92</x:v>
      </x:c>
      <x:c r="P26" s="10" t="n">
        <x:v>0.8062303220385435</x:v>
      </x:c>
      <x:c r="Q26" s="10" t="n">
        <x:v>0.8926927146004832</x:v>
      </x:c>
    </x:row>
    <x:row r="27" ht="23" customHeight="1">
      <x:c r="A27" s="2" t="str">
        <x:v>Agriculture</x:v>
      </x:c>
      <x:c r="B27" s="2" t="n">
        <x:v>8</x:v>
      </x:c>
      <x:c r="C27" s="2" t="str">
        <x:v>SpecTF</x:v>
      </x:c>
      <x:c r="D27" s="2" t="n">
        <x:v>2026</x:v>
      </x:c>
      <x:c r="E27" s="10" t="n">
        <x:v>0.285905947009229</x:v>
      </x:c>
      <x:c r="F27" s="10" t="n">
        <x:v>0.25396352712365244</x:v>
      </x:c>
      <x:c r="G27" s="10" t="n">
        <x:v>0.285905947009229</x:v>
      </x:c>
      <x:c r="H27" s="11" t="n">
        <x:v>0</x:v>
      </x:c>
      <x:c r="I27" s="2" t="n">
        <x:v>80</x:v>
      </x:c>
      <x:c r="J27" s="2" t="n">
        <x:v>80</x:v>
      </x:c>
      <x:c r="K27" s="2" t="str">
        <x:v>未达到</x:v>
      </x:c>
      <x:c r="L27" s="10" t="n">
        <x:v>0.37219004835123604</x:v>
      </x:c>
      <x:c r="M27" s="10" t="n">
        <x:v>0.39542961930451187</x:v>
      </x:c>
      <x:c r="N27" s="10" t="n">
        <x:v>0.37219004835123604</x:v>
      </x:c>
      <x:c r="O27" s="2" t="n">
        <x:v>92</x:v>
      </x:c>
      <x:c r="P27" s="10" t="n">
        <x:v>1</x:v>
      </x:c>
      <x:c r="Q27" s="10" t="n">
        <x:v>1</x:v>
      </x:c>
    </x:row>
    <x:row r="28" ht="23" customHeight="1">
      <x:c r="A28" s="2" t="str">
        <x:v>Agriculture</x:v>
      </x:c>
      <x:c r="B28" s="2" t="n">
        <x:v>8</x:v>
      </x:c>
      <x:c r="C28" s="2" t="str">
        <x:v>SpecTF</x:v>
      </x:c>
      <x:c r="D28" s="2" t="n">
        <x:v>2027</x:v>
      </x:c>
      <x:c r="E28" s="10" t="n">
        <x:v>0.285905947009229</x:v>
      </x:c>
      <x:c r="F28" s="10" t="n">
        <x:v>0.2546876913752422</x:v>
      </x:c>
      <x:c r="G28" s="10" t="n">
        <x:v>0.285905947009229</x:v>
      </x:c>
      <x:c r="H28" s="11" t="n">
        <x:v>0</x:v>
      </x:c>
      <x:c r="I28" s="2" t="n">
        <x:v>80</x:v>
      </x:c>
      <x:c r="J28" s="2" t="n">
        <x:v>80</x:v>
      </x:c>
      <x:c r="K28" s="2" t="str">
        <x:v>未达到</x:v>
      </x:c>
      <x:c r="L28" s="10" t="n">
        <x:v>0.37219004835123604</x:v>
      </x:c>
      <x:c r="M28" s="10" t="n">
        <x:v>0.3955501301780991</x:v>
      </x:c>
      <x:c r="N28" s="10" t="n">
        <x:v>0.37219004835123604</x:v>
      </x:c>
      <x:c r="O28" s="2" t="n">
        <x:v>92</x:v>
      </x:c>
      <x:c r="P28" s="10" t="n">
        <x:v>1</x:v>
      </x:c>
      <x:c r="Q28" s="10" t="n">
        <x:v>1</x:v>
      </x:c>
    </x:row>
    <x:row r="29" ht="23" customHeight="1">
      <x:c r="A29" s="2" t="str">
        <x:v>Agriculture</x:v>
      </x:c>
      <x:c r="B29" s="2" t="n">
        <x:v>8</x:v>
      </x:c>
      <x:c r="C29" s="2" t="str">
        <x:v>SpecTF</x:v>
      </x:c>
      <x:c r="D29" s="2" t="n">
        <x:v>2028</x:v>
      </x:c>
      <x:c r="E29" s="10" t="n">
        <x:v>0.285905947009229</x:v>
      </x:c>
      <x:c r="F29" s="10" t="n">
        <x:v>0.2521863451135647</x:v>
      </x:c>
      <x:c r="G29" s="10" t="n">
        <x:v>0.285905947009229</x:v>
      </x:c>
      <x:c r="H29" s="11" t="n">
        <x:v>0</x:v>
      </x:c>
      <x:c r="I29" s="2" t="n">
        <x:v>77</x:v>
      </x:c>
      <x:c r="J29" s="2" t="n">
        <x:v>80</x:v>
      </x:c>
      <x:c r="K29" s="2" t="str">
        <x:v>未达到</x:v>
      </x:c>
      <x:c r="L29" s="10" t="n">
        <x:v>0.37219004835123604</x:v>
      </x:c>
      <x:c r="M29" s="10" t="n">
        <x:v>0.3940605971476306</x:v>
      </x:c>
      <x:c r="N29" s="10" t="n">
        <x:v>0.37219004835123604</x:v>
      </x:c>
      <x:c r="O29" s="2" t="n">
        <x:v>92</x:v>
      </x:c>
      <x:c r="P29" s="10" t="n">
        <x:v>1</x:v>
      </x:c>
      <x:c r="Q29" s="10" t="n">
        <x:v>1</x:v>
      </x:c>
    </x:row>
    <x:row r="30" ht="23" customHeight="1">
      <x:c r="A30" s="2" t="str">
        <x:v>Agriculture</x:v>
      </x:c>
      <x:c r="B30" s="2" t="n">
        <x:v>8</x:v>
      </x:c>
      <x:c r="C30" s="2" t="str">
        <x:v>CFA</x:v>
      </x:c>
      <x:c r="D30" s="2" t="n">
        <x:v>2026</x:v>
      </x:c>
      <x:c r="E30" s="10" t="n">
        <x:v>0.2135153200313922</x:v>
      </x:c>
      <x:c r="F30" s="10" t="n">
        <x:v>0.21826440394995658</x:v>
      </x:c>
      <x:c r="G30" s="10" t="n">
        <x:v>0.2135153200313922</x:v>
      </x:c>
      <x:c r="H30" s="11" t="n">
        <x:v>0</x:v>
      </x:c>
      <x:c r="I30" s="2" t="n">
        <x:v>80</x:v>
      </x:c>
      <x:c r="J30" s="2" t="n">
        <x:v>80</x:v>
      </x:c>
      <x:c r="K30" s="2" t="str">
        <x:v>未达到</x:v>
      </x:c>
      <x:c r="L30" s="10" t="n">
        <x:v>0.3195646000297173</x:v>
      </x:c>
      <x:c r="M30" s="10" t="n">
        <x:v>0.35861474745299504</x:v>
      </x:c>
      <x:c r="N30" s="10" t="n">
        <x:v>0.3195646000297173</x:v>
      </x:c>
      <x:c r="O30" s="2" t="n">
        <x:v>92</x:v>
      </x:c>
      <x:c r="P30" s="10" t="n">
        <x:v>1</x:v>
      </x:c>
      <x:c r="Q30" s="10" t="n">
        <x:v>1</x:v>
      </x:c>
    </x:row>
    <x:row r="31" ht="23" customHeight="1">
      <x:c r="A31" s="2" t="str">
        <x:v>Agriculture</x:v>
      </x:c>
      <x:c r="B31" s="2" t="n">
        <x:v>8</x:v>
      </x:c>
      <x:c r="C31" s="2" t="str">
        <x:v>CFA</x:v>
      </x:c>
      <x:c r="D31" s="2" t="n">
        <x:v>2027</x:v>
      </x:c>
      <x:c r="E31" s="10" t="n">
        <x:v>0.2135153200313922</x:v>
      </x:c>
      <x:c r="F31" s="10" t="n">
        <x:v>0.21955448053621165</x:v>
      </x:c>
      <x:c r="G31" s="10" t="n">
        <x:v>0.2135153200313922</x:v>
      </x:c>
      <x:c r="H31" s="11" t="n">
        <x:v>0</x:v>
      </x:c>
      <x:c r="I31" s="2" t="n">
        <x:v>80</x:v>
      </x:c>
      <x:c r="J31" s="2" t="n">
        <x:v>80</x:v>
      </x:c>
      <x:c r="K31" s="2" t="str">
        <x:v>未达到</x:v>
      </x:c>
      <x:c r="L31" s="10" t="n">
        <x:v>0.3195646000297173</x:v>
      </x:c>
      <x:c r="M31" s="10" t="n">
        <x:v>0.3604509504916875</x:v>
      </x:c>
      <x:c r="N31" s="10" t="n">
        <x:v>0.3195646000297173</x:v>
      </x:c>
      <x:c r="O31" s="2" t="n">
        <x:v>92</x:v>
      </x:c>
      <x:c r="P31" s="10" t="n">
        <x:v>1</x:v>
      </x:c>
      <x:c r="Q31" s="10" t="n">
        <x:v>1</x:v>
      </x:c>
    </x:row>
    <x:row r="32" ht="23" customHeight="1">
      <x:c r="A32" s="2" t="str">
        <x:v>Agriculture</x:v>
      </x:c>
      <x:c r="B32" s="2" t="n">
        <x:v>8</x:v>
      </x:c>
      <x:c r="C32" s="2" t="str">
        <x:v>CFA</x:v>
      </x:c>
      <x:c r="D32" s="2" t="n">
        <x:v>2028</x:v>
      </x:c>
      <x:c r="E32" s="10" t="n">
        <x:v>0.2135153200313922</x:v>
      </x:c>
      <x:c r="F32" s="10" t="n">
        <x:v>0.2186735162176013</x:v>
      </x:c>
      <x:c r="G32" s="10" t="n">
        <x:v>0.2135153200313922</x:v>
      </x:c>
      <x:c r="H32" s="11" t="n">
        <x:v>0</x:v>
      </x:c>
      <x:c r="I32" s="2" t="n">
        <x:v>77</x:v>
      </x:c>
      <x:c r="J32" s="2" t="n">
        <x:v>80</x:v>
      </x:c>
      <x:c r="K32" s="2" t="str">
        <x:v>未达到</x:v>
      </x:c>
      <x:c r="L32" s="10" t="n">
        <x:v>0.3195646000297173</x:v>
      </x:c>
      <x:c r="M32" s="10" t="n">
        <x:v>0.35884036609660025</x:v>
      </x:c>
      <x:c r="N32" s="10" t="n">
        <x:v>0.3195646000297173</x:v>
      </x:c>
      <x:c r="O32" s="2" t="n">
        <x:v>92</x:v>
      </x:c>
      <x:c r="P32" s="10" t="n">
        <x:v>1</x:v>
      </x:c>
      <x:c r="Q32" s="10" t="n">
        <x:v>1</x:v>
      </x:c>
    </x:row>
    <x:row r="33" ht="23" customHeight="1">
      <x:c r="A33" s="2" t="str">
        <x:v>Agriculture</x:v>
      </x:c>
      <x:c r="B33" s="2" t="n">
        <x:v>8</x:v>
      </x:c>
      <x:c r="C33" s="2" t="str">
        <x:v>Aurora</x:v>
      </x:c>
      <x:c r="D33" s="2" t="n">
        <x:v>2026</x:v>
      </x:c>
      <x:c r="E33" s="10" t="n">
        <x:v>1.000703602706396</x:v>
      </x:c>
      <x:c r="F33" s="10" t="n">
        <x:v>0.6862951240881047</x:v>
      </x:c>
      <x:c r="G33" s="10" t="n">
        <x:v>0.6862951240881047</x:v>
      </x:c>
      <x:c r="H33" s="11" t="n">
        <x:v>1</x:v>
      </x:c>
      <x:c r="I33" s="2" t="n">
        <x:v>80</x:v>
      </x:c>
      <x:c r="J33" s="2" t="n">
        <x:v>80</x:v>
      </x:c>
      <x:c r="K33" s="2" t="str">
        <x:v>未达到</x:v>
      </x:c>
      <x:c r="L33" s="10" t="n">
        <x:v>0.7222759692889192</x:v>
      </x:c>
      <x:c r="M33" s="10" t="n">
        <x:v>0.6196607278416986</x:v>
      </x:c>
      <x:c r="N33" s="10" t="n">
        <x:v>0.6196607278416986</x:v>
      </x:c>
      <x:c r="O33" s="2" t="n">
        <x:v>92</x:v>
      </x:c>
      <x:c r="P33" s="10" t="n">
        <x:v>0.7344070595442669</x:v>
      </x:c>
      <x:c r="Q33" s="10" t="n">
        <x:v>0.838938391710949</x:v>
      </x:c>
    </x:row>
    <x:row r="34" ht="23" customHeight="1">
      <x:c r="A34" s="2" t="str">
        <x:v>Agriculture</x:v>
      </x:c>
      <x:c r="B34" s="2" t="n">
        <x:v>8</x:v>
      </x:c>
      <x:c r="C34" s="2" t="str">
        <x:v>Aurora</x:v>
      </x:c>
      <x:c r="D34" s="2" t="n">
        <x:v>2027</x:v>
      </x:c>
      <x:c r="E34" s="10" t="n">
        <x:v>1.000703602706396</x:v>
      </x:c>
      <x:c r="F34" s="10" t="n">
        <x:v>0.6853718279029927</x:v>
      </x:c>
      <x:c r="G34" s="10" t="n">
        <x:v>0.6853718279029927</x:v>
      </x:c>
      <x:c r="H34" s="11" t="n">
        <x:v>1</x:v>
      </x:c>
      <x:c r="I34" s="2" t="n">
        <x:v>80</x:v>
      </x:c>
      <x:c r="J34" s="2" t="n">
        <x:v>80</x:v>
      </x:c>
      <x:c r="K34" s="2" t="str">
        <x:v>未达到</x:v>
      </x:c>
      <x:c r="L34" s="10" t="n">
        <x:v>0.7222759692889192</x:v>
      </x:c>
      <x:c r="M34" s="10" t="n">
        <x:v>0.6197420957943668</x:v>
      </x:c>
      <x:c r="N34" s="10" t="n">
        <x:v>0.6197420957943668</x:v>
      </x:c>
      <x:c r="O34" s="2" t="n">
        <x:v>92</x:v>
      </x:c>
      <x:c r="P34" s="10" t="n">
        <x:v>0.7340351805751638</x:v>
      </x:c>
      <x:c r="Q34" s="10" t="n">
        <x:v>0.838580681827666</x:v>
      </x:c>
    </x:row>
    <x:row r="35" ht="23" customHeight="1">
      <x:c r="A35" s="2" t="str">
        <x:v>Agriculture</x:v>
      </x:c>
      <x:c r="B35" s="2" t="n">
        <x:v>8</x:v>
      </x:c>
      <x:c r="C35" s="2" t="str">
        <x:v>Aurora</x:v>
      </x:c>
      <x:c r="D35" s="2" t="n">
        <x:v>2028</x:v>
      </x:c>
      <x:c r="E35" s="10" t="n">
        <x:v>1.000703602706396</x:v>
      </x:c>
      <x:c r="F35" s="10" t="n">
        <x:v>0.6842888160968419</x:v>
      </x:c>
      <x:c r="G35" s="10" t="n">
        <x:v>0.6842888160968419</x:v>
      </x:c>
      <x:c r="H35" s="11" t="n">
        <x:v>1</x:v>
      </x:c>
      <x:c r="I35" s="2" t="n">
        <x:v>77</x:v>
      </x:c>
      <x:c r="J35" s="2" t="n">
        <x:v>80</x:v>
      </x:c>
      <x:c r="K35" s="2" t="str">
        <x:v>未达到</x:v>
      </x:c>
      <x:c r="L35" s="10" t="n">
        <x:v>0.7222759692889192</x:v>
      </x:c>
      <x:c r="M35" s="10" t="n">
        <x:v>0.6182901127182919</x:v>
      </x:c>
      <x:c r="N35" s="10" t="n">
        <x:v>0.6182901127182919</x:v>
      </x:c>
      <x:c r="O35" s="2" t="n">
        <x:v>92</x:v>
      </x:c>
      <x:c r="P35" s="10" t="n">
        <x:v>0.7345778145972474</x:v>
      </x:c>
      <x:c r="Q35" s="10" t="n">
        <x:v>0.8390524535949992</x:v>
      </x:c>
    </x:row>
    <x:row r="36" ht="23" customHeight="1">
      <x:c r="A36" s="2" t="str">
        <x:v>Agriculture</x:v>
      </x:c>
      <x:c r="B36" s="2" t="n">
        <x:v>10</x:v>
      </x:c>
      <x:c r="C36" s="2" t="str">
        <x:v>TaTS</x:v>
      </x:c>
      <x:c r="D36" s="2" t="n">
        <x:v>2026</x:v>
      </x:c>
      <x:c r="E36" s="10" t="n">
        <x:v>0.6602757535858196</x:v>
      </x:c>
      <x:c r="F36" s="10" t="n">
        <x:v>0.5664340414487636</x:v>
      </x:c>
      <x:c r="G36" s="10" t="n">
        <x:v>0.5664340414487636</x:v>
      </x:c>
      <x:c r="H36" s="11" t="n">
        <x:v>1</x:v>
      </x:c>
      <x:c r="I36" s="2" t="n">
        <x:v>80</x:v>
      </x:c>
      <x:c r="J36" s="2" t="n">
        <x:v>80</x:v>
      </x:c>
      <x:c r="K36" s="2" t="str">
        <x:v>未达到</x:v>
      </x:c>
      <x:c r="L36" s="10" t="n">
        <x:v>0.6446413748794132</x:v>
      </x:c>
      <x:c r="M36" s="10" t="n">
        <x:v>0.5845508065488604</x:v>
      </x:c>
      <x:c r="N36" s="10" t="n">
        <x:v>0.5845508065488604</x:v>
      </x:c>
      <x:c r="O36" s="2" t="n">
        <x:v>90</x:v>
      </x:c>
      <x:c r="P36" s="10" t="n">
        <x:v>0.7463448128195842</x:v>
      </x:c>
      <x:c r="Q36" s="10" t="n">
        <x:v>0.8539591930218852</x:v>
      </x:c>
    </x:row>
    <x:row r="37" ht="23" customHeight="1">
      <x:c r="A37" s="2" t="str">
        <x:v>Agriculture</x:v>
      </x:c>
      <x:c r="B37" s="2" t="n">
        <x:v>10</x:v>
      </x:c>
      <x:c r="C37" s="2" t="str">
        <x:v>TaTS</x:v>
      </x:c>
      <x:c r="D37" s="2" t="n">
        <x:v>2027</x:v>
      </x:c>
      <x:c r="E37" s="10" t="n">
        <x:v>0.6602757535858196</x:v>
      </x:c>
      <x:c r="F37" s="10" t="n">
        <x:v>0.5718747646300842</x:v>
      </x:c>
      <x:c r="G37" s="10" t="n">
        <x:v>0.5718747646300842</x:v>
      </x:c>
      <x:c r="H37" s="11" t="n">
        <x:v>1</x:v>
      </x:c>
      <x:c r="I37" s="2" t="n">
        <x:v>80</x:v>
      </x:c>
      <x:c r="J37" s="2" t="n">
        <x:v>80</x:v>
      </x:c>
      <x:c r="K37" s="2" t="str">
        <x:v>未达到</x:v>
      </x:c>
      <x:c r="L37" s="10" t="n">
        <x:v>0.6446413748794132</x:v>
      </x:c>
      <x:c r="M37" s="10" t="n">
        <x:v>0.5916355232397715</x:v>
      </x:c>
      <x:c r="N37" s="10" t="n">
        <x:v>0.5916355232397715</x:v>
      </x:c>
      <x:c r="O37" s="2" t="n">
        <x:v>90</x:v>
      </x:c>
      <x:c r="P37" s="10" t="n">
        <x:v>0.7453079128844</x:v>
      </x:c>
      <x:c r="Q37" s="10" t="n">
        <x:v>0.8533130157983629</x:v>
      </x:c>
    </x:row>
    <x:row r="38" ht="23" customHeight="1">
      <x:c r="A38" s="2" t="str">
        <x:v>Agriculture</x:v>
      </x:c>
      <x:c r="B38" s="2" t="n">
        <x:v>10</x:v>
      </x:c>
      <x:c r="C38" s="2" t="str">
        <x:v>TaTS</x:v>
      </x:c>
      <x:c r="D38" s="2" t="n">
        <x:v>2028</x:v>
      </x:c>
      <x:c r="E38" s="10" t="n">
        <x:v>0.6602757535858196</x:v>
      </x:c>
      <x:c r="F38" s="10" t="n">
        <x:v>0.5677359845948073</x:v>
      </x:c>
      <x:c r="G38" s="10" t="n">
        <x:v>0.5677359845948073</x:v>
      </x:c>
      <x:c r="H38" s="11" t="n">
        <x:v>1</x:v>
      </x:c>
      <x:c r="I38" s="2" t="n">
        <x:v>80</x:v>
      </x:c>
      <x:c r="J38" s="2" t="n">
        <x:v>80</x:v>
      </x:c>
      <x:c r="K38" s="2" t="str">
        <x:v>未达到</x:v>
      </x:c>
      <x:c r="L38" s="10" t="n">
        <x:v>0.6446413748794132</x:v>
      </x:c>
      <x:c r="M38" s="10" t="n">
        <x:v>0.5861461655298869</x:v>
      </x:c>
      <x:c r="N38" s="10" t="n">
        <x:v>0.5861461655298869</x:v>
      </x:c>
      <x:c r="O38" s="2" t="n">
        <x:v>90</x:v>
      </x:c>
      <x:c r="P38" s="10" t="n">
        <x:v>0.7477961360527179</x:v>
      </x:c>
      <x:c r="Q38" s="10" t="n">
        <x:v>0.8548568197108393</x:v>
      </x:c>
    </x:row>
    <x:row r="39" ht="23" customHeight="1">
      <x:c r="A39" s="2" t="str">
        <x:v>Agriculture</x:v>
      </x:c>
      <x:c r="B39" s="2" t="n">
        <x:v>10</x:v>
      </x:c>
      <x:c r="C39" s="2" t="str">
        <x:v>MM-TSFlib</x:v>
      </x:c>
      <x:c r="D39" s="2" t="n">
        <x:v>2026</x:v>
      </x:c>
      <x:c r="E39" s="10" t="n">
        <x:v>3.1341403583348333</x:v>
      </x:c>
      <x:c r="F39" s="10" t="n">
        <x:v>2.4707955871231677</x:v>
      </x:c>
      <x:c r="G39" s="10" t="n">
        <x:v>2.4707955871231677</x:v>
      </x:c>
      <x:c r="H39" s="11" t="n">
        <x:v>1</x:v>
      </x:c>
      <x:c r="I39" s="2" t="n">
        <x:v>80</x:v>
      </x:c>
      <x:c r="J39" s="2" t="n">
        <x:v>80</x:v>
      </x:c>
      <x:c r="K39" s="2" t="str">
        <x:v>未达到</x:v>
      </x:c>
      <x:c r="L39" s="10" t="n">
        <x:v>1.297273069355223</x:v>
      </x:c>
      <x:c r="M39" s="10" t="n">
        <x:v>1.1363136230574713</x:v>
      </x:c>
      <x:c r="N39" s="10" t="n">
        <x:v>1.1363136230574713</x:v>
      </x:c>
      <x:c r="O39" s="2" t="n">
        <x:v>90</x:v>
      </x:c>
      <x:c r="P39" s="10" t="n">
        <x:v>0.7895471491166511</x:v>
      </x:c>
      <x:c r="Q39" s="10" t="n">
        <x:v>0.884884418741333</x:v>
      </x:c>
    </x:row>
    <x:row r="40" ht="23" customHeight="1">
      <x:c r="A40" s="2" t="str">
        <x:v>Agriculture</x:v>
      </x:c>
      <x:c r="B40" s="2" t="n">
        <x:v>10</x:v>
      </x:c>
      <x:c r="C40" s="2" t="str">
        <x:v>MM-TSFlib</x:v>
      </x:c>
      <x:c r="D40" s="2" t="n">
        <x:v>2027</x:v>
      </x:c>
      <x:c r="E40" s="10" t="n">
        <x:v>3.1341403583348333</x:v>
      </x:c>
      <x:c r="F40" s="10" t="n">
        <x:v>2.4699688764767203</x:v>
      </x:c>
      <x:c r="G40" s="10" t="n">
        <x:v>2.4699688764767203</x:v>
      </x:c>
      <x:c r="H40" s="11" t="n">
        <x:v>1</x:v>
      </x:c>
      <x:c r="I40" s="2" t="n">
        <x:v>80</x:v>
      </x:c>
      <x:c r="J40" s="2" t="n">
        <x:v>80</x:v>
      </x:c>
      <x:c r="K40" s="2" t="str">
        <x:v>未达到</x:v>
      </x:c>
      <x:c r="L40" s="10" t="n">
        <x:v>1.297273069355223</x:v>
      </x:c>
      <x:c r="M40" s="10" t="n">
        <x:v>1.1360042499171363</x:v>
      </x:c>
      <x:c r="N40" s="10" t="n">
        <x:v>1.1360042499171363</x:v>
      </x:c>
      <x:c r="O40" s="2" t="n">
        <x:v>90</x:v>
      </x:c>
      <x:c r="P40" s="10" t="n">
        <x:v>0.788732095787815</x:v>
      </x:c>
      <x:c r="Q40" s="10" t="n">
        <x:v>0.8842909755601261</x:v>
      </x:c>
    </x:row>
    <x:row r="41" ht="23" customHeight="1">
      <x:c r="A41" s="2" t="str">
        <x:v>Agriculture</x:v>
      </x:c>
      <x:c r="B41" s="2" t="n">
        <x:v>10</x:v>
      </x:c>
      <x:c r="C41" s="2" t="str">
        <x:v>MM-TSFlib</x:v>
      </x:c>
      <x:c r="D41" s="2" t="n">
        <x:v>2028</x:v>
      </x:c>
      <x:c r="E41" s="10" t="n">
        <x:v>3.1341403583348333</x:v>
      </x:c>
      <x:c r="F41" s="10" t="n">
        <x:v>2.4730623765849145</x:v>
      </x:c>
      <x:c r="G41" s="10" t="n">
        <x:v>2.4730623765849145</x:v>
      </x:c>
      <x:c r="H41" s="11" t="n">
        <x:v>1</x:v>
      </x:c>
      <x:c r="I41" s="2" t="n">
        <x:v>80</x:v>
      </x:c>
      <x:c r="J41" s="2" t="n">
        <x:v>80</x:v>
      </x:c>
      <x:c r="K41" s="2" t="str">
        <x:v>未达到</x:v>
      </x:c>
      <x:c r="L41" s="10" t="n">
        <x:v>1.297273069355223</x:v>
      </x:c>
      <x:c r="M41" s="10" t="n">
        <x:v>1.1370359766483307</x:v>
      </x:c>
      <x:c r="N41" s="10" t="n">
        <x:v>1.1370359766483307</x:v>
      </x:c>
      <x:c r="O41" s="2" t="n">
        <x:v>90</x:v>
      </x:c>
      <x:c r="P41" s="10" t="n">
        <x:v>0.7913116516578389</x:v>
      </x:c>
      <x:c r="Q41" s="10" t="n">
        <x:v>0.8858972437639979</x:v>
      </x:c>
    </x:row>
    <x:row r="42" ht="23" customHeight="1">
      <x:c r="A42" s="2" t="str">
        <x:v>Agriculture</x:v>
      </x:c>
      <x:c r="B42" s="2" t="n">
        <x:v>10</x:v>
      </x:c>
      <x:c r="C42" s="2" t="str">
        <x:v>SpecTF</x:v>
      </x:c>
      <x:c r="D42" s="2" t="n">
        <x:v>2026</x:v>
      </x:c>
      <x:c r="E42" s="10" t="n">
        <x:v>0.3745156939748262</x:v>
      </x:c>
      <x:c r="F42" s="10" t="n">
        <x:v>0.33506049349252</x:v>
      </x:c>
      <x:c r="G42" s="10" t="n">
        <x:v>0.3573765695651823</x:v>
      </x:c>
      <x:c r="H42" s="11" t="n">
        <x:v>0.25</x:v>
      </x:c>
      <x:c r="I42" s="2" t="n">
        <x:v>80</x:v>
      </x:c>
      <x:c r="J42" s="2" t="n">
        <x:v>80</x:v>
      </x:c>
      <x:c r="K42" s="2" t="str">
        <x:v>未达到</x:v>
      </x:c>
      <x:c r="L42" s="10" t="n">
        <x:v>0.44496886783176</x:v>
      </x:c>
      <x:c r="M42" s="10" t="n">
        <x:v>0.4536480102274153</x:v>
      </x:c>
      <x:c r="N42" s="10" t="n">
        <x:v>0.44126968463261923</x:v>
      </x:c>
      <x:c r="O42" s="2" t="n">
        <x:v>90</x:v>
      </x:c>
      <x:c r="P42" s="10" t="n">
        <x:v>0.9877373771552551</x:v>
      </x:c>
      <x:c r="Q42" s="10" t="n">
        <x:v>0.9598126029600785</x:v>
      </x:c>
    </x:row>
    <x:row r="43" ht="23" customHeight="1">
      <x:c r="A43" s="2" t="str">
        <x:v>Agriculture</x:v>
      </x:c>
      <x:c r="B43" s="2" t="n">
        <x:v>10</x:v>
      </x:c>
      <x:c r="C43" s="2" t="str">
        <x:v>SpecTF</x:v>
      </x:c>
      <x:c r="D43" s="2" t="n">
        <x:v>2027</x:v>
      </x:c>
      <x:c r="E43" s="10" t="n">
        <x:v>0.3745156939748262</x:v>
      </x:c>
      <x:c r="F43" s="10" t="n">
        <x:v>0.34309285189855415</x:v>
      </x:c>
      <x:c r="G43" s="10" t="n">
        <x:v>0.35967230941170697</x:v>
      </x:c>
      <x:c r="H43" s="11" t="n">
        <x:v>0.25</x:v>
      </x:c>
      <x:c r="I43" s="2" t="n">
        <x:v>80</x:v>
      </x:c>
      <x:c r="J43" s="2" t="n">
        <x:v>80</x:v>
      </x:c>
      <x:c r="K43" s="2" t="str">
        <x:v>未达到</x:v>
      </x:c>
      <x:c r="L43" s="10" t="n">
        <x:v>0.44496886783176</x:v>
      </x:c>
      <x:c r="M43" s="10" t="n">
        <x:v>0.45939442118008933</x:v>
      </x:c>
      <x:c r="N43" s="10" t="n">
        <x:v>0.4428184979491764</x:v>
      </x:c>
      <x:c r="O43" s="2" t="n">
        <x:v>90</x:v>
      </x:c>
      <x:c r="P43" s="10" t="n">
        <x:v>0.9875108200514041</x:v>
      </x:c>
      <x:c r="Q43" s="10" t="n">
        <x:v>0.9594660013745385</x:v>
      </x:c>
    </x:row>
    <x:row r="44" ht="23" customHeight="1">
      <x:c r="A44" s="2" t="str">
        <x:v>Agriculture</x:v>
      </x:c>
      <x:c r="B44" s="2" t="n">
        <x:v>10</x:v>
      </x:c>
      <x:c r="C44" s="2" t="str">
        <x:v>SpecTF</x:v>
      </x:c>
      <x:c r="D44" s="2" t="n">
        <x:v>2028</x:v>
      </x:c>
      <x:c r="E44" s="10" t="n">
        <x:v>0.3745156939748262</x:v>
      </x:c>
      <x:c r="F44" s="10" t="n">
        <x:v>0.33513868105273575</x:v>
      </x:c>
      <x:c r="G44" s="10" t="n">
        <x:v>0.35727973648808636</x:v>
      </x:c>
      <x:c r="H44" s="11" t="n">
        <x:v>0.25</x:v>
      </x:c>
      <x:c r="I44" s="2" t="n">
        <x:v>80</x:v>
      </x:c>
      <x:c r="J44" s="2" t="n">
        <x:v>80</x:v>
      </x:c>
      <x:c r="K44" s="2" t="str">
        <x:v>未达到</x:v>
      </x:c>
      <x:c r="L44" s="10" t="n">
        <x:v>0.44496886783176</x:v>
      </x:c>
      <x:c r="M44" s="10" t="n">
        <x:v>0.4541090334786309</x:v>
      </x:c>
      <x:c r="N44" s="10" t="n">
        <x:v>0.44128670944107906</x:v>
      </x:c>
      <x:c r="O44" s="2" t="n">
        <x:v>90</x:v>
      </x:c>
      <x:c r="P44" s="10" t="n">
        <x:v>0.987748512444461</x:v>
      </x:c>
      <x:c r="Q44" s="10" t="n">
        <x:v>0.9596701896804974</x:v>
      </x:c>
    </x:row>
    <x:row r="45" ht="23" customHeight="1">
      <x:c r="A45" s="2" t="str">
        <x:v>Agriculture</x:v>
      </x:c>
      <x:c r="B45" s="2" t="n">
        <x:v>10</x:v>
      </x:c>
      <x:c r="C45" s="2" t="str">
        <x:v>CFA</x:v>
      </x:c>
      <x:c r="D45" s="2" t="n">
        <x:v>2026</x:v>
      </x:c>
      <x:c r="E45" s="10" t="n">
        <x:v>0.29576657031370107</x:v>
      </x:c>
      <x:c r="F45" s="10" t="n">
        <x:v>0.26734098762513947</x:v>
      </x:c>
      <x:c r="G45" s="10" t="n">
        <x:v>0.29576657031370107</x:v>
      </x:c>
      <x:c r="H45" s="11" t="n">
        <x:v>0</x:v>
      </x:c>
      <x:c r="I45" s="2" t="n">
        <x:v>80</x:v>
      </x:c>
      <x:c r="J45" s="2" t="n">
        <x:v>80</x:v>
      </x:c>
      <x:c r="K45" s="2" t="str">
        <x:v>未达到</x:v>
      </x:c>
      <x:c r="L45" s="10" t="n">
        <x:v>0.37098269012239243</x:v>
      </x:c>
      <x:c r="M45" s="10" t="n">
        <x:v>0.3894705869091882</x:v>
      </x:c>
      <x:c r="N45" s="10" t="n">
        <x:v>0.37098269012239243</x:v>
      </x:c>
      <x:c r="O45" s="2" t="n">
        <x:v>90</x:v>
      </x:c>
      <x:c r="P45" s="10" t="n">
        <x:v>1</x:v>
      </x:c>
      <x:c r="Q45" s="10" t="n">
        <x:v>1</x:v>
      </x:c>
    </x:row>
    <x:row r="46" ht="23" customHeight="1">
      <x:c r="A46" s="2" t="str">
        <x:v>Agriculture</x:v>
      </x:c>
      <x:c r="B46" s="2" t="n">
        <x:v>10</x:v>
      </x:c>
      <x:c r="C46" s="2" t="str">
        <x:v>CFA</x:v>
      </x:c>
      <x:c r="D46" s="2" t="n">
        <x:v>2027</x:v>
      </x:c>
      <x:c r="E46" s="10" t="n">
        <x:v>0.29576657031370107</x:v>
      </x:c>
      <x:c r="F46" s="10" t="n">
        <x:v>0.271931366314467</x:v>
      </x:c>
      <x:c r="G46" s="10" t="n">
        <x:v>0.29576657031370107</x:v>
      </x:c>
      <x:c r="H46" s="11" t="n">
        <x:v>0</x:v>
      </x:c>
      <x:c r="I46" s="2" t="n">
        <x:v>80</x:v>
      </x:c>
      <x:c r="J46" s="2" t="n">
        <x:v>80</x:v>
      </x:c>
      <x:c r="K46" s="2" t="str">
        <x:v>未达到</x:v>
      </x:c>
      <x:c r="L46" s="10" t="n">
        <x:v>0.37098269012239243</x:v>
      </x:c>
      <x:c r="M46" s="10" t="n">
        <x:v>0.39369921021991305</x:v>
      </x:c>
      <x:c r="N46" s="10" t="n">
        <x:v>0.37098269012239243</x:v>
      </x:c>
      <x:c r="O46" s="2" t="n">
        <x:v>90</x:v>
      </x:c>
      <x:c r="P46" s="10" t="n">
        <x:v>1</x:v>
      </x:c>
      <x:c r="Q46" s="10" t="n">
        <x:v>1</x:v>
      </x:c>
    </x:row>
    <x:row r="47" ht="23" customHeight="1">
      <x:c r="A47" s="2" t="str">
        <x:v>Agriculture</x:v>
      </x:c>
      <x:c r="B47" s="2" t="n">
        <x:v>10</x:v>
      </x:c>
      <x:c r="C47" s="2" t="str">
        <x:v>CFA</x:v>
      </x:c>
      <x:c r="D47" s="2" t="n">
        <x:v>2028</x:v>
      </x:c>
      <x:c r="E47" s="10" t="n">
        <x:v>0.29576657031370107</x:v>
      </x:c>
      <x:c r="F47" s="10" t="n">
        <x:v>0.2675319648650245</x:v>
      </x:c>
      <x:c r="G47" s="10" t="n">
        <x:v>0.29576657031370107</x:v>
      </x:c>
      <x:c r="H47" s="11" t="n">
        <x:v>0</x:v>
      </x:c>
      <x:c r="I47" s="2" t="n">
        <x:v>80</x:v>
      </x:c>
      <x:c r="J47" s="2" t="n">
        <x:v>80</x:v>
      </x:c>
      <x:c r="K47" s="2" t="str">
        <x:v>未达到</x:v>
      </x:c>
      <x:c r="L47" s="10" t="n">
        <x:v>0.37098269012239243</x:v>
      </x:c>
      <x:c r="M47" s="10" t="n">
        <x:v>0.390145873758528</x:v>
      </x:c>
      <x:c r="N47" s="10" t="n">
        <x:v>0.37098269012239243</x:v>
      </x:c>
      <x:c r="O47" s="2" t="n">
        <x:v>90</x:v>
      </x:c>
      <x:c r="P47" s="10" t="n">
        <x:v>1</x:v>
      </x:c>
      <x:c r="Q47" s="10" t="n">
        <x:v>1</x:v>
      </x:c>
    </x:row>
    <x:row r="48" ht="23" customHeight="1">
      <x:c r="A48" s="2" t="str">
        <x:v>Agriculture</x:v>
      </x:c>
      <x:c r="B48" s="2" t="n">
        <x:v>10</x:v>
      </x:c>
      <x:c r="C48" s="2" t="str">
        <x:v>Aurora</x:v>
      </x:c>
      <x:c r="D48" s="2" t="n">
        <x:v>2026</x:v>
      </x:c>
      <x:c r="E48" s="10" t="n">
        <x:v>1.0489926219606276</x:v>
      </x:c>
      <x:c r="F48" s="10" t="n">
        <x:v>0.7344541330000819</x:v>
      </x:c>
      <x:c r="G48" s="10" t="n">
        <x:v>0.7344541330000819</x:v>
      </x:c>
      <x:c r="H48" s="11" t="n">
        <x:v>1</x:v>
      </x:c>
      <x:c r="I48" s="2" t="n">
        <x:v>80</x:v>
      </x:c>
      <x:c r="J48" s="2" t="n">
        <x:v>80</x:v>
      </x:c>
      <x:c r="K48" s="2" t="str">
        <x:v>未达到</x:v>
      </x:c>
      <x:c r="L48" s="10" t="n">
        <x:v>0.7414448785781861</x:v>
      </x:c>
      <x:c r="M48" s="10" t="n">
        <x:v>0.6423671020401849</x:v>
      </x:c>
      <x:c r="N48" s="10" t="n">
        <x:v>0.6423671020401849</x:v>
      </x:c>
      <x:c r="O48" s="2" t="n">
        <x:v>90</x:v>
      </x:c>
      <x:c r="P48" s="10" t="n">
        <x:v>0.6428012568748189</x:v>
      </x:c>
      <x:c r="Q48" s="10" t="n">
        <x:v>0.7806295218248522</x:v>
      </x:c>
    </x:row>
    <x:row r="49" ht="23" customHeight="1">
      <x:c r="A49" s="2" t="str">
        <x:v>Agriculture</x:v>
      </x:c>
      <x:c r="B49" s="2" t="n">
        <x:v>10</x:v>
      </x:c>
      <x:c r="C49" s="2" t="str">
        <x:v>Aurora</x:v>
      </x:c>
      <x:c r="D49" s="2" t="n">
        <x:v>2027</x:v>
      </x:c>
      <x:c r="E49" s="10" t="n">
        <x:v>1.0489926219606276</x:v>
      </x:c>
      <x:c r="F49" s="10" t="n">
        <x:v>0.7444674247668797</x:v>
      </x:c>
      <x:c r="G49" s="10" t="n">
        <x:v>0.7444674247668797</x:v>
      </x:c>
      <x:c r="H49" s="11" t="n">
        <x:v>1</x:v>
      </x:c>
      <x:c r="I49" s="2" t="n">
        <x:v>80</x:v>
      </x:c>
      <x:c r="J49" s="2" t="n">
        <x:v>80</x:v>
      </x:c>
      <x:c r="K49" s="2" t="str">
        <x:v>未达到</x:v>
      </x:c>
      <x:c r="L49" s="10" t="n">
        <x:v>0.7414448785781861</x:v>
      </x:c>
      <x:c r="M49" s="10" t="n">
        <x:v>0.6482314520412021</x:v>
      </x:c>
      <x:c r="N49" s="10" t="n">
        <x:v>0.6482314520412021</x:v>
      </x:c>
      <x:c r="O49" s="2" t="n">
        <x:v>90</x:v>
      </x:c>
      <x:c r="P49" s="10" t="n">
        <x:v>0.6412777695653444</x:v>
      </x:c>
      <x:c r="Q49" s="10" t="n">
        <x:v>0.7796736541893989</x:v>
      </x:c>
    </x:row>
    <x:row r="50" ht="23" customHeight="1">
      <x:c r="A50" s="2" t="str">
        <x:v>Agriculture</x:v>
      </x:c>
      <x:c r="B50" s="2" t="n">
        <x:v>10</x:v>
      </x:c>
      <x:c r="C50" s="2" t="str">
        <x:v>Aurora</x:v>
      </x:c>
      <x:c r="D50" s="2" t="n">
        <x:v>2028</x:v>
      </x:c>
      <x:c r="E50" s="10" t="n">
        <x:v>1.0489926219606276</x:v>
      </x:c>
      <x:c r="F50" s="10" t="n">
        <x:v>0.7342392154314749</x:v>
      </x:c>
      <x:c r="G50" s="10" t="n">
        <x:v>0.7342392154314749</x:v>
      </x:c>
      <x:c r="H50" s="11" t="n">
        <x:v>1</x:v>
      </x:c>
      <x:c r="I50" s="2" t="n">
        <x:v>80</x:v>
      </x:c>
      <x:c r="J50" s="2" t="n">
        <x:v>80</x:v>
      </x:c>
      <x:c r="K50" s="2" t="str">
        <x:v>未达到</x:v>
      </x:c>
      <x:c r="L50" s="10" t="n">
        <x:v>0.7414448785781861</x:v>
      </x:c>
      <x:c r="M50" s="10" t="n">
        <x:v>0.6423584716849857</x:v>
      </x:c>
      <x:c r="N50" s="10" t="n">
        <x:v>0.6423584716849857</x:v>
      </x:c>
      <x:c r="O50" s="2" t="n">
        <x:v>90</x:v>
      </x:c>
      <x:c r="P50" s="10" t="n">
        <x:v>0.641904022112381</x:v>
      </x:c>
      <x:c r="Q50" s="10" t="n">
        <x:v>0.7801006200175402</x:v>
      </x:c>
    </x:row>
    <x:row r="51" ht="23" customHeight="1">
      <x:c r="A51" s="2" t="str">
        <x:v>Agriculture</x:v>
      </x:c>
      <x:c r="B51" s="2" t="n">
        <x:v>12</x:v>
      </x:c>
      <x:c r="C51" s="2" t="str">
        <x:v>TaTS</x:v>
      </x:c>
      <x:c r="D51" s="2" t="n">
        <x:v>2026</x:v>
      </x:c>
      <x:c r="E51" s="10" t="n">
        <x:v>0.8091895099223382</x:v>
      </x:c>
      <x:c r="F51" s="10" t="n">
        <x:v>0.6833705474634515</x:v>
      </x:c>
      <x:c r="G51" s="10" t="n">
        <x:v>0.6833705474634515</x:v>
      </x:c>
      <x:c r="H51" s="11" t="n">
        <x:v>1</x:v>
      </x:c>
      <x:c r="I51" s="2" t="n">
        <x:v>80</x:v>
      </x:c>
      <x:c r="J51" s="2" t="n">
        <x:v>80</x:v>
      </x:c>
      <x:c r="K51" s="2" t="str">
        <x:v>未达到</x:v>
      </x:c>
      <x:c r="L51" s="10" t="n">
        <x:v>0.7172219355901083</x:v>
      </x:c>
      <x:c r="M51" s="10" t="n">
        <x:v>0.6510802454343347</x:v>
      </x:c>
      <x:c r="N51" s="10" t="n">
        <x:v>0.6510802454343347</x:v>
      </x:c>
      <x:c r="O51" s="2" t="n">
        <x:v>88</x:v>
      </x:c>
      <x:c r="P51" s="10" t="n">
        <x:v>0.7586041094377508</x:v>
      </x:c>
      <x:c r="Q51" s="10" t="n">
        <x:v>0.8678804422699505</x:v>
      </x:c>
    </x:row>
    <x:row r="52" ht="23" customHeight="1">
      <x:c r="A52" s="2" t="str">
        <x:v>Agriculture</x:v>
      </x:c>
      <x:c r="B52" s="2" t="n">
        <x:v>12</x:v>
      </x:c>
      <x:c r="C52" s="2" t="str">
        <x:v>TaTS</x:v>
      </x:c>
      <x:c r="D52" s="2" t="n">
        <x:v>2027</x:v>
      </x:c>
      <x:c r="E52" s="10" t="n">
        <x:v>0.8091895099223382</x:v>
      </x:c>
      <x:c r="F52" s="10" t="n">
        <x:v>0.6879522481800949</x:v>
      </x:c>
      <x:c r="G52" s="10" t="n">
        <x:v>0.6879522481800949</x:v>
      </x:c>
      <x:c r="H52" s="11" t="n">
        <x:v>1</x:v>
      </x:c>
      <x:c r="I52" s="2" t="n">
        <x:v>80</x:v>
      </x:c>
      <x:c r="J52" s="2" t="n">
        <x:v>80</x:v>
      </x:c>
      <x:c r="K52" s="2" t="str">
        <x:v>未达到</x:v>
      </x:c>
      <x:c r="L52" s="10" t="n">
        <x:v>0.7172219355901083</x:v>
      </x:c>
      <x:c r="M52" s="10" t="n">
        <x:v>0.6564763317053969</x:v>
      </x:c>
      <x:c r="N52" s="10" t="n">
        <x:v>0.6564763317053969</x:v>
      </x:c>
      <x:c r="O52" s="2" t="n">
        <x:v>88</x:v>
      </x:c>
      <x:c r="P52" s="10" t="n">
        <x:v>0.7578355248836232</x:v>
      </x:c>
      <x:c r="Q52" s="10" t="n">
        <x:v>0.8674345535420179</x:v>
      </x:c>
    </x:row>
    <x:row r="53" ht="23" customHeight="1">
      <x:c r="A53" s="2" t="str">
        <x:v>Agriculture</x:v>
      </x:c>
      <x:c r="B53" s="2" t="n">
        <x:v>12</x:v>
      </x:c>
      <x:c r="C53" s="2" t="str">
        <x:v>TaTS</x:v>
      </x:c>
      <x:c r="D53" s="2" t="n">
        <x:v>2028</x:v>
      </x:c>
      <x:c r="E53" s="10" t="n">
        <x:v>0.8091895099223382</x:v>
      </x:c>
      <x:c r="F53" s="10" t="n">
        <x:v>0.6877033862340027</x:v>
      </x:c>
      <x:c r="G53" s="10" t="n">
        <x:v>0.6877033862340027</x:v>
      </x:c>
      <x:c r="H53" s="11" t="n">
        <x:v>1</x:v>
      </x:c>
      <x:c r="I53" s="2" t="n">
        <x:v>80</x:v>
      </x:c>
      <x:c r="J53" s="2" t="n">
        <x:v>80</x:v>
      </x:c>
      <x:c r="K53" s="2" t="str">
        <x:v>未达到</x:v>
      </x:c>
      <x:c r="L53" s="10" t="n">
        <x:v>0.7172219355901083</x:v>
      </x:c>
      <x:c r="M53" s="10" t="n">
        <x:v>0.655602395082965</x:v>
      </x:c>
      <x:c r="N53" s="10" t="n">
        <x:v>0.655602395082965</x:v>
      </x:c>
      <x:c r="O53" s="2" t="n">
        <x:v>88</x:v>
      </x:c>
      <x:c r="P53" s="10" t="n">
        <x:v>0.7616840812332426</x:v>
      </x:c>
      <x:c r="Q53" s="10" t="n">
        <x:v>0.8697904897137718</x:v>
      </x:c>
    </x:row>
    <x:row r="54" ht="23" customHeight="1">
      <x:c r="A54" s="2" t="str">
        <x:v>Agriculture</x:v>
      </x:c>
      <x:c r="B54" s="2" t="n">
        <x:v>12</x:v>
      </x:c>
      <x:c r="C54" s="2" t="str">
        <x:v>MM-TSFlib</x:v>
      </x:c>
      <x:c r="D54" s="2" t="n">
        <x:v>2026</x:v>
      </x:c>
      <x:c r="E54" s="10" t="n">
        <x:v>3.444487867309843</x:v>
      </x:c>
      <x:c r="F54" s="10" t="n">
        <x:v>2.7709237033954017</x:v>
      </x:c>
      <x:c r="G54" s="10" t="n">
        <x:v>2.7709237033954017</x:v>
      </x:c>
      <x:c r="H54" s="11" t="n">
        <x:v>1</x:v>
      </x:c>
      <x:c r="I54" s="2" t="n">
        <x:v>80</x:v>
      </x:c>
      <x:c r="J54" s="2" t="n">
        <x:v>80</x:v>
      </x:c>
      <x:c r="K54" s="2" t="str">
        <x:v>未达到</x:v>
      </x:c>
      <x:c r="L54" s="10" t="n">
        <x:v>1.3908870386129075</x:v>
      </x:c>
      <x:c r="M54" s="10" t="n">
        <x:v>1.235646413356969</x:v>
      </x:c>
      <x:c r="N54" s="10" t="n">
        <x:v>1.235646413356969</x:v>
      </x:c>
      <x:c r="O54" s="2" t="n">
        <x:v>88</x:v>
      </x:c>
      <x:c r="P54" s="10" t="n">
        <x:v>0.8056133629978484</x:v>
      </x:c>
      <x:c r="Q54" s="10" t="n">
        <x:v>0.8924326661883393</x:v>
      </x:c>
    </x:row>
    <x:row r="55" ht="23" customHeight="1">
      <x:c r="A55" s="2" t="str">
        <x:v>Agriculture</x:v>
      </x:c>
      <x:c r="B55" s="2" t="n">
        <x:v>12</x:v>
      </x:c>
      <x:c r="C55" s="2" t="str">
        <x:v>MM-TSFlib</x:v>
      </x:c>
      <x:c r="D55" s="2" t="n">
        <x:v>2027</x:v>
      </x:c>
      <x:c r="E55" s="10" t="n">
        <x:v>3.444487867309843</x:v>
      </x:c>
      <x:c r="F55" s="10" t="n">
        <x:v>2.7711601156450043</x:v>
      </x:c>
      <x:c r="G55" s="10" t="n">
        <x:v>2.7711601156450043</x:v>
      </x:c>
      <x:c r="H55" s="11" t="n">
        <x:v>1</x:v>
      </x:c>
      <x:c r="I55" s="2" t="n">
        <x:v>80</x:v>
      </x:c>
      <x:c r="J55" s="2" t="n">
        <x:v>80</x:v>
      </x:c>
      <x:c r="K55" s="2" t="str">
        <x:v>未达到</x:v>
      </x:c>
      <x:c r="L55" s="10" t="n">
        <x:v>1.3908870386129075</x:v>
      </x:c>
      <x:c r="M55" s="10" t="n">
        <x:v>1.2356838275763122</x:v>
      </x:c>
      <x:c r="N55" s="10" t="n">
        <x:v>1.2356838275763122</x:v>
      </x:c>
      <x:c r="O55" s="2" t="n">
        <x:v>88</x:v>
      </x:c>
      <x:c r="P55" s="10" t="n">
        <x:v>0.8052194782921025</x:v>
      </x:c>
      <x:c r="Q55" s="10" t="n">
        <x:v>0.8920628873579837</x:v>
      </x:c>
    </x:row>
    <x:row r="56" ht="23" customHeight="1">
      <x:c r="A56" s="2" t="str">
        <x:v>Agriculture</x:v>
      </x:c>
      <x:c r="B56" s="2" t="n">
        <x:v>12</x:v>
      </x:c>
      <x:c r="C56" s="2" t="str">
        <x:v>MM-TSFlib</x:v>
      </x:c>
      <x:c r="D56" s="2" t="n">
        <x:v>2028</x:v>
      </x:c>
      <x:c r="E56" s="10" t="n">
        <x:v>3.444487867309843</x:v>
      </x:c>
      <x:c r="F56" s="10" t="n">
        <x:v>2.7809585801973897</x:v>
      </x:c>
      <x:c r="G56" s="10" t="n">
        <x:v>2.7809585801973897</x:v>
      </x:c>
      <x:c r="H56" s="11" t="n">
        <x:v>1</x:v>
      </x:c>
      <x:c r="I56" s="2" t="n">
        <x:v>80</x:v>
      </x:c>
      <x:c r="J56" s="2" t="n">
        <x:v>80</x:v>
      </x:c>
      <x:c r="K56" s="2" t="str">
        <x:v>未达到</x:v>
      </x:c>
      <x:c r="L56" s="10" t="n">
        <x:v>1.3908870386129075</x:v>
      </x:c>
      <x:c r="M56" s="10" t="n">
        <x:v>1.2382720382601926</x:v>
      </x:c>
      <x:c r="N56" s="10" t="n">
        <x:v>1.2382720382601926</x:v>
      </x:c>
      <x:c r="O56" s="2" t="n">
        <x:v>88</x:v>
      </x:c>
      <x:c r="P56" s="10" t="n">
        <x:v>0.808046683513498</x:v>
      </x:c>
      <x:c r="Q56" s="10" t="n">
        <x:v>0.8937253348922316</x:v>
      </x:c>
    </x:row>
    <x:row r="57" ht="23" customHeight="1">
      <x:c r="A57" s="2" t="str">
        <x:v>Agriculture</x:v>
      </x:c>
      <x:c r="B57" s="2" t="n">
        <x:v>12</x:v>
      </x:c>
      <x:c r="C57" s="2" t="str">
        <x:v>SpecTF</x:v>
      </x:c>
      <x:c r="D57" s="2" t="n">
        <x:v>2026</x:v>
      </x:c>
      <x:c r="E57" s="10" t="n">
        <x:v>0.35785318025578033</x:v>
      </x:c>
      <x:c r="F57" s="10" t="n">
        <x:v>0.3536638613386497</x:v>
      </x:c>
      <x:c r="G57" s="10" t="n">
        <x:v>0.35785318025578033</x:v>
      </x:c>
      <x:c r="H57" s="11" t="n">
        <x:v>0</x:v>
      </x:c>
      <x:c r="I57" s="2" t="n">
        <x:v>80</x:v>
      </x:c>
      <x:c r="J57" s="2" t="n">
        <x:v>80</x:v>
      </x:c>
      <x:c r="K57" s="2" t="str">
        <x:v>未达到</x:v>
      </x:c>
      <x:c r="L57" s="10" t="n">
        <x:v>0.42091696788415767</x:v>
      </x:c>
      <x:c r="M57" s="10" t="n">
        <x:v>0.45748143248034245</x:v>
      </x:c>
      <x:c r="N57" s="10" t="n">
        <x:v>0.42091696788415767</x:v>
      </x:c>
      <x:c r="O57" s="2" t="n">
        <x:v>88</x:v>
      </x:c>
      <x:c r="P57" s="10" t="n">
        <x:v>1</x:v>
      </x:c>
      <x:c r="Q57" s="10" t="n">
        <x:v>1</x:v>
      </x:c>
    </x:row>
    <x:row r="58" ht="23" customHeight="1">
      <x:c r="A58" s="2" t="str">
        <x:v>Agriculture</x:v>
      </x:c>
      <x:c r="B58" s="2" t="n">
        <x:v>12</x:v>
      </x:c>
      <x:c r="C58" s="2" t="str">
        <x:v>SpecTF</x:v>
      </x:c>
      <x:c r="D58" s="2" t="n">
        <x:v>2027</x:v>
      </x:c>
      <x:c r="E58" s="10" t="n">
        <x:v>0.35785318025578033</x:v>
      </x:c>
      <x:c r="F58" s="10" t="n">
        <x:v>0.355169930326844</x:v>
      </x:c>
      <x:c r="G58" s="10" t="n">
        <x:v>0.35785318025578033</x:v>
      </x:c>
      <x:c r="H58" s="11" t="n">
        <x:v>0</x:v>
      </x:c>
      <x:c r="I58" s="2" t="n">
        <x:v>80</x:v>
      </x:c>
      <x:c r="J58" s="2" t="n">
        <x:v>80</x:v>
      </x:c>
      <x:c r="K58" s="2" t="str">
        <x:v>未达到</x:v>
      </x:c>
      <x:c r="L58" s="10" t="n">
        <x:v>0.42091696788415767</x:v>
      </x:c>
      <x:c r="M58" s="10" t="n">
        <x:v>0.4592932388186455</x:v>
      </x:c>
      <x:c r="N58" s="10" t="n">
        <x:v>0.42091696788415767</x:v>
      </x:c>
      <x:c r="O58" s="2" t="n">
        <x:v>88</x:v>
      </x:c>
      <x:c r="P58" s="10" t="n">
        <x:v>1</x:v>
      </x:c>
      <x:c r="Q58" s="10" t="n">
        <x:v>1</x:v>
      </x:c>
    </x:row>
    <x:row r="59" ht="23" customHeight="1">
      <x:c r="A59" s="2" t="str">
        <x:v>Agriculture</x:v>
      </x:c>
      <x:c r="B59" s="2" t="n">
        <x:v>12</x:v>
      </x:c>
      <x:c r="C59" s="2" t="str">
        <x:v>SpecTF</x:v>
      </x:c>
      <x:c r="D59" s="2" t="n">
        <x:v>2028</x:v>
      </x:c>
      <x:c r="E59" s="10" t="n">
        <x:v>0.35785318025578033</x:v>
      </x:c>
      <x:c r="F59" s="10" t="n">
        <x:v>0.3562774361727712</x:v>
      </x:c>
      <x:c r="G59" s="10" t="n">
        <x:v>0.35785318025578033</x:v>
      </x:c>
      <x:c r="H59" s="11" t="n">
        <x:v>0</x:v>
      </x:c>
      <x:c r="I59" s="2" t="n">
        <x:v>80</x:v>
      </x:c>
      <x:c r="J59" s="2" t="n">
        <x:v>80</x:v>
      </x:c>
      <x:c r="K59" s="2" t="str">
        <x:v>未达到</x:v>
      </x:c>
      <x:c r="L59" s="10" t="n">
        <x:v>0.42091696788415767</x:v>
      </x:c>
      <x:c r="M59" s="10" t="n">
        <x:v>0.45912315899675543</x:v>
      </x:c>
      <x:c r="N59" s="10" t="n">
        <x:v>0.42091696788415767</x:v>
      </x:c>
      <x:c r="O59" s="2" t="n">
        <x:v>88</x:v>
      </x:c>
      <x:c r="P59" s="10" t="n">
        <x:v>1</x:v>
      </x:c>
      <x:c r="Q59" s="10" t="n">
        <x:v>1</x:v>
      </x:c>
    </x:row>
    <x:row r="60" ht="23" customHeight="1">
      <x:c r="A60" s="2" t="str">
        <x:v>Agriculture</x:v>
      </x:c>
      <x:c r="B60" s="2" t="n">
        <x:v>12</x:v>
      </x:c>
      <x:c r="C60" s="2" t="str">
        <x:v>CFA</x:v>
      </x:c>
      <x:c r="D60" s="2" t="n">
        <x:v>2026</x:v>
      </x:c>
      <x:c r="E60" s="10" t="n">
        <x:v>0.37551116732851375</x:v>
      </x:c>
      <x:c r="F60" s="10" t="n">
        <x:v>0.31268994369371</x:v>
      </x:c>
      <x:c r="G60" s="10" t="n">
        <x:v>0.3350597324851946</x:v>
      </x:c>
      <x:c r="H60" s="11" t="n">
        <x:v>0.5</x:v>
      </x:c>
      <x:c r="I60" s="2" t="n">
        <x:v>80</x:v>
      </x:c>
      <x:c r="J60" s="2" t="n">
        <x:v>80</x:v>
      </x:c>
      <x:c r="K60" s="2" t="str">
        <x:v>未达到</x:v>
      </x:c>
      <x:c r="L60" s="10" t="n">
        <x:v>0.4144204809810176</x:v>
      </x:c>
      <x:c r="M60" s="10" t="n">
        <x:v>0.40489678536400653</x:v>
      </x:c>
      <x:c r="N60" s="10" t="n">
        <x:v>0.40095137082266086</x:v>
      </x:c>
      <x:c r="O60" s="2" t="n">
        <x:v>88</x:v>
      </x:c>
      <x:c r="P60" s="10" t="n">
        <x:v>0.9802110874446507</x:v>
      </x:c>
      <x:c r="Q60" s="10" t="n">
        <x:v>0.9481687354589393</x:v>
      </x:c>
    </x:row>
    <x:row r="61" ht="23" customHeight="1">
      <x:c r="A61" s="2" t="str">
        <x:v>Agriculture</x:v>
      </x:c>
      <x:c r="B61" s="2" t="n">
        <x:v>12</x:v>
      </x:c>
      <x:c r="C61" s="2" t="str">
        <x:v>CFA</x:v>
      </x:c>
      <x:c r="D61" s="2" t="n">
        <x:v>2027</x:v>
      </x:c>
      <x:c r="E61" s="10" t="n">
        <x:v>0.37551116732851375</x:v>
      </x:c>
      <x:c r="F61" s="10" t="n">
        <x:v>0.31981514790190646</x:v>
      </x:c>
      <x:c r="G61" s="10" t="n">
        <x:v>0.3387146551184533</x:v>
      </x:c>
      <x:c r="H61" s="11" t="n">
        <x:v>0.5</x:v>
      </x:c>
      <x:c r="I61" s="2" t="n">
        <x:v>80</x:v>
      </x:c>
      <x:c r="J61" s="2" t="n">
        <x:v>80</x:v>
      </x:c>
      <x:c r="K61" s="2" t="str">
        <x:v>未达到</x:v>
      </x:c>
      <x:c r="L61" s="10" t="n">
        <x:v>0.4144204809810176</x:v>
      </x:c>
      <x:c r="M61" s="10" t="n">
        <x:v>0.41060218011791055</x:v>
      </x:c>
      <x:c r="N61" s="10" t="n">
        <x:v>0.40373514671668864</x:v>
      </x:c>
      <x:c r="O61" s="2" t="n">
        <x:v>88</x:v>
      </x:c>
      <x:c r="P61" s="10" t="n">
        <x:v>0.9802920638045398</x:v>
      </x:c>
      <x:c r="Q61" s="10" t="n">
        <x:v>0.9488022552679632</x:v>
      </x:c>
    </x:row>
    <x:row r="62" ht="23" customHeight="1">
      <x:c r="A62" s="2" t="str">
        <x:v>Agriculture</x:v>
      </x:c>
      <x:c r="B62" s="2" t="n">
        <x:v>12</x:v>
      </x:c>
      <x:c r="C62" s="2" t="str">
        <x:v>CFA</x:v>
      </x:c>
      <x:c r="D62" s="2" t="n">
        <x:v>2028</x:v>
      </x:c>
      <x:c r="E62" s="10" t="n">
        <x:v>0.37551116732851375</x:v>
      </x:c>
      <x:c r="F62" s="10" t="n">
        <x:v>0.3179981089999997</x:v>
      </x:c>
      <x:c r="G62" s="10" t="n">
        <x:v>0.33764083681162643</x:v>
      </x:c>
      <x:c r="H62" s="11" t="n">
        <x:v>0.5</x:v>
      </x:c>
      <x:c r="I62" s="2" t="n">
        <x:v>80</x:v>
      </x:c>
      <x:c r="J62" s="2" t="n">
        <x:v>80</x:v>
      </x:c>
      <x:c r="K62" s="2" t="str">
        <x:v>未达到</x:v>
      </x:c>
      <x:c r="L62" s="10" t="n">
        <x:v>0.4144204809810176</x:v>
      </x:c>
      <x:c r="M62" s="10" t="n">
        <x:v>0.4086142278304606</x:v>
      </x:c>
      <x:c r="N62" s="10" t="n">
        <x:v>0.40294927302183525</x:v>
      </x:c>
      <x:c r="O62" s="2" t="n">
        <x:v>88</x:v>
      </x:c>
      <x:c r="P62" s="10" t="n">
        <x:v>0.9802562923264032</x:v>
      </x:c>
      <x:c r="Q62" s="10" t="n">
        <x:v>0.9488368256085009</x:v>
      </x:c>
    </x:row>
    <x:row r="63" ht="23" customHeight="1">
      <x:c r="A63" s="2" t="str">
        <x:v>Agriculture</x:v>
      </x:c>
      <x:c r="B63" s="2" t="n">
        <x:v>12</x:v>
      </x:c>
      <x:c r="C63" s="2" t="str">
        <x:v>Aurora</x:v>
      </x:c>
      <x:c r="D63" s="2" t="n">
        <x:v>2026</x:v>
      </x:c>
      <x:c r="E63" s="10" t="n">
        <x:v>1.0627157999916093</x:v>
      </x:c>
      <x:c r="F63" s="10" t="n">
        <x:v>0.7605209405560915</x:v>
      </x:c>
      <x:c r="G63" s="10" t="n">
        <x:v>0.7605209405560915</x:v>
      </x:c>
      <x:c r="H63" s="11" t="n">
        <x:v>1</x:v>
      </x:c>
      <x:c r="I63" s="2" t="n">
        <x:v>80</x:v>
      </x:c>
      <x:c r="J63" s="2" t="n">
        <x:v>80</x:v>
      </x:c>
      <x:c r="K63" s="2" t="str">
        <x:v>未达到</x:v>
      </x:c>
      <x:c r="L63" s="10" t="n">
        <x:v>0.7462488257072188</x:v>
      </x:c>
      <x:c r="M63" s="10" t="n">
        <x:v>0.6523931347059481</x:v>
      </x:c>
      <x:c r="N63" s="10" t="n">
        <x:v>0.6523931347059481</x:v>
      </x:c>
      <x:c r="O63" s="2" t="n">
        <x:v>88</x:v>
      </x:c>
      <x:c r="P63" s="10" t="n">
        <x:v>0.6021817350665587</x:v>
      </x:c>
      <x:c r="Q63" s="10" t="n">
        <x:v>0.7554107055351237</x:v>
      </x:c>
    </x:row>
    <x:row r="64" ht="23" customHeight="1">
      <x:c r="A64" s="2" t="str">
        <x:v>Agriculture</x:v>
      </x:c>
      <x:c r="B64" s="2" t="n">
        <x:v>12</x:v>
      </x:c>
      <x:c r="C64" s="2" t="str">
        <x:v>Aurora</x:v>
      </x:c>
      <x:c r="D64" s="2" t="n">
        <x:v>2027</x:v>
      </x:c>
      <x:c r="E64" s="10" t="n">
        <x:v>1.0627157999916093</x:v>
      </x:c>
      <x:c r="F64" s="10" t="n">
        <x:v>0.7684014673902017</x:v>
      </x:c>
      <x:c r="G64" s="10" t="n">
        <x:v>0.7684014673902017</x:v>
      </x:c>
      <x:c r="H64" s="11" t="n">
        <x:v>1</x:v>
      </x:c>
      <x:c r="I64" s="2" t="n">
        <x:v>80</x:v>
      </x:c>
      <x:c r="J64" s="2" t="n">
        <x:v>80</x:v>
      </x:c>
      <x:c r="K64" s="2" t="str">
        <x:v>未达到</x:v>
      </x:c>
      <x:c r="L64" s="10" t="n">
        <x:v>0.7462488257072188</x:v>
      </x:c>
      <x:c r="M64" s="10" t="n">
        <x:v>0.6571415644703489</x:v>
      </x:c>
      <x:c r="N64" s="10" t="n">
        <x:v>0.6571415644703489</x:v>
      </x:c>
      <x:c r="O64" s="2" t="n">
        <x:v>88</x:v>
      </x:c>
      <x:c r="P64" s="10" t="n">
        <x:v>0.6012919180138494</x:v>
      </x:c>
      <x:c r="Q64" s="10" t="n">
        <x:v>0.7547026884657025</x:v>
      </x:c>
    </x:row>
    <x:row r="65" ht="23" customHeight="1">
      <x:c r="A65" s="2" t="str">
        <x:v>Agriculture</x:v>
      </x:c>
      <x:c r="B65" s="2" t="n">
        <x:v>12</x:v>
      </x:c>
      <x:c r="C65" s="2" t="str">
        <x:v>Aurora</x:v>
      </x:c>
      <x:c r="D65" s="2" t="n">
        <x:v>2028</x:v>
      </x:c>
      <x:c r="E65" s="10" t="n">
        <x:v>1.0627157999916093</x:v>
      </x:c>
      <x:c r="F65" s="10" t="n">
        <x:v>0.7694969564119509</x:v>
      </x:c>
      <x:c r="G65" s="10" t="n">
        <x:v>0.7694969564119509</x:v>
      </x:c>
      <x:c r="H65" s="11" t="n">
        <x:v>1</x:v>
      </x:c>
      <x:c r="I65" s="2" t="n">
        <x:v>80</x:v>
      </x:c>
      <x:c r="J65" s="2" t="n">
        <x:v>80</x:v>
      </x:c>
      <x:c r="K65" s="2" t="str">
        <x:v>未达到</x:v>
      </x:c>
      <x:c r="L65" s="10" t="n">
        <x:v>0.7462488257072188</x:v>
      </x:c>
      <x:c r="M65" s="10" t="n">
        <x:v>0.6568319483688383</x:v>
      </x:c>
      <x:c r="N65" s="10" t="n">
        <x:v>0.6568319483688383</x:v>
      </x:c>
      <x:c r="O65" s="2" t="n">
        <x:v>88</x:v>
      </x:c>
      <x:c r="P65" s="10" t="n">
        <x:v>0.6018936075917158</x:v>
      </x:c>
      <x:c r="Q65" s="10" t="n">
        <x:v>0.755436283719438</x:v>
      </x:c>
    </x:row>
    <x:row r="66" ht="23" customHeight="1">
      <x:c r="A66" s="2" t="str">
        <x:v>Climate</x:v>
      </x:c>
      <x:c r="B66" s="2" t="n">
        <x:v>6</x:v>
      </x:c>
      <x:c r="C66" s="2" t="str">
        <x:v>TaTS</x:v>
      </x:c>
      <x:c r="D66" s="2" t="n">
        <x:v>2026</x:v>
      </x:c>
      <x:c r="E66" s="10" t="n">
        <x:v>1.1433486550950163</x:v>
      </x:c>
      <x:c r="F66" s="10" t="n">
        <x:v>1.1433486553128849</x:v>
      </x:c>
      <x:c r="G66" s="10" t="n">
        <x:v>1.1433486550950163</x:v>
      </x:c>
      <x:c r="H66" s="11" t="n">
        <x:v>0</x:v>
      </x:c>
      <x:c r="I66" s="2" t="n">
        <x:v>0</x:v>
      </x:c>
      <x:c r="J66" s="2" t="n">
        <x:v>8</x:v>
      </x:c>
      <x:c r="K66" s="2" t="str">
        <x:v>已达到</x:v>
      </x:c>
      <x:c r="L66" s="10" t="n">
        <x:v>0.8512762332391258</x:v>
      </x:c>
      <x:c r="M66" s="10" t="n">
        <x:v>0.8512762331812278</x:v>
      </x:c>
      <x:c r="N66" s="10" t="n">
        <x:v>0.8512762332391258</x:v>
      </x:c>
      <x:c r="O66" s="2" t="n">
        <x:v>94</x:v>
      </x:c>
      <x:c r="P66" s="10" t="n">
        <x:v>1</x:v>
      </x:c>
      <x:c r="Q66" s="10" t="n">
        <x:v>1</x:v>
      </x:c>
    </x:row>
    <x:row r="67" ht="23" customHeight="1">
      <x:c r="A67" s="2" t="str">
        <x:v>Climate</x:v>
      </x:c>
      <x:c r="B67" s="2" t="n">
        <x:v>6</x:v>
      </x:c>
      <x:c r="C67" s="2" t="str">
        <x:v>TaTS</x:v>
      </x:c>
      <x:c r="D67" s="2" t="n">
        <x:v>2027</x:v>
      </x:c>
      <x:c r="E67" s="10" t="n">
        <x:v>1.1433486550950163</x:v>
      </x:c>
      <x:c r="F67" s="10" t="n">
        <x:v>1.1433486553128849</x:v>
      </x:c>
      <x:c r="G67" s="10" t="n">
        <x:v>1.1433486550950163</x:v>
      </x:c>
      <x:c r="H67" s="11" t="n">
        <x:v>0</x:v>
      </x:c>
      <x:c r="I67" s="2" t="n">
        <x:v>0</x:v>
      </x:c>
      <x:c r="J67" s="2" t="n">
        <x:v>8</x:v>
      </x:c>
      <x:c r="K67" s="2" t="str">
        <x:v>已达到</x:v>
      </x:c>
      <x:c r="L67" s="10" t="n">
        <x:v>0.8512762332391258</x:v>
      </x:c>
      <x:c r="M67" s="10" t="n">
        <x:v>0.8512762331812278</x:v>
      </x:c>
      <x:c r="N67" s="10" t="n">
        <x:v>0.8512762332391258</x:v>
      </x:c>
      <x:c r="O67" s="2" t="n">
        <x:v>94</x:v>
      </x:c>
      <x:c r="P67" s="10" t="n">
        <x:v>1</x:v>
      </x:c>
      <x:c r="Q67" s="10" t="n">
        <x:v>1</x:v>
      </x:c>
    </x:row>
    <x:row r="68" ht="23" customHeight="1">
      <x:c r="A68" s="2" t="str">
        <x:v>Climate</x:v>
      </x:c>
      <x:c r="B68" s="2" t="n">
        <x:v>6</x:v>
      </x:c>
      <x:c r="C68" s="2" t="str">
        <x:v>TaTS</x:v>
      </x:c>
      <x:c r="D68" s="2" t="n">
        <x:v>2028</x:v>
      </x:c>
      <x:c r="E68" s="10" t="n">
        <x:v>1.1433486550950163</x:v>
      </x:c>
      <x:c r="F68" s="10" t="n">
        <x:v>1.1433486553128849</x:v>
      </x:c>
      <x:c r="G68" s="10" t="n">
        <x:v>1.1433486550950163</x:v>
      </x:c>
      <x:c r="H68" s="11" t="n">
        <x:v>0</x:v>
      </x:c>
      <x:c r="I68" s="2" t="n">
        <x:v>0</x:v>
      </x:c>
      <x:c r="J68" s="2" t="n">
        <x:v>8</x:v>
      </x:c>
      <x:c r="K68" s="2" t="str">
        <x:v>已达到</x:v>
      </x:c>
      <x:c r="L68" s="10" t="n">
        <x:v>0.8512762332391258</x:v>
      </x:c>
      <x:c r="M68" s="10" t="n">
        <x:v>0.8512762331812278</x:v>
      </x:c>
      <x:c r="N68" s="10" t="n">
        <x:v>0.8512762332391258</x:v>
      </x:c>
      <x:c r="O68" s="2" t="n">
        <x:v>94</x:v>
      </x:c>
      <x:c r="P68" s="10" t="n">
        <x:v>1</x:v>
      </x:c>
      <x:c r="Q68" s="10" t="n">
        <x:v>1</x:v>
      </x:c>
    </x:row>
    <x:row r="69" ht="23" customHeight="1">
      <x:c r="A69" s="2" t="str">
        <x:v>Climate</x:v>
      </x:c>
      <x:c r="B69" s="2" t="n">
        <x:v>6</x:v>
      </x:c>
      <x:c r="C69" s="2" t="str">
        <x:v>MM-TSFlib</x:v>
      </x:c>
      <x:c r="D69" s="2" t="n">
        <x:v>2026</x:v>
      </x:c>
      <x:c r="E69" s="10" t="n">
        <x:v>1.1941477400109357</x:v>
      </x:c>
      <x:c r="F69" s="10" t="n">
        <x:v>1.1941477409352586</x:v>
      </x:c>
      <x:c r="G69" s="10" t="n">
        <x:v>1.1941477400109357</x:v>
      </x:c>
      <x:c r="H69" s="11" t="n">
        <x:v>0</x:v>
      </x:c>
      <x:c r="I69" s="2" t="n">
        <x:v>0</x:v>
      </x:c>
      <x:c r="J69" s="2" t="n">
        <x:v>8</x:v>
      </x:c>
      <x:c r="K69" s="2" t="str">
        <x:v>已达到</x:v>
      </x:c>
      <x:c r="L69" s="10" t="n">
        <x:v>0.8785688413343399</x:v>
      </x:c>
      <x:c r="M69" s="10" t="n">
        <x:v>0.878568841643723</x:v>
      </x:c>
      <x:c r="N69" s="10" t="n">
        <x:v>0.8785688413343399</x:v>
      </x:c>
      <x:c r="O69" s="2" t="n">
        <x:v>94</x:v>
      </x:c>
      <x:c r="P69" s="10" t="n">
        <x:v>1</x:v>
      </x:c>
      <x:c r="Q69" s="10" t="n">
        <x:v>1</x:v>
      </x:c>
    </x:row>
    <x:row r="70" ht="23" customHeight="1">
      <x:c r="A70" s="2" t="str">
        <x:v>Climate</x:v>
      </x:c>
      <x:c r="B70" s="2" t="n">
        <x:v>6</x:v>
      </x:c>
      <x:c r="C70" s="2" t="str">
        <x:v>MM-TSFlib</x:v>
      </x:c>
      <x:c r="D70" s="2" t="n">
        <x:v>2027</x:v>
      </x:c>
      <x:c r="E70" s="10" t="n">
        <x:v>1.1941477400109357</x:v>
      </x:c>
      <x:c r="F70" s="10" t="n">
        <x:v>1.1941477409352586</x:v>
      </x:c>
      <x:c r="G70" s="10" t="n">
        <x:v>1.1941477400109357</x:v>
      </x:c>
      <x:c r="H70" s="11" t="n">
        <x:v>0</x:v>
      </x:c>
      <x:c r="I70" s="2" t="n">
        <x:v>0</x:v>
      </x:c>
      <x:c r="J70" s="2" t="n">
        <x:v>8</x:v>
      </x:c>
      <x:c r="K70" s="2" t="str">
        <x:v>已达到</x:v>
      </x:c>
      <x:c r="L70" s="10" t="n">
        <x:v>0.8785688413343399</x:v>
      </x:c>
      <x:c r="M70" s="10" t="n">
        <x:v>0.878568841643723</x:v>
      </x:c>
      <x:c r="N70" s="10" t="n">
        <x:v>0.8785688413343399</x:v>
      </x:c>
      <x:c r="O70" s="2" t="n">
        <x:v>94</x:v>
      </x:c>
      <x:c r="P70" s="10" t="n">
        <x:v>1</x:v>
      </x:c>
      <x:c r="Q70" s="10" t="n">
        <x:v>1</x:v>
      </x:c>
    </x:row>
    <x:row r="71" ht="23" customHeight="1">
      <x:c r="A71" s="2" t="str">
        <x:v>Climate</x:v>
      </x:c>
      <x:c r="B71" s="2" t="n">
        <x:v>6</x:v>
      </x:c>
      <x:c r="C71" s="2" t="str">
        <x:v>MM-TSFlib</x:v>
      </x:c>
      <x:c r="D71" s="2" t="n">
        <x:v>2028</x:v>
      </x:c>
      <x:c r="E71" s="10" t="n">
        <x:v>1.1941477400109357</x:v>
      </x:c>
      <x:c r="F71" s="10" t="n">
        <x:v>1.1941477409352586</x:v>
      </x:c>
      <x:c r="G71" s="10" t="n">
        <x:v>1.1941477400109357</x:v>
      </x:c>
      <x:c r="H71" s="11" t="n">
        <x:v>0</x:v>
      </x:c>
      <x:c r="I71" s="2" t="n">
        <x:v>0</x:v>
      </x:c>
      <x:c r="J71" s="2" t="n">
        <x:v>8</x:v>
      </x:c>
      <x:c r="K71" s="2" t="str">
        <x:v>已达到</x:v>
      </x:c>
      <x:c r="L71" s="10" t="n">
        <x:v>0.8785688413343399</x:v>
      </x:c>
      <x:c r="M71" s="10" t="n">
        <x:v>0.878568841643723</x:v>
      </x:c>
      <x:c r="N71" s="10" t="n">
        <x:v>0.8785688413343399</x:v>
      </x:c>
      <x:c r="O71" s="2" t="n">
        <x:v>94</x:v>
      </x:c>
      <x:c r="P71" s="10" t="n">
        <x:v>1</x:v>
      </x:c>
      <x:c r="Q71" s="10" t="n">
        <x:v>1</x:v>
      </x:c>
    </x:row>
    <x:row r="72" ht="23" customHeight="1">
      <x:c r="A72" s="2" t="str">
        <x:v>Climate</x:v>
      </x:c>
      <x:c r="B72" s="2" t="n">
        <x:v>6</x:v>
      </x:c>
      <x:c r="C72" s="2" t="str">
        <x:v>SpecTF</x:v>
      </x:c>
      <x:c r="D72" s="2" t="n">
        <x:v>2026</x:v>
      </x:c>
      <x:c r="E72" s="10" t="n">
        <x:v>1.0572414052259043</x:v>
      </x:c>
      <x:c r="F72" s="10" t="n">
        <x:v>1.057241405061904</x:v>
      </x:c>
      <x:c r="G72" s="10" t="n">
        <x:v>1.0572414052328372</x:v>
      </x:c>
      <x:c r="H72" s="11" t="n">
        <x:v>0.25</x:v>
      </x:c>
      <x:c r="I72" s="2" t="n">
        <x:v>0</x:v>
      </x:c>
      <x:c r="J72" s="2" t="n">
        <x:v>8</x:v>
      </x:c>
      <x:c r="K72" s="2" t="str">
        <x:v>已达到</x:v>
      </x:c>
      <x:c r="L72" s="10" t="n">
        <x:v>0.8341966694260531</x:v>
      </x:c>
      <x:c r="M72" s="10" t="n">
        <x:v>0.8341966693278019</x:v>
      </x:c>
      <x:c r="N72" s="10" t="n">
        <x:v>0.8341966694384377</x:v>
      </x:c>
      <x:c r="O72" s="2" t="n">
        <x:v>94</x:v>
      </x:c>
      <x:c r="P72" s="10" t="n">
        <x:v>0.999999999886485</x:v>
      </x:c>
      <x:c r="Q72" s="10" t="n">
        <x:v>0.9999999999007404</x:v>
      </x:c>
    </x:row>
    <x:row r="73" ht="23" customHeight="1">
      <x:c r="A73" s="2" t="str">
        <x:v>Climate</x:v>
      </x:c>
      <x:c r="B73" s="2" t="n">
        <x:v>6</x:v>
      </x:c>
      <x:c r="C73" s="2" t="str">
        <x:v>SpecTF</x:v>
      </x:c>
      <x:c r="D73" s="2" t="n">
        <x:v>2027</x:v>
      </x:c>
      <x:c r="E73" s="10" t="n">
        <x:v>1.0572414052259043</x:v>
      </x:c>
      <x:c r="F73" s="10" t="n">
        <x:v>1.057241405061904</x:v>
      </x:c>
      <x:c r="G73" s="10" t="n">
        <x:v>1.0572414052328372</x:v>
      </x:c>
      <x:c r="H73" s="11" t="n">
        <x:v>0.25</x:v>
      </x:c>
      <x:c r="I73" s="2" t="n">
        <x:v>0</x:v>
      </x:c>
      <x:c r="J73" s="2" t="n">
        <x:v>8</x:v>
      </x:c>
      <x:c r="K73" s="2" t="str">
        <x:v>已达到</x:v>
      </x:c>
      <x:c r="L73" s="10" t="n">
        <x:v>0.8341966694260531</x:v>
      </x:c>
      <x:c r="M73" s="10" t="n">
        <x:v>0.8341966693278019</x:v>
      </x:c>
      <x:c r="N73" s="10" t="n">
        <x:v>0.8341966694384377</x:v>
      </x:c>
      <x:c r="O73" s="2" t="n">
        <x:v>94</x:v>
      </x:c>
      <x:c r="P73" s="10" t="n">
        <x:v>0.999999999886485</x:v>
      </x:c>
      <x:c r="Q73" s="10" t="n">
        <x:v>0.9999999999007404</x:v>
      </x:c>
    </x:row>
    <x:row r="74" ht="23" customHeight="1">
      <x:c r="A74" s="2" t="str">
        <x:v>Climate</x:v>
      </x:c>
      <x:c r="B74" s="2" t="n">
        <x:v>6</x:v>
      </x:c>
      <x:c r="C74" s="2" t="str">
        <x:v>SpecTF</x:v>
      </x:c>
      <x:c r="D74" s="2" t="n">
        <x:v>2028</x:v>
      </x:c>
      <x:c r="E74" s="10" t="n">
        <x:v>1.0572414052259043</x:v>
      </x:c>
      <x:c r="F74" s="10" t="n">
        <x:v>1.057241405061904</x:v>
      </x:c>
      <x:c r="G74" s="10" t="n">
        <x:v>1.0572414052328372</x:v>
      </x:c>
      <x:c r="H74" s="11" t="n">
        <x:v>0.25</x:v>
      </x:c>
      <x:c r="I74" s="2" t="n">
        <x:v>0</x:v>
      </x:c>
      <x:c r="J74" s="2" t="n">
        <x:v>8</x:v>
      </x:c>
      <x:c r="K74" s="2" t="str">
        <x:v>已达到</x:v>
      </x:c>
      <x:c r="L74" s="10" t="n">
        <x:v>0.8341966694260531</x:v>
      </x:c>
      <x:c r="M74" s="10" t="n">
        <x:v>0.8341966693278019</x:v>
      </x:c>
      <x:c r="N74" s="10" t="n">
        <x:v>0.8341966694384377</x:v>
      </x:c>
      <x:c r="O74" s="2" t="n">
        <x:v>94</x:v>
      </x:c>
      <x:c r="P74" s="10" t="n">
        <x:v>0.999999999886485</x:v>
      </x:c>
      <x:c r="Q74" s="10" t="n">
        <x:v>0.9999999999007404</x:v>
      </x:c>
    </x:row>
    <x:row r="75" ht="23" customHeight="1">
      <x:c r="A75" s="2" t="str">
        <x:v>Climate</x:v>
      </x:c>
      <x:c r="B75" s="2" t="n">
        <x:v>6</x:v>
      </x:c>
      <x:c r="C75" s="2" t="str">
        <x:v>CFA</x:v>
      </x:c>
      <x:c r="D75" s="2" t="n">
        <x:v>2026</x:v>
      </x:c>
      <x:c r="E75" s="10" t="n">
        <x:v>1.2072524518723515</x:v>
      </x:c>
      <x:c r="F75" s="10" t="n">
        <x:v>1.2072524516805254</x:v>
      </x:c>
      <x:c r="G75" s="10" t="n">
        <x:v>1.207252451827332</x:v>
      </x:c>
      <x:c r="H75" s="11" t="n">
        <x:v>0.5</x:v>
      </x:c>
      <x:c r="I75" s="2" t="n">
        <x:v>0</x:v>
      </x:c>
      <x:c r="J75" s="2" t="n">
        <x:v>8</x:v>
      </x:c>
      <x:c r="K75" s="2" t="str">
        <x:v>已达到</x:v>
      </x:c>
      <x:c r="L75" s="10" t="n">
        <x:v>0.8877422128843658</x:v>
      </x:c>
      <x:c r="M75" s="10" t="n">
        <x:v>0.8877422128234749</x:v>
      </x:c>
      <x:c r="N75" s="10" t="n">
        <x:v>0.8877422128356531</x:v>
      </x:c>
      <x:c r="O75" s="2" t="n">
        <x:v>94</x:v>
      </x:c>
      <x:c r="P75" s="10" t="n">
        <x:v>0.9999999999910527</x:v>
      </x:c>
      <x:c r="Q75" s="10" t="n">
        <x:v>0.9999999996251361</x:v>
      </x:c>
    </x:row>
    <x:row r="76" ht="23" customHeight="1">
      <x:c r="A76" s="2" t="str">
        <x:v>Climate</x:v>
      </x:c>
      <x:c r="B76" s="2" t="n">
        <x:v>6</x:v>
      </x:c>
      <x:c r="C76" s="2" t="str">
        <x:v>CFA</x:v>
      </x:c>
      <x:c r="D76" s="2" t="n">
        <x:v>2027</x:v>
      </x:c>
      <x:c r="E76" s="10" t="n">
        <x:v>1.2072524518723515</x:v>
      </x:c>
      <x:c r="F76" s="10" t="n">
        <x:v>1.2072524516805254</x:v>
      </x:c>
      <x:c r="G76" s="10" t="n">
        <x:v>1.207252451827332</x:v>
      </x:c>
      <x:c r="H76" s="11" t="n">
        <x:v>0.5</x:v>
      </x:c>
      <x:c r="I76" s="2" t="n">
        <x:v>0</x:v>
      </x:c>
      <x:c r="J76" s="2" t="n">
        <x:v>8</x:v>
      </x:c>
      <x:c r="K76" s="2" t="str">
        <x:v>已达到</x:v>
      </x:c>
      <x:c r="L76" s="10" t="n">
        <x:v>0.8877422128843658</x:v>
      </x:c>
      <x:c r="M76" s="10" t="n">
        <x:v>0.8877422128234749</x:v>
      </x:c>
      <x:c r="N76" s="10" t="n">
        <x:v>0.8877422128356531</x:v>
      </x:c>
      <x:c r="O76" s="2" t="n">
        <x:v>94</x:v>
      </x:c>
      <x:c r="P76" s="10" t="n">
        <x:v>0.9999999999910527</x:v>
      </x:c>
      <x:c r="Q76" s="10" t="n">
        <x:v>0.9999999996251361</x:v>
      </x:c>
    </x:row>
    <x:row r="77" ht="23" customHeight="1">
      <x:c r="A77" s="2" t="str">
        <x:v>Climate</x:v>
      </x:c>
      <x:c r="B77" s="2" t="n">
        <x:v>6</x:v>
      </x:c>
      <x:c r="C77" s="2" t="str">
        <x:v>CFA</x:v>
      </x:c>
      <x:c r="D77" s="2" t="n">
        <x:v>2028</x:v>
      </x:c>
      <x:c r="E77" s="10" t="n">
        <x:v>1.2072524518723515</x:v>
      </x:c>
      <x:c r="F77" s="10" t="n">
        <x:v>1.2072524516805254</x:v>
      </x:c>
      <x:c r="G77" s="10" t="n">
        <x:v>1.207252451827332</x:v>
      </x:c>
      <x:c r="H77" s="11" t="n">
        <x:v>0.5</x:v>
      </x:c>
      <x:c r="I77" s="2" t="n">
        <x:v>0</x:v>
      </x:c>
      <x:c r="J77" s="2" t="n">
        <x:v>8</x:v>
      </x:c>
      <x:c r="K77" s="2" t="str">
        <x:v>已达到</x:v>
      </x:c>
      <x:c r="L77" s="10" t="n">
        <x:v>0.8877422128843658</x:v>
      </x:c>
      <x:c r="M77" s="10" t="n">
        <x:v>0.8877422128234749</x:v>
      </x:c>
      <x:c r="N77" s="10" t="n">
        <x:v>0.8877422128356531</x:v>
      </x:c>
      <x:c r="O77" s="2" t="n">
        <x:v>94</x:v>
      </x:c>
      <x:c r="P77" s="10" t="n">
        <x:v>0.9999999999910527</x:v>
      </x:c>
      <x:c r="Q77" s="10" t="n">
        <x:v>0.9999999996251361</x:v>
      </x:c>
    </x:row>
    <x:row r="78" ht="23" customHeight="1">
      <x:c r="A78" s="2" t="str">
        <x:v>Climate</x:v>
      </x:c>
      <x:c r="B78" s="2" t="n">
        <x:v>6</x:v>
      </x:c>
      <x:c r="C78" s="2" t="str">
        <x:v>Aurora</x:v>
      </x:c>
      <x:c r="D78" s="2" t="n">
        <x:v>2026</x:v>
      </x:c>
      <x:c r="E78" s="10" t="n">
        <x:v>1.1349327105336318</x:v>
      </x:c>
      <x:c r="F78" s="10" t="n">
        <x:v>1.1349327102024143</x:v>
      </x:c>
      <x:c r="G78" s="10" t="n">
        <x:v>1.1349327105976588</x:v>
      </x:c>
      <x:c r="H78" s="11" t="n">
        <x:v>0.25</x:v>
      </x:c>
      <x:c r="I78" s="2" t="n">
        <x:v>0</x:v>
      </x:c>
      <x:c r="J78" s="2" t="n">
        <x:v>8</x:v>
      </x:c>
      <x:c r="K78" s="2" t="str">
        <x:v>已达到</x:v>
      </x:c>
      <x:c r="L78" s="10" t="n">
        <x:v>0.8616187951697127</x:v>
      </x:c>
      <x:c r="M78" s="10" t="n">
        <x:v>0.861618795077112</x:v>
      </x:c>
      <x:c r="N78" s="10" t="n">
        <x:v>0.8616187952014096</x:v>
      </x:c>
      <x:c r="O78" s="2" t="n">
        <x:v>94</x:v>
      </x:c>
      <x:c r="P78" s="10" t="n">
        <x:v>0.9999999999982461</x:v>
      </x:c>
      <x:c r="Q78" s="10" t="n">
        <x:v>0.9999999999856122</x:v>
      </x:c>
    </x:row>
    <x:row r="79" ht="23" customHeight="1">
      <x:c r="A79" s="2" t="str">
        <x:v>Climate</x:v>
      </x:c>
      <x:c r="B79" s="2" t="n">
        <x:v>6</x:v>
      </x:c>
      <x:c r="C79" s="2" t="str">
        <x:v>Aurora</x:v>
      </x:c>
      <x:c r="D79" s="2" t="n">
        <x:v>2027</x:v>
      </x:c>
      <x:c r="E79" s="10" t="n">
        <x:v>1.1349327105336318</x:v>
      </x:c>
      <x:c r="F79" s="10" t="n">
        <x:v>1.1349327102024143</x:v>
      </x:c>
      <x:c r="G79" s="10" t="n">
        <x:v>1.1349327105976588</x:v>
      </x:c>
      <x:c r="H79" s="11" t="n">
        <x:v>0.25</x:v>
      </x:c>
      <x:c r="I79" s="2" t="n">
        <x:v>0</x:v>
      </x:c>
      <x:c r="J79" s="2" t="n">
        <x:v>8</x:v>
      </x:c>
      <x:c r="K79" s="2" t="str">
        <x:v>已达到</x:v>
      </x:c>
      <x:c r="L79" s="10" t="n">
        <x:v>0.8616187951697127</x:v>
      </x:c>
      <x:c r="M79" s="10" t="n">
        <x:v>0.861618795077112</x:v>
      </x:c>
      <x:c r="N79" s="10" t="n">
        <x:v>0.8616187952014096</x:v>
      </x:c>
      <x:c r="O79" s="2" t="n">
        <x:v>94</x:v>
      </x:c>
      <x:c r="P79" s="10" t="n">
        <x:v>0.9999999999982461</x:v>
      </x:c>
      <x:c r="Q79" s="10" t="n">
        <x:v>0.9999999999856122</x:v>
      </x:c>
    </x:row>
    <x:row r="80" ht="23" customHeight="1">
      <x:c r="A80" s="2" t="str">
        <x:v>Climate</x:v>
      </x:c>
      <x:c r="B80" s="2" t="n">
        <x:v>6</x:v>
      </x:c>
      <x:c r="C80" s="2" t="str">
        <x:v>Aurora</x:v>
      </x:c>
      <x:c r="D80" s="2" t="n">
        <x:v>2028</x:v>
      </x:c>
      <x:c r="E80" s="10" t="n">
        <x:v>1.1349327105336318</x:v>
      </x:c>
      <x:c r="F80" s="10" t="n">
        <x:v>1.1349327102024143</x:v>
      </x:c>
      <x:c r="G80" s="10" t="n">
        <x:v>1.1349327105976588</x:v>
      </x:c>
      <x:c r="H80" s="11" t="n">
        <x:v>0.25</x:v>
      </x:c>
      <x:c r="I80" s="2" t="n">
        <x:v>0</x:v>
      </x:c>
      <x:c r="J80" s="2" t="n">
        <x:v>8</x:v>
      </x:c>
      <x:c r="K80" s="2" t="str">
        <x:v>已达到</x:v>
      </x:c>
      <x:c r="L80" s="10" t="n">
        <x:v>0.8616187951697127</x:v>
      </x:c>
      <x:c r="M80" s="10" t="n">
        <x:v>0.861618795077112</x:v>
      </x:c>
      <x:c r="N80" s="10" t="n">
        <x:v>0.8616187952014096</x:v>
      </x:c>
      <x:c r="O80" s="2" t="n">
        <x:v>94</x:v>
      </x:c>
      <x:c r="P80" s="10" t="n">
        <x:v>0.9999999999982461</x:v>
      </x:c>
      <x:c r="Q80" s="10" t="n">
        <x:v>0.9999999999856122</x:v>
      </x:c>
    </x:row>
    <x:row r="81" ht="23" customHeight="1">
      <x:c r="A81" s="2" t="str">
        <x:v>Climate</x:v>
      </x:c>
      <x:c r="B81" s="2" t="n">
        <x:v>8</x:v>
      </x:c>
      <x:c r="C81" s="2" t="str">
        <x:v>TaTS</x:v>
      </x:c>
      <x:c r="D81" s="2" t="n">
        <x:v>2026</x:v>
      </x:c>
      <x:c r="E81" s="10" t="n">
        <x:v>1.1675973042594807</x:v>
      </x:c>
      <x:c r="F81" s="10" t="n">
        <x:v>1.1675973043778383</x:v>
      </x:c>
      <x:c r="G81" s="10" t="n">
        <x:v>1.1675973043756265</x:v>
      </x:c>
      <x:c r="H81" s="11" t="n">
        <x:v>0.75</x:v>
      </x:c>
      <x:c r="I81" s="2" t="n">
        <x:v>0</x:v>
      </x:c>
      <x:c r="J81" s="2" t="n">
        <x:v>8</x:v>
      </x:c>
      <x:c r="K81" s="2" t="str">
        <x:v>已达到</x:v>
      </x:c>
      <x:c r="L81" s="10" t="n">
        <x:v>0.8678113940556574</x:v>
      </x:c>
      <x:c r="M81" s="10" t="n">
        <x:v>0.867811394044269</x:v>
      </x:c>
      <x:c r="N81" s="10" t="n">
        <x:v>0.8678113940455343</x:v>
      </x:c>
      <x:c r="O81" s="2" t="n">
        <x:v>92</x:v>
      </x:c>
      <x:c r="P81" s="10" t="n">
        <x:v>0.9999999995833596</x:v>
      </x:c>
      <x:c r="Q81" s="10" t="n">
        <x:v>0.9999999999036348</x:v>
      </x:c>
    </x:row>
    <x:row r="82" ht="23" customHeight="1">
      <x:c r="A82" s="2" t="str">
        <x:v>Climate</x:v>
      </x:c>
      <x:c r="B82" s="2" t="n">
        <x:v>8</x:v>
      </x:c>
      <x:c r="C82" s="2" t="str">
        <x:v>TaTS</x:v>
      </x:c>
      <x:c r="D82" s="2" t="n">
        <x:v>2027</x:v>
      </x:c>
      <x:c r="E82" s="10" t="n">
        <x:v>1.1675973042594807</x:v>
      </x:c>
      <x:c r="F82" s="10" t="n">
        <x:v>1.1675973043778383</x:v>
      </x:c>
      <x:c r="G82" s="10" t="n">
        <x:v>1.1675973043756265</x:v>
      </x:c>
      <x:c r="H82" s="11" t="n">
        <x:v>0.75</x:v>
      </x:c>
      <x:c r="I82" s="2" t="n">
        <x:v>0</x:v>
      </x:c>
      <x:c r="J82" s="2" t="n">
        <x:v>8</x:v>
      </x:c>
      <x:c r="K82" s="2" t="str">
        <x:v>已达到</x:v>
      </x:c>
      <x:c r="L82" s="10" t="n">
        <x:v>0.8678113940556574</x:v>
      </x:c>
      <x:c r="M82" s="10" t="n">
        <x:v>0.867811394044269</x:v>
      </x:c>
      <x:c r="N82" s="10" t="n">
        <x:v>0.8678113940455343</x:v>
      </x:c>
      <x:c r="O82" s="2" t="n">
        <x:v>92</x:v>
      </x:c>
      <x:c r="P82" s="10" t="n">
        <x:v>0.9999999995833596</x:v>
      </x:c>
      <x:c r="Q82" s="10" t="n">
        <x:v>0.9999999999036348</x:v>
      </x:c>
    </x:row>
    <x:row r="83" ht="23" customHeight="1">
      <x:c r="A83" s="2" t="str">
        <x:v>Climate</x:v>
      </x:c>
      <x:c r="B83" s="2" t="n">
        <x:v>8</x:v>
      </x:c>
      <x:c r="C83" s="2" t="str">
        <x:v>TaTS</x:v>
      </x:c>
      <x:c r="D83" s="2" t="n">
        <x:v>2028</x:v>
      </x:c>
      <x:c r="E83" s="10" t="n">
        <x:v>1.1675973042594807</x:v>
      </x:c>
      <x:c r="F83" s="10" t="n">
        <x:v>1.1675973043778383</x:v>
      </x:c>
      <x:c r="G83" s="10" t="n">
        <x:v>1.1675973043756265</x:v>
      </x:c>
      <x:c r="H83" s="11" t="n">
        <x:v>0.75</x:v>
      </x:c>
      <x:c r="I83" s="2" t="n">
        <x:v>0</x:v>
      </x:c>
      <x:c r="J83" s="2" t="n">
        <x:v>8</x:v>
      </x:c>
      <x:c r="K83" s="2" t="str">
        <x:v>已达到</x:v>
      </x:c>
      <x:c r="L83" s="10" t="n">
        <x:v>0.8678113940556574</x:v>
      </x:c>
      <x:c r="M83" s="10" t="n">
        <x:v>0.867811394044269</x:v>
      </x:c>
      <x:c r="N83" s="10" t="n">
        <x:v>0.8678113940455343</x:v>
      </x:c>
      <x:c r="O83" s="2" t="n">
        <x:v>92</x:v>
      </x:c>
      <x:c r="P83" s="10" t="n">
        <x:v>0.9999999995833596</x:v>
      </x:c>
      <x:c r="Q83" s="10" t="n">
        <x:v>0.9999999999036348</x:v>
      </x:c>
    </x:row>
    <x:row r="84" ht="23" customHeight="1">
      <x:c r="A84" s="2" t="str">
        <x:v>Climate</x:v>
      </x:c>
      <x:c r="B84" s="2" t="n">
        <x:v>8</x:v>
      </x:c>
      <x:c r="C84" s="2" t="str">
        <x:v>MM-TSFlib</x:v>
      </x:c>
      <x:c r="D84" s="2" t="n">
        <x:v>2026</x:v>
      </x:c>
      <x:c r="E84" s="10" t="n">
        <x:v>1.3202855790609833</x:v>
      </x:c>
      <x:c r="F84" s="10" t="n">
        <x:v>1.3202855791888068</x:v>
      </x:c>
      <x:c r="G84" s="10" t="n">
        <x:v>1.3202855790648724</x:v>
      </x:c>
      <x:c r="H84" s="11" t="n">
        <x:v>0.5</x:v>
      </x:c>
      <x:c r="I84" s="2" t="n">
        <x:v>0</x:v>
      </x:c>
      <x:c r="J84" s="2" t="n">
        <x:v>8</x:v>
      </x:c>
      <x:c r="K84" s="2" t="str">
        <x:v>已达到</x:v>
      </x:c>
      <x:c r="L84" s="10" t="n">
        <x:v>0.9247054916578117</x:v>
      </x:c>
      <x:c r="M84" s="10" t="n">
        <x:v>0.924705491676318</x:v>
      </x:c>
      <x:c r="N84" s="10" t="n">
        <x:v>0.924705491632504</x:v>
      </x:c>
      <x:c r="O84" s="2" t="n">
        <x:v>92</x:v>
      </x:c>
      <x:c r="P84" s="10" t="n">
        <x:v>0.9999999998951344</x:v>
      </x:c>
      <x:c r="Q84" s="10" t="n">
        <x:v>0.999999999827575</x:v>
      </x:c>
    </x:row>
    <x:row r="85" ht="23" customHeight="1">
      <x:c r="A85" s="2" t="str">
        <x:v>Climate</x:v>
      </x:c>
      <x:c r="B85" s="2" t="n">
        <x:v>8</x:v>
      </x:c>
      <x:c r="C85" s="2" t="str">
        <x:v>MM-TSFlib</x:v>
      </x:c>
      <x:c r="D85" s="2" t="n">
        <x:v>2027</x:v>
      </x:c>
      <x:c r="E85" s="10" t="n">
        <x:v>1.3202855790609833</x:v>
      </x:c>
      <x:c r="F85" s="10" t="n">
        <x:v>1.3202855791888068</x:v>
      </x:c>
      <x:c r="G85" s="10" t="n">
        <x:v>1.3202855790648724</x:v>
      </x:c>
      <x:c r="H85" s="11" t="n">
        <x:v>0.5</x:v>
      </x:c>
      <x:c r="I85" s="2" t="n">
        <x:v>0</x:v>
      </x:c>
      <x:c r="J85" s="2" t="n">
        <x:v>8</x:v>
      </x:c>
      <x:c r="K85" s="2" t="str">
        <x:v>已达到</x:v>
      </x:c>
      <x:c r="L85" s="10" t="n">
        <x:v>0.9247054916578117</x:v>
      </x:c>
      <x:c r="M85" s="10" t="n">
        <x:v>0.924705491676318</x:v>
      </x:c>
      <x:c r="N85" s="10" t="n">
        <x:v>0.924705491632504</x:v>
      </x:c>
      <x:c r="O85" s="2" t="n">
        <x:v>92</x:v>
      </x:c>
      <x:c r="P85" s="10" t="n">
        <x:v>0.9999999998951344</x:v>
      </x:c>
      <x:c r="Q85" s="10" t="n">
        <x:v>0.999999999827575</x:v>
      </x:c>
    </x:row>
    <x:row r="86" ht="23" customHeight="1">
      <x:c r="A86" s="2" t="str">
        <x:v>Climate</x:v>
      </x:c>
      <x:c r="B86" s="2" t="n">
        <x:v>8</x:v>
      </x:c>
      <x:c r="C86" s="2" t="str">
        <x:v>MM-TSFlib</x:v>
      </x:c>
      <x:c r="D86" s="2" t="n">
        <x:v>2028</x:v>
      </x:c>
      <x:c r="E86" s="10" t="n">
        <x:v>1.3202855790609833</x:v>
      </x:c>
      <x:c r="F86" s="10" t="n">
        <x:v>1.3202855791888068</x:v>
      </x:c>
      <x:c r="G86" s="10" t="n">
        <x:v>1.3202855790648724</x:v>
      </x:c>
      <x:c r="H86" s="11" t="n">
        <x:v>0.5</x:v>
      </x:c>
      <x:c r="I86" s="2" t="n">
        <x:v>0</x:v>
      </x:c>
      <x:c r="J86" s="2" t="n">
        <x:v>8</x:v>
      </x:c>
      <x:c r="K86" s="2" t="str">
        <x:v>已达到</x:v>
      </x:c>
      <x:c r="L86" s="10" t="n">
        <x:v>0.9247054916578117</x:v>
      </x:c>
      <x:c r="M86" s="10" t="n">
        <x:v>0.924705491676318</x:v>
      </x:c>
      <x:c r="N86" s="10" t="n">
        <x:v>0.924705491632504</x:v>
      </x:c>
      <x:c r="O86" s="2" t="n">
        <x:v>92</x:v>
      </x:c>
      <x:c r="P86" s="10" t="n">
        <x:v>0.9999999998951344</x:v>
      </x:c>
      <x:c r="Q86" s="10" t="n">
        <x:v>0.999999999827575</x:v>
      </x:c>
    </x:row>
    <x:row r="87" ht="23" customHeight="1">
      <x:c r="A87" s="2" t="str">
        <x:v>Climate</x:v>
      </x:c>
      <x:c r="B87" s="2" t="n">
        <x:v>8</x:v>
      </x:c>
      <x:c r="C87" s="2" t="str">
        <x:v>SpecTF</x:v>
      </x:c>
      <x:c r="D87" s="2" t="n">
        <x:v>2026</x:v>
      </x:c>
      <x:c r="E87" s="10" t="n">
        <x:v>1.07353160690252</x:v>
      </x:c>
      <x:c r="F87" s="10" t="n">
        <x:v>1.0735316069655532</x:v>
      </x:c>
      <x:c r="G87" s="10" t="n">
        <x:v>1.07353160690252</x:v>
      </x:c>
      <x:c r="H87" s="11" t="n">
        <x:v>0</x:v>
      </x:c>
      <x:c r="I87" s="2" t="n">
        <x:v>0</x:v>
      </x:c>
      <x:c r="J87" s="2" t="n">
        <x:v>8</x:v>
      </x:c>
      <x:c r="K87" s="2" t="str">
        <x:v>已达到</x:v>
      </x:c>
      <x:c r="L87" s="10" t="n">
        <x:v>0.8403140751279945</x:v>
      </x:c>
      <x:c r="M87" s="10" t="n">
        <x:v>0.8403140751405099</x:v>
      </x:c>
      <x:c r="N87" s="10" t="n">
        <x:v>0.8403140751279945</x:v>
      </x:c>
      <x:c r="O87" s="2" t="n">
        <x:v>92</x:v>
      </x:c>
      <x:c r="P87" s="10" t="n">
        <x:v>1</x:v>
      </x:c>
      <x:c r="Q87" s="10" t="n">
        <x:v>1</x:v>
      </x:c>
    </x:row>
    <x:row r="88" ht="23" customHeight="1">
      <x:c r="A88" s="2" t="str">
        <x:v>Climate</x:v>
      </x:c>
      <x:c r="B88" s="2" t="n">
        <x:v>8</x:v>
      </x:c>
      <x:c r="C88" s="2" t="str">
        <x:v>SpecTF</x:v>
      </x:c>
      <x:c r="D88" s="2" t="n">
        <x:v>2027</x:v>
      </x:c>
      <x:c r="E88" s="10" t="n">
        <x:v>1.07353160690252</x:v>
      </x:c>
      <x:c r="F88" s="10" t="n">
        <x:v>1.0735316069655532</x:v>
      </x:c>
      <x:c r="G88" s="10" t="n">
        <x:v>1.07353160690252</x:v>
      </x:c>
      <x:c r="H88" s="11" t="n">
        <x:v>0</x:v>
      </x:c>
      <x:c r="I88" s="2" t="n">
        <x:v>0</x:v>
      </x:c>
      <x:c r="J88" s="2" t="n">
        <x:v>8</x:v>
      </x:c>
      <x:c r="K88" s="2" t="str">
        <x:v>已达到</x:v>
      </x:c>
      <x:c r="L88" s="10" t="n">
        <x:v>0.8403140751279945</x:v>
      </x:c>
      <x:c r="M88" s="10" t="n">
        <x:v>0.8403140751405099</x:v>
      </x:c>
      <x:c r="N88" s="10" t="n">
        <x:v>0.8403140751279945</x:v>
      </x:c>
      <x:c r="O88" s="2" t="n">
        <x:v>92</x:v>
      </x:c>
      <x:c r="P88" s="10" t="n">
        <x:v>1</x:v>
      </x:c>
      <x:c r="Q88" s="10" t="n">
        <x:v>1</x:v>
      </x:c>
    </x:row>
    <x:row r="89" ht="23" customHeight="1">
      <x:c r="A89" s="2" t="str">
        <x:v>Climate</x:v>
      </x:c>
      <x:c r="B89" s="2" t="n">
        <x:v>8</x:v>
      </x:c>
      <x:c r="C89" s="2" t="str">
        <x:v>SpecTF</x:v>
      </x:c>
      <x:c r="D89" s="2" t="n">
        <x:v>2028</x:v>
      </x:c>
      <x:c r="E89" s="10" t="n">
        <x:v>1.07353160690252</x:v>
      </x:c>
      <x:c r="F89" s="10" t="n">
        <x:v>1.0735316069655532</x:v>
      </x:c>
      <x:c r="G89" s="10" t="n">
        <x:v>1.07353160690252</x:v>
      </x:c>
      <x:c r="H89" s="11" t="n">
        <x:v>0</x:v>
      </x:c>
      <x:c r="I89" s="2" t="n">
        <x:v>0</x:v>
      </x:c>
      <x:c r="J89" s="2" t="n">
        <x:v>8</x:v>
      </x:c>
      <x:c r="K89" s="2" t="str">
        <x:v>已达到</x:v>
      </x:c>
      <x:c r="L89" s="10" t="n">
        <x:v>0.8403140751279945</x:v>
      </x:c>
      <x:c r="M89" s="10" t="n">
        <x:v>0.8403140751405099</x:v>
      </x:c>
      <x:c r="N89" s="10" t="n">
        <x:v>0.8403140751279945</x:v>
      </x:c>
      <x:c r="O89" s="2" t="n">
        <x:v>92</x:v>
      </x:c>
      <x:c r="P89" s="10" t="n">
        <x:v>1</x:v>
      </x:c>
      <x:c r="Q89" s="10" t="n">
        <x:v>1</x:v>
      </x:c>
    </x:row>
    <x:row r="90" ht="23" customHeight="1">
      <x:c r="A90" s="2" t="str">
        <x:v>Climate</x:v>
      </x:c>
      <x:c r="B90" s="2" t="n">
        <x:v>8</x:v>
      </x:c>
      <x:c r="C90" s="2" t="str">
        <x:v>CFA</x:v>
      </x:c>
      <x:c r="D90" s="2" t="n">
        <x:v>2026</x:v>
      </x:c>
      <x:c r="E90" s="10" t="n">
        <x:v>1.1615048166871749</x:v>
      </x:c>
      <x:c r="F90" s="10" t="n">
        <x:v>1.1615048167783644</x:v>
      </x:c>
      <x:c r="G90" s="10" t="n">
        <x:v>1.1615048166871749</x:v>
      </x:c>
      <x:c r="H90" s="11" t="n">
        <x:v>0</x:v>
      </x:c>
      <x:c r="I90" s="2" t="n">
        <x:v>0</x:v>
      </x:c>
      <x:c r="J90" s="2" t="n">
        <x:v>8</x:v>
      </x:c>
      <x:c r="K90" s="2" t="str">
        <x:v>已达到</x:v>
      </x:c>
      <x:c r="L90" s="10" t="n">
        <x:v>0.8794871590760759</x:v>
      </x:c>
      <x:c r="M90" s="10" t="n">
        <x:v>0.8794871591820518</x:v>
      </x:c>
      <x:c r="N90" s="10" t="n">
        <x:v>0.8794871590760759</x:v>
      </x:c>
      <x:c r="O90" s="2" t="n">
        <x:v>92</x:v>
      </x:c>
      <x:c r="P90" s="10" t="n">
        <x:v>1</x:v>
      </x:c>
      <x:c r="Q90" s="10" t="n">
        <x:v>1</x:v>
      </x:c>
    </x:row>
    <x:row r="91" ht="23" customHeight="1">
      <x:c r="A91" s="2" t="str">
        <x:v>Climate</x:v>
      </x:c>
      <x:c r="B91" s="2" t="n">
        <x:v>8</x:v>
      </x:c>
      <x:c r="C91" s="2" t="str">
        <x:v>CFA</x:v>
      </x:c>
      <x:c r="D91" s="2" t="n">
        <x:v>2027</x:v>
      </x:c>
      <x:c r="E91" s="10" t="n">
        <x:v>1.1615048166871749</x:v>
      </x:c>
      <x:c r="F91" s="10" t="n">
        <x:v>1.1615048167783644</x:v>
      </x:c>
      <x:c r="G91" s="10" t="n">
        <x:v>1.1615048166871749</x:v>
      </x:c>
      <x:c r="H91" s="11" t="n">
        <x:v>0</x:v>
      </x:c>
      <x:c r="I91" s="2" t="n">
        <x:v>0</x:v>
      </x:c>
      <x:c r="J91" s="2" t="n">
        <x:v>8</x:v>
      </x:c>
      <x:c r="K91" s="2" t="str">
        <x:v>已达到</x:v>
      </x:c>
      <x:c r="L91" s="10" t="n">
        <x:v>0.8794871590760759</x:v>
      </x:c>
      <x:c r="M91" s="10" t="n">
        <x:v>0.8794871591820518</x:v>
      </x:c>
      <x:c r="N91" s="10" t="n">
        <x:v>0.8794871590760759</x:v>
      </x:c>
      <x:c r="O91" s="2" t="n">
        <x:v>92</x:v>
      </x:c>
      <x:c r="P91" s="10" t="n">
        <x:v>1</x:v>
      </x:c>
      <x:c r="Q91" s="10" t="n">
        <x:v>1</x:v>
      </x:c>
    </x:row>
    <x:row r="92" ht="23" customHeight="1">
      <x:c r="A92" s="2" t="str">
        <x:v>Climate</x:v>
      </x:c>
      <x:c r="B92" s="2" t="n">
        <x:v>8</x:v>
      </x:c>
      <x:c r="C92" s="2" t="str">
        <x:v>CFA</x:v>
      </x:c>
      <x:c r="D92" s="2" t="n">
        <x:v>2028</x:v>
      </x:c>
      <x:c r="E92" s="10" t="n">
        <x:v>1.1615048166871749</x:v>
      </x:c>
      <x:c r="F92" s="10" t="n">
        <x:v>1.1615048167783644</x:v>
      </x:c>
      <x:c r="G92" s="10" t="n">
        <x:v>1.1615048166871749</x:v>
      </x:c>
      <x:c r="H92" s="11" t="n">
        <x:v>0</x:v>
      </x:c>
      <x:c r="I92" s="2" t="n">
        <x:v>0</x:v>
      </x:c>
      <x:c r="J92" s="2" t="n">
        <x:v>8</x:v>
      </x:c>
      <x:c r="K92" s="2" t="str">
        <x:v>已达到</x:v>
      </x:c>
      <x:c r="L92" s="10" t="n">
        <x:v>0.8794871590760759</x:v>
      </x:c>
      <x:c r="M92" s="10" t="n">
        <x:v>0.8794871591820518</x:v>
      </x:c>
      <x:c r="N92" s="10" t="n">
        <x:v>0.8794871590760759</x:v>
      </x:c>
      <x:c r="O92" s="2" t="n">
        <x:v>92</x:v>
      </x:c>
      <x:c r="P92" s="10" t="n">
        <x:v>1</x:v>
      </x:c>
      <x:c r="Q92" s="10" t="n">
        <x:v>1</x:v>
      </x:c>
    </x:row>
    <x:row r="93" ht="23" customHeight="1">
      <x:c r="A93" s="2" t="str">
        <x:v>Climate</x:v>
      </x:c>
      <x:c r="B93" s="2" t="n">
        <x:v>8</x:v>
      </x:c>
      <x:c r="C93" s="2" t="str">
        <x:v>Aurora</x:v>
      </x:c>
      <x:c r="D93" s="2" t="n">
        <x:v>2026</x:v>
      </x:c>
      <x:c r="E93" s="10" t="n">
        <x:v>1.1448523384243392</x:v>
      </x:c>
      <x:c r="F93" s="10" t="n">
        <x:v>1.144852338344318</x:v>
      </x:c>
      <x:c r="G93" s="10" t="n">
        <x:v>1.1448523384243392</x:v>
      </x:c>
      <x:c r="H93" s="11" t="n">
        <x:v>0</x:v>
      </x:c>
      <x:c r="I93" s="2" t="n">
        <x:v>0</x:v>
      </x:c>
      <x:c r="J93" s="2" t="n">
        <x:v>8</x:v>
      </x:c>
      <x:c r="K93" s="2" t="str">
        <x:v>已达到</x:v>
      </x:c>
      <x:c r="L93" s="10" t="n">
        <x:v>0.8674248015116993</x:v>
      </x:c>
      <x:c r="M93" s="10" t="n">
        <x:v>0.8674248014604117</x:v>
      </x:c>
      <x:c r="N93" s="10" t="n">
        <x:v>0.8674248015116993</x:v>
      </x:c>
      <x:c r="O93" s="2" t="n">
        <x:v>92</x:v>
      </x:c>
      <x:c r="P93" s="10" t="n">
        <x:v>1</x:v>
      </x:c>
      <x:c r="Q93" s="10" t="n">
        <x:v>1</x:v>
      </x:c>
    </x:row>
    <x:row r="94" ht="23" customHeight="1">
      <x:c r="A94" s="2" t="str">
        <x:v>Climate</x:v>
      </x:c>
      <x:c r="B94" s="2" t="n">
        <x:v>8</x:v>
      </x:c>
      <x:c r="C94" s="2" t="str">
        <x:v>Aurora</x:v>
      </x:c>
      <x:c r="D94" s="2" t="n">
        <x:v>2027</x:v>
      </x:c>
      <x:c r="E94" s="10" t="n">
        <x:v>1.1448523384243392</x:v>
      </x:c>
      <x:c r="F94" s="10" t="n">
        <x:v>1.144852338344318</x:v>
      </x:c>
      <x:c r="G94" s="10" t="n">
        <x:v>1.1448523384243392</x:v>
      </x:c>
      <x:c r="H94" s="11" t="n">
        <x:v>0</x:v>
      </x:c>
      <x:c r="I94" s="2" t="n">
        <x:v>0</x:v>
      </x:c>
      <x:c r="J94" s="2" t="n">
        <x:v>8</x:v>
      </x:c>
      <x:c r="K94" s="2" t="str">
        <x:v>已达到</x:v>
      </x:c>
      <x:c r="L94" s="10" t="n">
        <x:v>0.8674248015116993</x:v>
      </x:c>
      <x:c r="M94" s="10" t="n">
        <x:v>0.8674248014604117</x:v>
      </x:c>
      <x:c r="N94" s="10" t="n">
        <x:v>0.8674248015116993</x:v>
      </x:c>
      <x:c r="O94" s="2" t="n">
        <x:v>92</x:v>
      </x:c>
      <x:c r="P94" s="10" t="n">
        <x:v>1</x:v>
      </x:c>
      <x:c r="Q94" s="10" t="n">
        <x:v>1</x:v>
      </x:c>
    </x:row>
    <x:row r="95" ht="23" customHeight="1">
      <x:c r="A95" s="2" t="str">
        <x:v>Climate</x:v>
      </x:c>
      <x:c r="B95" s="2" t="n">
        <x:v>8</x:v>
      </x:c>
      <x:c r="C95" s="2" t="str">
        <x:v>Aurora</x:v>
      </x:c>
      <x:c r="D95" s="2" t="n">
        <x:v>2028</x:v>
      </x:c>
      <x:c r="E95" s="10" t="n">
        <x:v>1.1448523384243392</x:v>
      </x:c>
      <x:c r="F95" s="10" t="n">
        <x:v>1.144852338344318</x:v>
      </x:c>
      <x:c r="G95" s="10" t="n">
        <x:v>1.1448523384243392</x:v>
      </x:c>
      <x:c r="H95" s="11" t="n">
        <x:v>0</x:v>
      </x:c>
      <x:c r="I95" s="2" t="n">
        <x:v>0</x:v>
      </x:c>
      <x:c r="J95" s="2" t="n">
        <x:v>8</x:v>
      </x:c>
      <x:c r="K95" s="2" t="str">
        <x:v>已达到</x:v>
      </x:c>
      <x:c r="L95" s="10" t="n">
        <x:v>0.8674248015116993</x:v>
      </x:c>
      <x:c r="M95" s="10" t="n">
        <x:v>0.8674248014604117</x:v>
      </x:c>
      <x:c r="N95" s="10" t="n">
        <x:v>0.8674248015116993</x:v>
      </x:c>
      <x:c r="O95" s="2" t="n">
        <x:v>92</x:v>
      </x:c>
      <x:c r="P95" s="10" t="n">
        <x:v>1</x:v>
      </x:c>
      <x:c r="Q95" s="10" t="n">
        <x:v>1</x:v>
      </x:c>
    </x:row>
    <x:row r="96" ht="23" customHeight="1">
      <x:c r="A96" s="2" t="str">
        <x:v>Climate</x:v>
      </x:c>
      <x:c r="B96" s="2" t="n">
        <x:v>10</x:v>
      </x:c>
      <x:c r="C96" s="2" t="str">
        <x:v>TaTS</x:v>
      </x:c>
      <x:c r="D96" s="2" t="n">
        <x:v>2026</x:v>
      </x:c>
      <x:c r="E96" s="10" t="n">
        <x:v>1.1619446589645592</x:v>
      </x:c>
      <x:c r="F96" s="10" t="n">
        <x:v>1.1619446589995912</x:v>
      </x:c>
      <x:c r="G96" s="10" t="n">
        <x:v>1.1619446589774514</x:v>
      </x:c>
      <x:c r="H96" s="11" t="n">
        <x:v>0.75</x:v>
      </x:c>
      <x:c r="I96" s="2" t="n">
        <x:v>0</x:v>
      </x:c>
      <x:c r="J96" s="2" t="n">
        <x:v>8</x:v>
      </x:c>
      <x:c r="K96" s="2" t="str">
        <x:v>已达到</x:v>
      </x:c>
      <x:c r="L96" s="10" t="n">
        <x:v>0.8608195766972171</x:v>
      </x:c>
      <x:c r="M96" s="10" t="n">
        <x:v>0.8608195766747101</x:v>
      </x:c>
      <x:c r="N96" s="10" t="n">
        <x:v>0.8608195766846701</x:v>
      </x:c>
      <x:c r="O96" s="2" t="n">
        <x:v>90</x:v>
      </x:c>
      <x:c r="P96" s="10" t="n">
        <x:v>0.9999999999851561</x:v>
      </x:c>
      <x:c r="Q96" s="10" t="n">
        <x:v>0.9999999996638477</x:v>
      </x:c>
    </x:row>
    <x:row r="97" ht="23" customHeight="1">
      <x:c r="A97" s="2" t="str">
        <x:v>Climate</x:v>
      </x:c>
      <x:c r="B97" s="2" t="n">
        <x:v>10</x:v>
      </x:c>
      <x:c r="C97" s="2" t="str">
        <x:v>TaTS</x:v>
      </x:c>
      <x:c r="D97" s="2" t="n">
        <x:v>2027</x:v>
      </x:c>
      <x:c r="E97" s="10" t="n">
        <x:v>1.1619446589645592</x:v>
      </x:c>
      <x:c r="F97" s="10" t="n">
        <x:v>1.1619446589995912</x:v>
      </x:c>
      <x:c r="G97" s="10" t="n">
        <x:v>1.1619446589774514</x:v>
      </x:c>
      <x:c r="H97" s="11" t="n">
        <x:v>0.75</x:v>
      </x:c>
      <x:c r="I97" s="2" t="n">
        <x:v>0</x:v>
      </x:c>
      <x:c r="J97" s="2" t="n">
        <x:v>8</x:v>
      </x:c>
      <x:c r="K97" s="2" t="str">
        <x:v>已达到</x:v>
      </x:c>
      <x:c r="L97" s="10" t="n">
        <x:v>0.8608195766972171</x:v>
      </x:c>
      <x:c r="M97" s="10" t="n">
        <x:v>0.8608195766747101</x:v>
      </x:c>
      <x:c r="N97" s="10" t="n">
        <x:v>0.8608195766846701</x:v>
      </x:c>
      <x:c r="O97" s="2" t="n">
        <x:v>90</x:v>
      </x:c>
      <x:c r="P97" s="10" t="n">
        <x:v>0.9999999999851561</x:v>
      </x:c>
      <x:c r="Q97" s="10" t="n">
        <x:v>0.9999999996638477</x:v>
      </x:c>
    </x:row>
    <x:row r="98" ht="23" customHeight="1">
      <x:c r="A98" s="2" t="str">
        <x:v>Climate</x:v>
      </x:c>
      <x:c r="B98" s="2" t="n">
        <x:v>10</x:v>
      </x:c>
      <x:c r="C98" s="2" t="str">
        <x:v>TaTS</x:v>
      </x:c>
      <x:c r="D98" s="2" t="n">
        <x:v>2028</x:v>
      </x:c>
      <x:c r="E98" s="10" t="n">
        <x:v>1.1619446589645592</x:v>
      </x:c>
      <x:c r="F98" s="10" t="n">
        <x:v>1.1619446589995912</x:v>
      </x:c>
      <x:c r="G98" s="10" t="n">
        <x:v>1.1619446589774514</x:v>
      </x:c>
      <x:c r="H98" s="11" t="n">
        <x:v>0.75</x:v>
      </x:c>
      <x:c r="I98" s="2" t="n">
        <x:v>0</x:v>
      </x:c>
      <x:c r="J98" s="2" t="n">
        <x:v>8</x:v>
      </x:c>
      <x:c r="K98" s="2" t="str">
        <x:v>已达到</x:v>
      </x:c>
      <x:c r="L98" s="10" t="n">
        <x:v>0.8608195766972171</x:v>
      </x:c>
      <x:c r="M98" s="10" t="n">
        <x:v>0.8608195766747101</x:v>
      </x:c>
      <x:c r="N98" s="10" t="n">
        <x:v>0.8608195766846701</x:v>
      </x:c>
      <x:c r="O98" s="2" t="n">
        <x:v>90</x:v>
      </x:c>
      <x:c r="P98" s="10" t="n">
        <x:v>0.9999999999851561</x:v>
      </x:c>
      <x:c r="Q98" s="10" t="n">
        <x:v>0.9999999996638477</x:v>
      </x:c>
    </x:row>
    <x:row r="99" ht="23" customHeight="1">
      <x:c r="A99" s="2" t="str">
        <x:v>Climate</x:v>
      </x:c>
      <x:c r="B99" s="2" t="n">
        <x:v>10</x:v>
      </x:c>
      <x:c r="C99" s="2" t="str">
        <x:v>MM-TSFlib</x:v>
      </x:c>
      <x:c r="D99" s="2" t="n">
        <x:v>2026</x:v>
      </x:c>
      <x:c r="E99" s="10" t="n">
        <x:v>1.2405914477230617</x:v>
      </x:c>
      <x:c r="F99" s="10" t="n">
        <x:v>1.2405914476873654</x:v>
      </x:c>
      <x:c r="G99" s="10" t="n">
        <x:v>1.2405914477497597</x:v>
      </x:c>
      <x:c r="H99" s="11" t="n">
        <x:v>0.25</x:v>
      </x:c>
      <x:c r="I99" s="2" t="n">
        <x:v>0</x:v>
      </x:c>
      <x:c r="J99" s="2" t="n">
        <x:v>8</x:v>
      </x:c>
      <x:c r="K99" s="2" t="str">
        <x:v>已达到</x:v>
      </x:c>
      <x:c r="L99" s="10" t="n">
        <x:v>0.8979152856917224</x:v>
      </x:c>
      <x:c r="M99" s="10" t="n">
        <x:v>0.8979152854745431</x:v>
      </x:c>
      <x:c r="N99" s="10" t="n">
        <x:v>0.8979152856996128</x:v>
      </x:c>
      <x:c r="O99" s="2" t="n">
        <x:v>90</x:v>
      </x:c>
      <x:c r="P99" s="10" t="n">
        <x:v>0.9999999999254177</x:v>
      </x:c>
      <x:c r="Q99" s="10" t="n">
        <x:v>0.9999999999321666</x:v>
      </x:c>
    </x:row>
    <x:row r="100" ht="23" customHeight="1">
      <x:c r="A100" s="2" t="str">
        <x:v>Climate</x:v>
      </x:c>
      <x:c r="B100" s="2" t="n">
        <x:v>10</x:v>
      </x:c>
      <x:c r="C100" s="2" t="str">
        <x:v>MM-TSFlib</x:v>
      </x:c>
      <x:c r="D100" s="2" t="n">
        <x:v>2027</x:v>
      </x:c>
      <x:c r="E100" s="10" t="n">
        <x:v>1.2405914477230617</x:v>
      </x:c>
      <x:c r="F100" s="10" t="n">
        <x:v>1.2405914476873654</x:v>
      </x:c>
      <x:c r="G100" s="10" t="n">
        <x:v>1.2405914477497597</x:v>
      </x:c>
      <x:c r="H100" s="11" t="n">
        <x:v>0.25</x:v>
      </x:c>
      <x:c r="I100" s="2" t="n">
        <x:v>0</x:v>
      </x:c>
      <x:c r="J100" s="2" t="n">
        <x:v>8</x:v>
      </x:c>
      <x:c r="K100" s="2" t="str">
        <x:v>已达到</x:v>
      </x:c>
      <x:c r="L100" s="10" t="n">
        <x:v>0.8979152856917224</x:v>
      </x:c>
      <x:c r="M100" s="10" t="n">
        <x:v>0.8979152854745431</x:v>
      </x:c>
      <x:c r="N100" s="10" t="n">
        <x:v>0.8979152856996128</x:v>
      </x:c>
      <x:c r="O100" s="2" t="n">
        <x:v>90</x:v>
      </x:c>
      <x:c r="P100" s="10" t="n">
        <x:v>0.9999999999254177</x:v>
      </x:c>
      <x:c r="Q100" s="10" t="n">
        <x:v>0.9999999999321666</x:v>
      </x:c>
    </x:row>
    <x:row r="101" ht="23" customHeight="1">
      <x:c r="A101" s="2" t="str">
        <x:v>Climate</x:v>
      </x:c>
      <x:c r="B101" s="2" t="n">
        <x:v>10</x:v>
      </x:c>
      <x:c r="C101" s="2" t="str">
        <x:v>MM-TSFlib</x:v>
      </x:c>
      <x:c r="D101" s="2" t="n">
        <x:v>2028</x:v>
      </x:c>
      <x:c r="E101" s="10" t="n">
        <x:v>1.2405914477230617</x:v>
      </x:c>
      <x:c r="F101" s="10" t="n">
        <x:v>1.2405914476873654</x:v>
      </x:c>
      <x:c r="G101" s="10" t="n">
        <x:v>1.2405914477497597</x:v>
      </x:c>
      <x:c r="H101" s="11" t="n">
        <x:v>0.25</x:v>
      </x:c>
      <x:c r="I101" s="2" t="n">
        <x:v>0</x:v>
      </x:c>
      <x:c r="J101" s="2" t="n">
        <x:v>8</x:v>
      </x:c>
      <x:c r="K101" s="2" t="str">
        <x:v>已达到</x:v>
      </x:c>
      <x:c r="L101" s="10" t="n">
        <x:v>0.8979152856917224</x:v>
      </x:c>
      <x:c r="M101" s="10" t="n">
        <x:v>0.8979152854745431</x:v>
      </x:c>
      <x:c r="N101" s="10" t="n">
        <x:v>0.8979152856996128</x:v>
      </x:c>
      <x:c r="O101" s="2" t="n">
        <x:v>90</x:v>
      </x:c>
      <x:c r="P101" s="10" t="n">
        <x:v>0.9999999999254177</x:v>
      </x:c>
      <x:c r="Q101" s="10" t="n">
        <x:v>0.9999999999321666</x:v>
      </x:c>
    </x:row>
    <x:row r="102" ht="23" customHeight="1">
      <x:c r="A102" s="2" t="str">
        <x:v>Climate</x:v>
      </x:c>
      <x:c r="B102" s="2" t="n">
        <x:v>10</x:v>
      </x:c>
      <x:c r="C102" s="2" t="str">
        <x:v>SpecTF</x:v>
      </x:c>
      <x:c r="D102" s="2" t="n">
        <x:v>2026</x:v>
      </x:c>
      <x:c r="E102" s="10" t="n">
        <x:v>1.1226732238917876</x:v>
      </x:c>
      <x:c r="F102" s="10" t="n">
        <x:v>1.122673223886854</x:v>
      </x:c>
      <x:c r="G102" s="10" t="n">
        <x:v>1.1226732238917876</x:v>
      </x:c>
      <x:c r="H102" s="11" t="n">
        <x:v>0</x:v>
      </x:c>
      <x:c r="I102" s="2" t="n">
        <x:v>0</x:v>
      </x:c>
      <x:c r="J102" s="2" t="n">
        <x:v>8</x:v>
      </x:c>
      <x:c r="K102" s="2" t="str">
        <x:v>已达到</x:v>
      </x:c>
      <x:c r="L102" s="10" t="n">
        <x:v>0.8515015271989331</x:v>
      </x:c>
      <x:c r="M102" s="10" t="n">
        <x:v>0.8515015271460612</x:v>
      </x:c>
      <x:c r="N102" s="10" t="n">
        <x:v>0.8515015271989331</x:v>
      </x:c>
      <x:c r="O102" s="2" t="n">
        <x:v>90</x:v>
      </x:c>
      <x:c r="P102" s="10" t="n">
        <x:v>1</x:v>
      </x:c>
      <x:c r="Q102" s="10" t="n">
        <x:v>1</x:v>
      </x:c>
    </x:row>
    <x:row r="103" ht="23" customHeight="1">
      <x:c r="A103" s="2" t="str">
        <x:v>Climate</x:v>
      </x:c>
      <x:c r="B103" s="2" t="n">
        <x:v>10</x:v>
      </x:c>
      <x:c r="C103" s="2" t="str">
        <x:v>SpecTF</x:v>
      </x:c>
      <x:c r="D103" s="2" t="n">
        <x:v>2027</x:v>
      </x:c>
      <x:c r="E103" s="10" t="n">
        <x:v>1.1226732238917876</x:v>
      </x:c>
      <x:c r="F103" s="10" t="n">
        <x:v>1.122673223886854</x:v>
      </x:c>
      <x:c r="G103" s="10" t="n">
        <x:v>1.1226732238917876</x:v>
      </x:c>
      <x:c r="H103" s="11" t="n">
        <x:v>0</x:v>
      </x:c>
      <x:c r="I103" s="2" t="n">
        <x:v>0</x:v>
      </x:c>
      <x:c r="J103" s="2" t="n">
        <x:v>8</x:v>
      </x:c>
      <x:c r="K103" s="2" t="str">
        <x:v>已达到</x:v>
      </x:c>
      <x:c r="L103" s="10" t="n">
        <x:v>0.8515015271989331</x:v>
      </x:c>
      <x:c r="M103" s="10" t="n">
        <x:v>0.8515015271460612</x:v>
      </x:c>
      <x:c r="N103" s="10" t="n">
        <x:v>0.8515015271989331</x:v>
      </x:c>
      <x:c r="O103" s="2" t="n">
        <x:v>90</x:v>
      </x:c>
      <x:c r="P103" s="10" t="n">
        <x:v>1</x:v>
      </x:c>
      <x:c r="Q103" s="10" t="n">
        <x:v>1</x:v>
      </x:c>
    </x:row>
    <x:row r="104" ht="23" customHeight="1">
      <x:c r="A104" s="2" t="str">
        <x:v>Climate</x:v>
      </x:c>
      <x:c r="B104" s="2" t="n">
        <x:v>10</x:v>
      </x:c>
      <x:c r="C104" s="2" t="str">
        <x:v>SpecTF</x:v>
      </x:c>
      <x:c r="D104" s="2" t="n">
        <x:v>2028</x:v>
      </x:c>
      <x:c r="E104" s="10" t="n">
        <x:v>1.1226732238917876</x:v>
      </x:c>
      <x:c r="F104" s="10" t="n">
        <x:v>1.122673223886854</x:v>
      </x:c>
      <x:c r="G104" s="10" t="n">
        <x:v>1.1226732238917876</x:v>
      </x:c>
      <x:c r="H104" s="11" t="n">
        <x:v>0</x:v>
      </x:c>
      <x:c r="I104" s="2" t="n">
        <x:v>0</x:v>
      </x:c>
      <x:c r="J104" s="2" t="n">
        <x:v>8</x:v>
      </x:c>
      <x:c r="K104" s="2" t="str">
        <x:v>已达到</x:v>
      </x:c>
      <x:c r="L104" s="10" t="n">
        <x:v>0.8515015271989331</x:v>
      </x:c>
      <x:c r="M104" s="10" t="n">
        <x:v>0.8515015271460612</x:v>
      </x:c>
      <x:c r="N104" s="10" t="n">
        <x:v>0.8515015271989331</x:v>
      </x:c>
      <x:c r="O104" s="2" t="n">
        <x:v>90</x:v>
      </x:c>
      <x:c r="P104" s="10" t="n">
        <x:v>1</x:v>
      </x:c>
      <x:c r="Q104" s="10" t="n">
        <x:v>1</x:v>
      </x:c>
    </x:row>
    <x:row r="105" ht="23" customHeight="1">
      <x:c r="A105" s="2" t="str">
        <x:v>Climate</x:v>
      </x:c>
      <x:c r="B105" s="2" t="n">
        <x:v>10</x:v>
      </x:c>
      <x:c r="C105" s="2" t="str">
        <x:v>CFA</x:v>
      </x:c>
      <x:c r="D105" s="2" t="n">
        <x:v>2026</x:v>
      </x:c>
      <x:c r="E105" s="10" t="n">
        <x:v>1.0921057930035716</x:v>
      </x:c>
      <x:c r="F105" s="10" t="n">
        <x:v>1.0921057927416449</x:v>
      </x:c>
      <x:c r="G105" s="10" t="n">
        <x:v>1.0921057930063105</x:v>
      </x:c>
      <x:c r="H105" s="11" t="n">
        <x:v>0.25</x:v>
      </x:c>
      <x:c r="I105" s="2" t="n">
        <x:v>0</x:v>
      </x:c>
      <x:c r="J105" s="2" t="n">
        <x:v>8</x:v>
      </x:c>
      <x:c r="K105" s="2" t="str">
        <x:v>已达到</x:v>
      </x:c>
      <x:c r="L105" s="10" t="n">
        <x:v>0.8498655628878623</x:v>
      </x:c>
      <x:c r="M105" s="10" t="n">
        <x:v>0.8498655627512683</x:v>
      </x:c>
      <x:c r="N105" s="10" t="n">
        <x:v>0.8498655628920015</x:v>
      </x:c>
      <x:c r="O105" s="2" t="n">
        <x:v>90</x:v>
      </x:c>
      <x:c r="P105" s="10" t="n">
        <x:v>0.9999999999769288</x:v>
      </x:c>
      <x:c r="Q105" s="10" t="n">
        <x:v>0.9999999999815737</x:v>
      </x:c>
    </x:row>
    <x:row r="106" ht="23" customHeight="1">
      <x:c r="A106" s="2" t="str">
        <x:v>Climate</x:v>
      </x:c>
      <x:c r="B106" s="2" t="n">
        <x:v>10</x:v>
      </x:c>
      <x:c r="C106" s="2" t="str">
        <x:v>CFA</x:v>
      </x:c>
      <x:c r="D106" s="2" t="n">
        <x:v>2027</x:v>
      </x:c>
      <x:c r="E106" s="10" t="n">
        <x:v>1.0921057930035716</x:v>
      </x:c>
      <x:c r="F106" s="10" t="n">
        <x:v>1.0921057927416449</x:v>
      </x:c>
      <x:c r="G106" s="10" t="n">
        <x:v>1.0921057930063105</x:v>
      </x:c>
      <x:c r="H106" s="11" t="n">
        <x:v>0.25</x:v>
      </x:c>
      <x:c r="I106" s="2" t="n">
        <x:v>0</x:v>
      </x:c>
      <x:c r="J106" s="2" t="n">
        <x:v>8</x:v>
      </x:c>
      <x:c r="K106" s="2" t="str">
        <x:v>已达到</x:v>
      </x:c>
      <x:c r="L106" s="10" t="n">
        <x:v>0.8498655628878623</x:v>
      </x:c>
      <x:c r="M106" s="10" t="n">
        <x:v>0.8498655627512683</x:v>
      </x:c>
      <x:c r="N106" s="10" t="n">
        <x:v>0.8498655628920015</x:v>
      </x:c>
      <x:c r="O106" s="2" t="n">
        <x:v>90</x:v>
      </x:c>
      <x:c r="P106" s="10" t="n">
        <x:v>0.9999999999769288</x:v>
      </x:c>
      <x:c r="Q106" s="10" t="n">
        <x:v>0.9999999999815737</x:v>
      </x:c>
    </x:row>
    <x:row r="107" ht="23" customHeight="1">
      <x:c r="A107" s="2" t="str">
        <x:v>Climate</x:v>
      </x:c>
      <x:c r="B107" s="2" t="n">
        <x:v>10</x:v>
      </x:c>
      <x:c r="C107" s="2" t="str">
        <x:v>CFA</x:v>
      </x:c>
      <x:c r="D107" s="2" t="n">
        <x:v>2028</x:v>
      </x:c>
      <x:c r="E107" s="10" t="n">
        <x:v>1.0921057930035716</x:v>
      </x:c>
      <x:c r="F107" s="10" t="n">
        <x:v>1.0921057927416449</x:v>
      </x:c>
      <x:c r="G107" s="10" t="n">
        <x:v>1.0921057930063105</x:v>
      </x:c>
      <x:c r="H107" s="11" t="n">
        <x:v>0.25</x:v>
      </x:c>
      <x:c r="I107" s="2" t="n">
        <x:v>0</x:v>
      </x:c>
      <x:c r="J107" s="2" t="n">
        <x:v>8</x:v>
      </x:c>
      <x:c r="K107" s="2" t="str">
        <x:v>已达到</x:v>
      </x:c>
      <x:c r="L107" s="10" t="n">
        <x:v>0.8498655628878623</x:v>
      </x:c>
      <x:c r="M107" s="10" t="n">
        <x:v>0.8498655627512683</x:v>
      </x:c>
      <x:c r="N107" s="10" t="n">
        <x:v>0.8498655628920015</x:v>
      </x:c>
      <x:c r="O107" s="2" t="n">
        <x:v>90</x:v>
      </x:c>
      <x:c r="P107" s="10" t="n">
        <x:v>0.9999999999769288</x:v>
      </x:c>
      <x:c r="Q107" s="10" t="n">
        <x:v>0.9999999999815737</x:v>
      </x:c>
    </x:row>
    <x:row r="108" ht="23" customHeight="1">
      <x:c r="A108" s="2" t="str">
        <x:v>Climate</x:v>
      </x:c>
      <x:c r="B108" s="2" t="n">
        <x:v>10</x:v>
      </x:c>
      <x:c r="C108" s="2" t="str">
        <x:v>Aurora</x:v>
      </x:c>
      <x:c r="D108" s="2" t="n">
        <x:v>2026</x:v>
      </x:c>
      <x:c r="E108" s="10" t="n">
        <x:v>1.160987237939077</x:v>
      </x:c>
      <x:c r="F108" s="10" t="n">
        <x:v>1.1609872381682953</x:v>
      </x:c>
      <x:c r="G108" s="10" t="n">
        <x:v>1.1609872381995572</x:v>
      </x:c>
      <x:c r="H108" s="11" t="n">
        <x:v>0.75</x:v>
      </x:c>
      <x:c r="I108" s="2" t="n">
        <x:v>0</x:v>
      </x:c>
      <x:c r="J108" s="2" t="n">
        <x:v>8</x:v>
      </x:c>
      <x:c r="K108" s="2" t="str">
        <x:v>已达到</x:v>
      </x:c>
      <x:c r="L108" s="10" t="n">
        <x:v>0.8762681714300561</x:v>
      </x:c>
      <x:c r="M108" s="10" t="n">
        <x:v>0.8762681715175454</x:v>
      </x:c>
      <x:c r="N108" s="10" t="n">
        <x:v>0.8762681715233096</x:v>
      </x:c>
      <x:c r="O108" s="2" t="n">
        <x:v>90</x:v>
      </x:c>
      <x:c r="P108" s="10" t="n">
        <x:v>0.9999999995927846</x:v>
      </x:c>
      <x:c r="Q108" s="10" t="n">
        <x:v>0.9999999995869082</x:v>
      </x:c>
    </x:row>
    <x:row r="109" ht="23" customHeight="1">
      <x:c r="A109" s="2" t="str">
        <x:v>Climate</x:v>
      </x:c>
      <x:c r="B109" s="2" t="n">
        <x:v>10</x:v>
      </x:c>
      <x:c r="C109" s="2" t="str">
        <x:v>Aurora</x:v>
      </x:c>
      <x:c r="D109" s="2" t="n">
        <x:v>2027</x:v>
      </x:c>
      <x:c r="E109" s="10" t="n">
        <x:v>1.160987237939077</x:v>
      </x:c>
      <x:c r="F109" s="10" t="n">
        <x:v>1.1609872381682953</x:v>
      </x:c>
      <x:c r="G109" s="10" t="n">
        <x:v>1.1609872381995572</x:v>
      </x:c>
      <x:c r="H109" s="11" t="n">
        <x:v>0.75</x:v>
      </x:c>
      <x:c r="I109" s="2" t="n">
        <x:v>0</x:v>
      </x:c>
      <x:c r="J109" s="2" t="n">
        <x:v>8</x:v>
      </x:c>
      <x:c r="K109" s="2" t="str">
        <x:v>已达到</x:v>
      </x:c>
      <x:c r="L109" s="10" t="n">
        <x:v>0.8762681714300561</x:v>
      </x:c>
      <x:c r="M109" s="10" t="n">
        <x:v>0.8762681715175454</x:v>
      </x:c>
      <x:c r="N109" s="10" t="n">
        <x:v>0.8762681715233096</x:v>
      </x:c>
      <x:c r="O109" s="2" t="n">
        <x:v>90</x:v>
      </x:c>
      <x:c r="P109" s="10" t="n">
        <x:v>0.9999999995927846</x:v>
      </x:c>
      <x:c r="Q109" s="10" t="n">
        <x:v>0.9999999995869082</x:v>
      </x:c>
    </x:row>
    <x:row r="110" ht="23" customHeight="1">
      <x:c r="A110" s="2" t="str">
        <x:v>Climate</x:v>
      </x:c>
      <x:c r="B110" s="2" t="n">
        <x:v>10</x:v>
      </x:c>
      <x:c r="C110" s="2" t="str">
        <x:v>Aurora</x:v>
      </x:c>
      <x:c r="D110" s="2" t="n">
        <x:v>2028</x:v>
      </x:c>
      <x:c r="E110" s="10" t="n">
        <x:v>1.160987237939077</x:v>
      </x:c>
      <x:c r="F110" s="10" t="n">
        <x:v>1.1609872381682953</x:v>
      </x:c>
      <x:c r="G110" s="10" t="n">
        <x:v>1.1609872381995572</x:v>
      </x:c>
      <x:c r="H110" s="11" t="n">
        <x:v>0.75</x:v>
      </x:c>
      <x:c r="I110" s="2" t="n">
        <x:v>0</x:v>
      </x:c>
      <x:c r="J110" s="2" t="n">
        <x:v>8</x:v>
      </x:c>
      <x:c r="K110" s="2" t="str">
        <x:v>已达到</x:v>
      </x:c>
      <x:c r="L110" s="10" t="n">
        <x:v>0.8762681714300561</x:v>
      </x:c>
      <x:c r="M110" s="10" t="n">
        <x:v>0.8762681715175454</x:v>
      </x:c>
      <x:c r="N110" s="10" t="n">
        <x:v>0.8762681715233096</x:v>
      </x:c>
      <x:c r="O110" s="2" t="n">
        <x:v>90</x:v>
      </x:c>
      <x:c r="P110" s="10" t="n">
        <x:v>0.9999999995927846</x:v>
      </x:c>
      <x:c r="Q110" s="10" t="n">
        <x:v>0.9999999995869082</x:v>
      </x:c>
    </x:row>
    <x:row r="111" ht="23" customHeight="1">
      <x:c r="A111" s="2" t="str">
        <x:v>Climate</x:v>
      </x:c>
      <x:c r="B111" s="2" t="n">
        <x:v>12</x:v>
      </x:c>
      <x:c r="C111" s="2" t="str">
        <x:v>TaTS</x:v>
      </x:c>
      <x:c r="D111" s="2" t="n">
        <x:v>2026</x:v>
      </x:c>
      <x:c r="E111" s="10" t="n">
        <x:v>1.1409304660185637</x:v>
      </x:c>
      <x:c r="F111" s="10" t="n">
        <x:v>1.1409304659432564</x:v>
      </x:c>
      <x:c r="G111" s="10" t="n">
        <x:v>1.1409304659432564</x:v>
      </x:c>
      <x:c r="H111" s="11" t="n">
        <x:v>1</x:v>
      </x:c>
      <x:c r="I111" s="2" t="n">
        <x:v>0</x:v>
      </x:c>
      <x:c r="J111" s="2" t="n">
        <x:v>8</x:v>
      </x:c>
      <x:c r="K111" s="2" t="str">
        <x:v>已达到</x:v>
      </x:c>
      <x:c r="L111" s="10" t="n">
        <x:v>0.8553936386050544</x:v>
      </x:c>
      <x:c r="M111" s="10" t="n">
        <x:v>0.8553936385356399</x:v>
      </x:c>
      <x:c r="N111" s="10" t="n">
        <x:v>0.8553936385356399</x:v>
      </x:c>
      <x:c r="O111" s="2" t="n">
        <x:v>88</x:v>
      </x:c>
      <x:c r="P111" s="10" t="n">
        <x:v>0.9999999997871055</x:v>
      </x:c>
      <x:c r="Q111" s="10" t="n">
        <x:v>0.999999999805312</x:v>
      </x:c>
    </x:row>
    <x:row r="112" ht="23" customHeight="1">
      <x:c r="A112" s="2" t="str">
        <x:v>Climate</x:v>
      </x:c>
      <x:c r="B112" s="2" t="n">
        <x:v>12</x:v>
      </x:c>
      <x:c r="C112" s="2" t="str">
        <x:v>TaTS</x:v>
      </x:c>
      <x:c r="D112" s="2" t="n">
        <x:v>2027</x:v>
      </x:c>
      <x:c r="E112" s="10" t="n">
        <x:v>1.1409304660185637</x:v>
      </x:c>
      <x:c r="F112" s="10" t="n">
        <x:v>1.1409304659432564</x:v>
      </x:c>
      <x:c r="G112" s="10" t="n">
        <x:v>1.1409304659432564</x:v>
      </x:c>
      <x:c r="H112" s="11" t="n">
        <x:v>1</x:v>
      </x:c>
      <x:c r="I112" s="2" t="n">
        <x:v>0</x:v>
      </x:c>
      <x:c r="J112" s="2" t="n">
        <x:v>8</x:v>
      </x:c>
      <x:c r="K112" s="2" t="str">
        <x:v>已达到</x:v>
      </x:c>
      <x:c r="L112" s="10" t="n">
        <x:v>0.8553936386050544</x:v>
      </x:c>
      <x:c r="M112" s="10" t="n">
        <x:v>0.8553936385356399</x:v>
      </x:c>
      <x:c r="N112" s="10" t="n">
        <x:v>0.8553936385356399</x:v>
      </x:c>
      <x:c r="O112" s="2" t="n">
        <x:v>88</x:v>
      </x:c>
      <x:c r="P112" s="10" t="n">
        <x:v>0.9999999997871055</x:v>
      </x:c>
      <x:c r="Q112" s="10" t="n">
        <x:v>0.999999999805312</x:v>
      </x:c>
    </x:row>
    <x:row r="113" ht="23" customHeight="1">
      <x:c r="A113" s="2" t="str">
        <x:v>Climate</x:v>
      </x:c>
      <x:c r="B113" s="2" t="n">
        <x:v>12</x:v>
      </x:c>
      <x:c r="C113" s="2" t="str">
        <x:v>TaTS</x:v>
      </x:c>
      <x:c r="D113" s="2" t="n">
        <x:v>2028</x:v>
      </x:c>
      <x:c r="E113" s="10" t="n">
        <x:v>1.1409304660185637</x:v>
      </x:c>
      <x:c r="F113" s="10" t="n">
        <x:v>1.1409304659432564</x:v>
      </x:c>
      <x:c r="G113" s="10" t="n">
        <x:v>1.1409304659432564</x:v>
      </x:c>
      <x:c r="H113" s="11" t="n">
        <x:v>1</x:v>
      </x:c>
      <x:c r="I113" s="2" t="n">
        <x:v>0</x:v>
      </x:c>
      <x:c r="J113" s="2" t="n">
        <x:v>8</x:v>
      </x:c>
      <x:c r="K113" s="2" t="str">
        <x:v>已达到</x:v>
      </x:c>
      <x:c r="L113" s="10" t="n">
        <x:v>0.8553936386050544</x:v>
      </x:c>
      <x:c r="M113" s="10" t="n">
        <x:v>0.8553936385356399</x:v>
      </x:c>
      <x:c r="N113" s="10" t="n">
        <x:v>0.8553936385356399</x:v>
      </x:c>
      <x:c r="O113" s="2" t="n">
        <x:v>88</x:v>
      </x:c>
      <x:c r="P113" s="10" t="n">
        <x:v>0.9999999997871055</x:v>
      </x:c>
      <x:c r="Q113" s="10" t="n">
        <x:v>0.999999999805312</x:v>
      </x:c>
    </x:row>
    <x:row r="114" ht="23" customHeight="1">
      <x:c r="A114" s="2" t="str">
        <x:v>Climate</x:v>
      </x:c>
      <x:c r="B114" s="2" t="n">
        <x:v>12</x:v>
      </x:c>
      <x:c r="C114" s="2" t="str">
        <x:v>MM-TSFlib</x:v>
      </x:c>
      <x:c r="D114" s="2" t="n">
        <x:v>2026</x:v>
      </x:c>
      <x:c r="E114" s="10" t="n">
        <x:v>1.216266717246754</x:v>
      </x:c>
      <x:c r="F114" s="10" t="n">
        <x:v>1.2162667169268637</x:v>
      </x:c>
      <x:c r="G114" s="10" t="n">
        <x:v>1.2162667169387846</x:v>
      </x:c>
      <x:c r="H114" s="11" t="n">
        <x:v>0.75</x:v>
      </x:c>
      <x:c r="I114" s="2" t="n">
        <x:v>0</x:v>
      </x:c>
      <x:c r="J114" s="2" t="n">
        <x:v>8</x:v>
      </x:c>
      <x:c r="K114" s="2" t="str">
        <x:v>已达到</x:v>
      </x:c>
      <x:c r="L114" s="10" t="n">
        <x:v>0.8851447826729616</x:v>
      </x:c>
      <x:c r="M114" s="10" t="n">
        <x:v>0.8851447825341155</x:v>
      </x:c>
      <x:c r="N114" s="10" t="n">
        <x:v>0.8851447825359621</x:v>
      </x:c>
      <x:c r="O114" s="2" t="n">
        <x:v>88</x:v>
      </x:c>
      <x:c r="P114" s="10" t="n">
        <x:v>0.9999999996201114</x:v>
      </x:c>
      <x:c r="Q114" s="10" t="n">
        <x:v>0.9999999997529273</x:v>
      </x:c>
    </x:row>
    <x:row r="115" ht="23" customHeight="1">
      <x:c r="A115" s="2" t="str">
        <x:v>Climate</x:v>
      </x:c>
      <x:c r="B115" s="2" t="n">
        <x:v>12</x:v>
      </x:c>
      <x:c r="C115" s="2" t="str">
        <x:v>MM-TSFlib</x:v>
      </x:c>
      <x:c r="D115" s="2" t="n">
        <x:v>2027</x:v>
      </x:c>
      <x:c r="E115" s="10" t="n">
        <x:v>1.216266717246754</x:v>
      </x:c>
      <x:c r="F115" s="10" t="n">
        <x:v>1.2162667169268637</x:v>
      </x:c>
      <x:c r="G115" s="10" t="n">
        <x:v>1.2162667169387846</x:v>
      </x:c>
      <x:c r="H115" s="11" t="n">
        <x:v>0.75</x:v>
      </x:c>
      <x:c r="I115" s="2" t="n">
        <x:v>0</x:v>
      </x:c>
      <x:c r="J115" s="2" t="n">
        <x:v>8</x:v>
      </x:c>
      <x:c r="K115" s="2" t="str">
        <x:v>已达到</x:v>
      </x:c>
      <x:c r="L115" s="10" t="n">
        <x:v>0.8851447826729616</x:v>
      </x:c>
      <x:c r="M115" s="10" t="n">
        <x:v>0.8851447825341155</x:v>
      </x:c>
      <x:c r="N115" s="10" t="n">
        <x:v>0.8851447825359621</x:v>
      </x:c>
      <x:c r="O115" s="2" t="n">
        <x:v>88</x:v>
      </x:c>
      <x:c r="P115" s="10" t="n">
        <x:v>0.9999999996201114</x:v>
      </x:c>
      <x:c r="Q115" s="10" t="n">
        <x:v>0.9999999997529273</x:v>
      </x:c>
    </x:row>
    <x:row r="116" ht="23" customHeight="1">
      <x:c r="A116" s="2" t="str">
        <x:v>Climate</x:v>
      </x:c>
      <x:c r="B116" s="2" t="n">
        <x:v>12</x:v>
      </x:c>
      <x:c r="C116" s="2" t="str">
        <x:v>MM-TSFlib</x:v>
      </x:c>
      <x:c r="D116" s="2" t="n">
        <x:v>2028</x:v>
      </x:c>
      <x:c r="E116" s="10" t="n">
        <x:v>1.216266717246754</x:v>
      </x:c>
      <x:c r="F116" s="10" t="n">
        <x:v>1.2162667169268637</x:v>
      </x:c>
      <x:c r="G116" s="10" t="n">
        <x:v>1.2162667169387846</x:v>
      </x:c>
      <x:c r="H116" s="11" t="n">
        <x:v>0.75</x:v>
      </x:c>
      <x:c r="I116" s="2" t="n">
        <x:v>0</x:v>
      </x:c>
      <x:c r="J116" s="2" t="n">
        <x:v>8</x:v>
      </x:c>
      <x:c r="K116" s="2" t="str">
        <x:v>已达到</x:v>
      </x:c>
      <x:c r="L116" s="10" t="n">
        <x:v>0.8851447826729616</x:v>
      </x:c>
      <x:c r="M116" s="10" t="n">
        <x:v>0.8851447825341155</x:v>
      </x:c>
      <x:c r="N116" s="10" t="n">
        <x:v>0.8851447825359621</x:v>
      </x:c>
      <x:c r="O116" s="2" t="n">
        <x:v>88</x:v>
      </x:c>
      <x:c r="P116" s="10" t="n">
        <x:v>0.9999999996201114</x:v>
      </x:c>
      <x:c r="Q116" s="10" t="n">
        <x:v>0.9999999997529273</x:v>
      </x:c>
    </x:row>
    <x:row r="117" ht="23" customHeight="1">
      <x:c r="A117" s="2" t="str">
        <x:v>Climate</x:v>
      </x:c>
      <x:c r="B117" s="2" t="n">
        <x:v>12</x:v>
      </x:c>
      <x:c r="C117" s="2" t="str">
        <x:v>SpecTF</x:v>
      </x:c>
      <x:c r="D117" s="2" t="n">
        <x:v>2026</x:v>
      </x:c>
      <x:c r="E117" s="10" t="n">
        <x:v>1.1263081593985549</x:v>
      </x:c>
      <x:c r="F117" s="10" t="n">
        <x:v>1.1263081596553506</x:v>
      </x:c>
      <x:c r="G117" s="10" t="n">
        <x:v>1.1263081593985549</x:v>
      </x:c>
      <x:c r="H117" s="11" t="n">
        <x:v>0</x:v>
      </x:c>
      <x:c r="I117" s="2" t="n">
        <x:v>0</x:v>
      </x:c>
      <x:c r="J117" s="2" t="n">
        <x:v>8</x:v>
      </x:c>
      <x:c r="K117" s="2" t="str">
        <x:v>已达到</x:v>
      </x:c>
      <x:c r="L117" s="10" t="n">
        <x:v>0.8685202138501953</x:v>
      </x:c>
      <x:c r="M117" s="10" t="n">
        <x:v>0.8685202139973681</x:v>
      </x:c>
      <x:c r="N117" s="10" t="n">
        <x:v>0.8685202138501953</x:v>
      </x:c>
      <x:c r="O117" s="2" t="n">
        <x:v>88</x:v>
      </x:c>
      <x:c r="P117" s="10" t="n">
        <x:v>1</x:v>
      </x:c>
      <x:c r="Q117" s="10" t="n">
        <x:v>1</x:v>
      </x:c>
    </x:row>
    <x:row r="118" ht="23" customHeight="1">
      <x:c r="A118" s="2" t="str">
        <x:v>Climate</x:v>
      </x:c>
      <x:c r="B118" s="2" t="n">
        <x:v>12</x:v>
      </x:c>
      <x:c r="C118" s="2" t="str">
        <x:v>SpecTF</x:v>
      </x:c>
      <x:c r="D118" s="2" t="n">
        <x:v>2027</x:v>
      </x:c>
      <x:c r="E118" s="10" t="n">
        <x:v>1.1263081593985549</x:v>
      </x:c>
      <x:c r="F118" s="10" t="n">
        <x:v>1.1263081596553506</x:v>
      </x:c>
      <x:c r="G118" s="10" t="n">
        <x:v>1.1263081593985549</x:v>
      </x:c>
      <x:c r="H118" s="11" t="n">
        <x:v>0</x:v>
      </x:c>
      <x:c r="I118" s="2" t="n">
        <x:v>0</x:v>
      </x:c>
      <x:c r="J118" s="2" t="n">
        <x:v>8</x:v>
      </x:c>
      <x:c r="K118" s="2" t="str">
        <x:v>已达到</x:v>
      </x:c>
      <x:c r="L118" s="10" t="n">
        <x:v>0.8685202138501953</x:v>
      </x:c>
      <x:c r="M118" s="10" t="n">
        <x:v>0.8685202139973681</x:v>
      </x:c>
      <x:c r="N118" s="10" t="n">
        <x:v>0.8685202138501953</x:v>
      </x:c>
      <x:c r="O118" s="2" t="n">
        <x:v>88</x:v>
      </x:c>
      <x:c r="P118" s="10" t="n">
        <x:v>1</x:v>
      </x:c>
      <x:c r="Q118" s="10" t="n">
        <x:v>1</x:v>
      </x:c>
    </x:row>
    <x:row r="119" ht="23" customHeight="1">
      <x:c r="A119" s="2" t="str">
        <x:v>Climate</x:v>
      </x:c>
      <x:c r="B119" s="2" t="n">
        <x:v>12</x:v>
      </x:c>
      <x:c r="C119" s="2" t="str">
        <x:v>SpecTF</x:v>
      </x:c>
      <x:c r="D119" s="2" t="n">
        <x:v>2028</x:v>
      </x:c>
      <x:c r="E119" s="10" t="n">
        <x:v>1.1263081593985549</x:v>
      </x:c>
      <x:c r="F119" s="10" t="n">
        <x:v>1.1263081596553506</x:v>
      </x:c>
      <x:c r="G119" s="10" t="n">
        <x:v>1.1263081593985549</x:v>
      </x:c>
      <x:c r="H119" s="11" t="n">
        <x:v>0</x:v>
      </x:c>
      <x:c r="I119" s="2" t="n">
        <x:v>0</x:v>
      </x:c>
      <x:c r="J119" s="2" t="n">
        <x:v>8</x:v>
      </x:c>
      <x:c r="K119" s="2" t="str">
        <x:v>已达到</x:v>
      </x:c>
      <x:c r="L119" s="10" t="n">
        <x:v>0.8685202138501953</x:v>
      </x:c>
      <x:c r="M119" s="10" t="n">
        <x:v>0.8685202139973681</x:v>
      </x:c>
      <x:c r="N119" s="10" t="n">
        <x:v>0.8685202138501953</x:v>
      </x:c>
      <x:c r="O119" s="2" t="n">
        <x:v>88</x:v>
      </x:c>
      <x:c r="P119" s="10" t="n">
        <x:v>1</x:v>
      </x:c>
      <x:c r="Q119" s="10" t="n">
        <x:v>1</x:v>
      </x:c>
    </x:row>
    <x:row r="120" ht="23" customHeight="1">
      <x:c r="A120" s="2" t="str">
        <x:v>Climate</x:v>
      </x:c>
      <x:c r="B120" s="2" t="n">
        <x:v>12</x:v>
      </x:c>
      <x:c r="C120" s="2" t="str">
        <x:v>CFA</x:v>
      </x:c>
      <x:c r="D120" s="2" t="n">
        <x:v>2026</x:v>
      </x:c>
      <x:c r="E120" s="10" t="n">
        <x:v>1.116828027737457</x:v>
      </x:c>
      <x:c r="F120" s="10" t="n">
        <x:v>1.1168280276649847</x:v>
      </x:c>
      <x:c r="G120" s="10" t="n">
        <x:v>1.1168280277392026</x:v>
      </x:c>
      <x:c r="H120" s="11" t="n">
        <x:v>0.5</x:v>
      </x:c>
      <x:c r="I120" s="2" t="n">
        <x:v>0</x:v>
      </x:c>
      <x:c r="J120" s="2" t="n">
        <x:v>8</x:v>
      </x:c>
      <x:c r="K120" s="2" t="str">
        <x:v>已达到</x:v>
      </x:c>
      <x:c r="L120" s="10" t="n">
        <x:v>0.8532134292084569</x:v>
      </x:c>
      <x:c r="M120" s="10" t="n">
        <x:v>0.853213429245939</x:v>
      </x:c>
      <x:c r="N120" s="10" t="n">
        <x:v>0.8532134292290721</x:v>
      </x:c>
      <x:c r="O120" s="2" t="n">
        <x:v>88</x:v>
      </x:c>
      <x:c r="P120" s="10" t="n">
        <x:v>0.9999999997149905</x:v>
      </x:c>
      <x:c r="Q120" s="10" t="n">
        <x:v>0.9999999998903975</x:v>
      </x:c>
    </x:row>
    <x:row r="121" ht="23" customHeight="1">
      <x:c r="A121" s="2" t="str">
        <x:v>Climate</x:v>
      </x:c>
      <x:c r="B121" s="2" t="n">
        <x:v>12</x:v>
      </x:c>
      <x:c r="C121" s="2" t="str">
        <x:v>CFA</x:v>
      </x:c>
      <x:c r="D121" s="2" t="n">
        <x:v>2027</x:v>
      </x:c>
      <x:c r="E121" s="10" t="n">
        <x:v>1.116828027737457</x:v>
      </x:c>
      <x:c r="F121" s="10" t="n">
        <x:v>1.1168280276649847</x:v>
      </x:c>
      <x:c r="G121" s="10" t="n">
        <x:v>1.1168280277392026</x:v>
      </x:c>
      <x:c r="H121" s="11" t="n">
        <x:v>0.5</x:v>
      </x:c>
      <x:c r="I121" s="2" t="n">
        <x:v>0</x:v>
      </x:c>
      <x:c r="J121" s="2" t="n">
        <x:v>8</x:v>
      </x:c>
      <x:c r="K121" s="2" t="str">
        <x:v>已达到</x:v>
      </x:c>
      <x:c r="L121" s="10" t="n">
        <x:v>0.8532134292084569</x:v>
      </x:c>
      <x:c r="M121" s="10" t="n">
        <x:v>0.853213429245939</x:v>
      </x:c>
      <x:c r="N121" s="10" t="n">
        <x:v>0.8532134292290721</x:v>
      </x:c>
      <x:c r="O121" s="2" t="n">
        <x:v>88</x:v>
      </x:c>
      <x:c r="P121" s="10" t="n">
        <x:v>0.9999999997149905</x:v>
      </x:c>
      <x:c r="Q121" s="10" t="n">
        <x:v>0.9999999998903975</x:v>
      </x:c>
    </x:row>
    <x:row r="122" ht="23" customHeight="1">
      <x:c r="A122" s="2" t="str">
        <x:v>Climate</x:v>
      </x:c>
      <x:c r="B122" s="2" t="n">
        <x:v>12</x:v>
      </x:c>
      <x:c r="C122" s="2" t="str">
        <x:v>CFA</x:v>
      </x:c>
      <x:c r="D122" s="2" t="n">
        <x:v>2028</x:v>
      </x:c>
      <x:c r="E122" s="10" t="n">
        <x:v>1.116828027737457</x:v>
      </x:c>
      <x:c r="F122" s="10" t="n">
        <x:v>1.1168280276649847</x:v>
      </x:c>
      <x:c r="G122" s="10" t="n">
        <x:v>1.1168280277392026</x:v>
      </x:c>
      <x:c r="H122" s="11" t="n">
        <x:v>0.5</x:v>
      </x:c>
      <x:c r="I122" s="2" t="n">
        <x:v>0</x:v>
      </x:c>
      <x:c r="J122" s="2" t="n">
        <x:v>8</x:v>
      </x:c>
      <x:c r="K122" s="2" t="str">
        <x:v>已达到</x:v>
      </x:c>
      <x:c r="L122" s="10" t="n">
        <x:v>0.8532134292084569</x:v>
      </x:c>
      <x:c r="M122" s="10" t="n">
        <x:v>0.853213429245939</x:v>
      </x:c>
      <x:c r="N122" s="10" t="n">
        <x:v>0.8532134292290721</x:v>
      </x:c>
      <x:c r="O122" s="2" t="n">
        <x:v>88</x:v>
      </x:c>
      <x:c r="P122" s="10" t="n">
        <x:v>0.9999999997149905</x:v>
      </x:c>
      <x:c r="Q122" s="10" t="n">
        <x:v>0.9999999998903975</x:v>
      </x:c>
    </x:row>
    <x:row r="123" ht="23" customHeight="1">
      <x:c r="A123" s="2" t="str">
        <x:v>Climate</x:v>
      </x:c>
      <x:c r="B123" s="2" t="n">
        <x:v>12</x:v>
      </x:c>
      <x:c r="C123" s="2" t="str">
        <x:v>Aurora</x:v>
      </x:c>
      <x:c r="D123" s="2" t="n">
        <x:v>2026</x:v>
      </x:c>
      <x:c r="E123" s="10" t="n">
        <x:v>1.1706371855200317</x:v>
      </x:c>
      <x:c r="F123" s="10" t="n">
        <x:v>1.1706371855139366</x:v>
      </x:c>
      <x:c r="G123" s="10" t="n">
        <x:v>1.1706371855200317</x:v>
      </x:c>
      <x:c r="H123" s="11" t="n">
        <x:v>0</x:v>
      </x:c>
      <x:c r="I123" s="2" t="n">
        <x:v>0</x:v>
      </x:c>
      <x:c r="J123" s="2" t="n">
        <x:v>8</x:v>
      </x:c>
      <x:c r="K123" s="2" t="str">
        <x:v>已达到</x:v>
      </x:c>
      <x:c r="L123" s="10" t="n">
        <x:v>0.8838027416239914</x:v>
      </x:c>
      <x:c r="M123" s="10" t="n">
        <x:v>0.8838027416377097</x:v>
      </x:c>
      <x:c r="N123" s="10" t="n">
        <x:v>0.8838027416239914</x:v>
      </x:c>
      <x:c r="O123" s="2" t="n">
        <x:v>88</x:v>
      </x:c>
      <x:c r="P123" s="10" t="n">
        <x:v>1</x:v>
      </x:c>
      <x:c r="Q123" s="10" t="n">
        <x:v>1</x:v>
      </x:c>
    </x:row>
    <x:row r="124" ht="23" customHeight="1">
      <x:c r="A124" s="2" t="str">
        <x:v>Climate</x:v>
      </x:c>
      <x:c r="B124" s="2" t="n">
        <x:v>12</x:v>
      </x:c>
      <x:c r="C124" s="2" t="str">
        <x:v>Aurora</x:v>
      </x:c>
      <x:c r="D124" s="2" t="n">
        <x:v>2027</x:v>
      </x:c>
      <x:c r="E124" s="10" t="n">
        <x:v>1.1706371855200317</x:v>
      </x:c>
      <x:c r="F124" s="10" t="n">
        <x:v>1.1706371855139366</x:v>
      </x:c>
      <x:c r="G124" s="10" t="n">
        <x:v>1.1706371855200317</x:v>
      </x:c>
      <x:c r="H124" s="11" t="n">
        <x:v>0</x:v>
      </x:c>
      <x:c r="I124" s="2" t="n">
        <x:v>0</x:v>
      </x:c>
      <x:c r="J124" s="2" t="n">
        <x:v>8</x:v>
      </x:c>
      <x:c r="K124" s="2" t="str">
        <x:v>已达到</x:v>
      </x:c>
      <x:c r="L124" s="10" t="n">
        <x:v>0.8838027416239914</x:v>
      </x:c>
      <x:c r="M124" s="10" t="n">
        <x:v>0.8838027416377097</x:v>
      </x:c>
      <x:c r="N124" s="10" t="n">
        <x:v>0.8838027416239914</x:v>
      </x:c>
      <x:c r="O124" s="2" t="n">
        <x:v>88</x:v>
      </x:c>
      <x:c r="P124" s="10" t="n">
        <x:v>1</x:v>
      </x:c>
      <x:c r="Q124" s="10" t="n">
        <x:v>1</x:v>
      </x:c>
    </x:row>
    <x:row r="125" ht="23" customHeight="1">
      <x:c r="A125" s="2" t="str">
        <x:v>Climate</x:v>
      </x:c>
      <x:c r="B125" s="2" t="n">
        <x:v>12</x:v>
      </x:c>
      <x:c r="C125" s="2" t="str">
        <x:v>Aurora</x:v>
      </x:c>
      <x:c r="D125" s="2" t="n">
        <x:v>2028</x:v>
      </x:c>
      <x:c r="E125" s="10" t="n">
        <x:v>1.1706371855200317</x:v>
      </x:c>
      <x:c r="F125" s="10" t="n">
        <x:v>1.1706371855139366</x:v>
      </x:c>
      <x:c r="G125" s="10" t="n">
        <x:v>1.1706371855200317</x:v>
      </x:c>
      <x:c r="H125" s="11" t="n">
        <x:v>0</x:v>
      </x:c>
      <x:c r="I125" s="2" t="n">
        <x:v>0</x:v>
      </x:c>
      <x:c r="J125" s="2" t="n">
        <x:v>8</x:v>
      </x:c>
      <x:c r="K125" s="2" t="str">
        <x:v>已达到</x:v>
      </x:c>
      <x:c r="L125" s="10" t="n">
        <x:v>0.8838027416239914</x:v>
      </x:c>
      <x:c r="M125" s="10" t="n">
        <x:v>0.8838027416377097</x:v>
      </x:c>
      <x:c r="N125" s="10" t="n">
        <x:v>0.8838027416239914</x:v>
      </x:c>
      <x:c r="O125" s="2" t="n">
        <x:v>88</x:v>
      </x:c>
      <x:c r="P125" s="10" t="n">
        <x:v>1</x:v>
      </x:c>
      <x:c r="Q125" s="10" t="n">
        <x:v>1</x:v>
      </x:c>
    </x:row>
    <x:row r="126" ht="23" customHeight="1">
      <x:c r="A126" s="2" t="str">
        <x:v>Economy</x:v>
      </x:c>
      <x:c r="B126" s="2" t="n">
        <x:v>6</x:v>
      </x:c>
      <x:c r="C126" s="2" t="str">
        <x:v>TaTS</x:v>
      </x:c>
      <x:c r="D126" s="2" t="n">
        <x:v>2026</x:v>
      </x:c>
      <x:c r="E126" s="10" t="n">
        <x:v>0.16271074981363087</x:v>
      </x:c>
      <x:c r="F126" s="10" t="n">
        <x:v>0.16276181924377944</x:v>
      </x:c>
      <x:c r="G126" s="10" t="n">
        <x:v>0.16271074981363087</x:v>
      </x:c>
      <x:c r="H126" s="11" t="n">
        <x:v>0</x:v>
      </x:c>
      <x:c r="I126" s="2" t="n">
        <x:v>1</x:v>
      </x:c>
      <x:c r="J126" s="2" t="n">
        <x:v>9</x:v>
      </x:c>
      <x:c r="K126" s="2" t="str">
        <x:v>已达到</x:v>
      </x:c>
      <x:c r="L126" s="10" t="n">
        <x:v>0.32147399156908446</x:v>
      </x:c>
      <x:c r="M126" s="10" t="n">
        <x:v>0.32147861583323417</x:v>
      </x:c>
      <x:c r="N126" s="10" t="n">
        <x:v>0.32147399156908446</x:v>
      </x:c>
      <x:c r="O126" s="2" t="n">
        <x:v>79</x:v>
      </x:c>
      <x:c r="P126" s="10" t="n">
        <x:v>1</x:v>
      </x:c>
      <x:c r="Q126" s="10" t="n">
        <x:v>1</x:v>
      </x:c>
    </x:row>
    <x:row r="127" ht="23" customHeight="1">
      <x:c r="A127" s="2" t="str">
        <x:v>Economy</x:v>
      </x:c>
      <x:c r="B127" s="2" t="n">
        <x:v>6</x:v>
      </x:c>
      <x:c r="C127" s="2" t="str">
        <x:v>TaTS</x:v>
      </x:c>
      <x:c r="D127" s="2" t="n">
        <x:v>2027</x:v>
      </x:c>
      <x:c r="E127" s="10" t="n">
        <x:v>0.16271074981363087</x:v>
      </x:c>
      <x:c r="F127" s="10" t="n">
        <x:v>0.1642821508520873</x:v>
      </x:c>
      <x:c r="G127" s="10" t="n">
        <x:v>0.16271074981363087</x:v>
      </x:c>
      <x:c r="H127" s="11" t="n">
        <x:v>0</x:v>
      </x:c>
      <x:c r="I127" s="2" t="n">
        <x:v>6</x:v>
      </x:c>
      <x:c r="J127" s="2" t="n">
        <x:v>14</x:v>
      </x:c>
      <x:c r="K127" s="2" t="str">
        <x:v>已达到</x:v>
      </x:c>
      <x:c r="L127" s="10" t="n">
        <x:v>0.32147399156908446</x:v>
      </x:c>
      <x:c r="M127" s="10" t="n">
        <x:v>0.32321612266548577</x:v>
      </x:c>
      <x:c r="N127" s="10" t="n">
        <x:v>0.32147399156908446</x:v>
      </x:c>
      <x:c r="O127" s="2" t="n">
        <x:v>79</x:v>
      </x:c>
      <x:c r="P127" s="10" t="n">
        <x:v>1</x:v>
      </x:c>
      <x:c r="Q127" s="10" t="n">
        <x:v>1</x:v>
      </x:c>
    </x:row>
    <x:row r="128" ht="23" customHeight="1">
      <x:c r="A128" s="2" t="str">
        <x:v>Economy</x:v>
      </x:c>
      <x:c r="B128" s="2" t="n">
        <x:v>6</x:v>
      </x:c>
      <x:c r="C128" s="2" t="str">
        <x:v>TaTS</x:v>
      </x:c>
      <x:c r="D128" s="2" t="n">
        <x:v>2028</x:v>
      </x:c>
      <x:c r="E128" s="10" t="n">
        <x:v>0.16271074981363087</x:v>
      </x:c>
      <x:c r="F128" s="10" t="n">
        <x:v>0.1646422929102367</x:v>
      </x:c>
      <x:c r="G128" s="10" t="n">
        <x:v>0.1646422929102367</x:v>
      </x:c>
      <x:c r="H128" s="11" t="n">
        <x:v>1</x:v>
      </x:c>
      <x:c r="I128" s="2" t="n">
        <x:v>78</x:v>
      </x:c>
      <x:c r="J128" s="2" t="n">
        <x:v>80</x:v>
      </x:c>
      <x:c r="K128" s="2" t="str">
        <x:v>未达到</x:v>
      </x:c>
      <x:c r="L128" s="10" t="n">
        <x:v>0.32147399156908446</x:v>
      </x:c>
      <x:c r="M128" s="10" t="n">
        <x:v>0.32438099774127266</x:v>
      </x:c>
      <x:c r="N128" s="10" t="n">
        <x:v>0.32438099774127266</x:v>
      </x:c>
      <x:c r="O128" s="2" t="n">
        <x:v>79</x:v>
      </x:c>
      <x:c r="P128" s="10" t="n">
        <x:v>0.8030213338338376</x:v>
      </x:c>
      <x:c r="Q128" s="10" t="n">
        <x:v>0.8791930214707683</x:v>
      </x:c>
    </x:row>
    <x:row r="129" ht="23" customHeight="1">
      <x:c r="A129" s="2" t="str">
        <x:v>Economy</x:v>
      </x:c>
      <x:c r="B129" s="2" t="n">
        <x:v>6</x:v>
      </x:c>
      <x:c r="C129" s="2" t="str">
        <x:v>MM-TSFlib</x:v>
      </x:c>
      <x:c r="D129" s="2" t="n">
        <x:v>2026</x:v>
      </x:c>
      <x:c r="E129" s="10" t="n">
        <x:v>0.8565175914521214</x:v>
      </x:c>
      <x:c r="F129" s="10" t="n">
        <x:v>0.8566093933323156</x:v>
      </x:c>
      <x:c r="G129" s="10" t="n">
        <x:v>0.8566093933323156</x:v>
      </x:c>
      <x:c r="H129" s="11" t="n">
        <x:v>1</x:v>
      </x:c>
      <x:c r="I129" s="2" t="n">
        <x:v>1</x:v>
      </x:c>
      <x:c r="J129" s="2" t="n">
        <x:v>9</x:v>
      </x:c>
      <x:c r="K129" s="2" t="str">
        <x:v>已达到</x:v>
      </x:c>
      <x:c r="L129" s="10" t="n">
        <x:v>0.7756360827116021</x:v>
      </x:c>
      <x:c r="M129" s="10" t="n">
        <x:v>0.7757568842248072</x:v>
      </x:c>
      <x:c r="N129" s="10" t="n">
        <x:v>0.7757568842248072</x:v>
      </x:c>
      <x:c r="O129" s="2" t="n">
        <x:v>79</x:v>
      </x:c>
      <x:c r="P129" s="10" t="n">
        <x:v>0.9994571545920001</x:v>
      </x:c>
      <x:c r="Q129" s="10" t="n">
        <x:v>0.9994526113659906</x:v>
      </x:c>
    </x:row>
    <x:row r="130" ht="23" customHeight="1">
      <x:c r="A130" s="2" t="str">
        <x:v>Economy</x:v>
      </x:c>
      <x:c r="B130" s="2" t="n">
        <x:v>6</x:v>
      </x:c>
      <x:c r="C130" s="2" t="str">
        <x:v>MM-TSFlib</x:v>
      </x:c>
      <x:c r="D130" s="2" t="n">
        <x:v>2027</x:v>
      </x:c>
      <x:c r="E130" s="10" t="n">
        <x:v>0.8565175914521214</x:v>
      </x:c>
      <x:c r="F130" s="10" t="n">
        <x:v>0.8617791699650874</x:v>
      </x:c>
      <x:c r="G130" s="10" t="n">
        <x:v>0.8565175914521214</x:v>
      </x:c>
      <x:c r="H130" s="11" t="n">
        <x:v>0</x:v>
      </x:c>
      <x:c r="I130" s="2" t="n">
        <x:v>6</x:v>
      </x:c>
      <x:c r="J130" s="2" t="n">
        <x:v>14</x:v>
      </x:c>
      <x:c r="K130" s="2" t="str">
        <x:v>已达到</x:v>
      </x:c>
      <x:c r="L130" s="10" t="n">
        <x:v>0.7756360827116021</x:v>
      </x:c>
      <x:c r="M130" s="10" t="n">
        <x:v>0.7788353422774544</x:v>
      </x:c>
      <x:c r="N130" s="10" t="n">
        <x:v>0.7756360827116021</x:v>
      </x:c>
      <x:c r="O130" s="2" t="n">
        <x:v>79</x:v>
      </x:c>
      <x:c r="P130" s="10" t="n">
        <x:v>1</x:v>
      </x:c>
      <x:c r="Q130" s="10" t="n">
        <x:v>1</x:v>
      </x:c>
    </x:row>
    <x:row r="131" ht="23" customHeight="1">
      <x:c r="A131" s="2" t="str">
        <x:v>Economy</x:v>
      </x:c>
      <x:c r="B131" s="2" t="n">
        <x:v>6</x:v>
      </x:c>
      <x:c r="C131" s="2" t="str">
        <x:v>MM-TSFlib</x:v>
      </x:c>
      <x:c r="D131" s="2" t="n">
        <x:v>2028</x:v>
      </x:c>
      <x:c r="E131" s="10" t="n">
        <x:v>0.8565175914521214</x:v>
      </x:c>
      <x:c r="F131" s="10" t="n">
        <x:v>0.8041072664218964</x:v>
      </x:c>
      <x:c r="G131" s="10" t="n">
        <x:v>0.8156745297406295</x:v>
      </x:c>
      <x:c r="H131" s="11" t="n">
        <x:v>0.75</x:v>
      </x:c>
      <x:c r="I131" s="2" t="n">
        <x:v>78</x:v>
      </x:c>
      <x:c r="J131" s="2" t="n">
        <x:v>80</x:v>
      </x:c>
      <x:c r="K131" s="2" t="str">
        <x:v>未达到</x:v>
      </x:c>
      <x:c r="L131" s="10" t="n">
        <x:v>0.7756360827116021</x:v>
      </x:c>
      <x:c r="M131" s="10" t="n">
        <x:v>0.7481728538179196</x:v>
      </x:c>
      <x:c r="N131" s="10" t="n">
        <x:v>0.7545799228209483</x:v>
      </x:c>
      <x:c r="O131" s="2" t="n">
        <x:v>79</x:v>
      </x:c>
      <x:c r="P131" s="10" t="n">
        <x:v>0.958625686820058</x:v>
      </x:c>
      <x:c r="Q131" s="10" t="n">
        <x:v>0.9787733342193633</x:v>
      </x:c>
    </x:row>
    <x:row r="132" ht="23" customHeight="1">
      <x:c r="A132" s="2" t="str">
        <x:v>Economy</x:v>
      </x:c>
      <x:c r="B132" s="2" t="n">
        <x:v>6</x:v>
      </x:c>
      <x:c r="C132" s="2" t="str">
        <x:v>SpecTF</x:v>
      </x:c>
      <x:c r="D132" s="2" t="n">
        <x:v>2026</x:v>
      </x:c>
      <x:c r="E132" s="10" t="n">
        <x:v>0.15398558090161274</x:v>
      </x:c>
      <x:c r="F132" s="10" t="n">
        <x:v>0.15396242223624373</x:v>
      </x:c>
      <x:c r="G132" s="10" t="n">
        <x:v>0.15396242223624373</x:v>
      </x:c>
      <x:c r="H132" s="11" t="n">
        <x:v>1</x:v>
      </x:c>
      <x:c r="I132" s="2" t="n">
        <x:v>1</x:v>
      </x:c>
      <x:c r="J132" s="2" t="n">
        <x:v>9</x:v>
      </x:c>
      <x:c r="K132" s="2" t="str">
        <x:v>已达到</x:v>
      </x:c>
      <x:c r="L132" s="10" t="n">
        <x:v>0.3086953954103124</x:v>
      </x:c>
      <x:c r="M132" s="10" t="n">
        <x:v>0.30871125816795897</x:v>
      </x:c>
      <x:c r="N132" s="10" t="n">
        <x:v>0.30871125816795897</x:v>
      </x:c>
      <x:c r="O132" s="2" t="n">
        <x:v>79</x:v>
      </x:c>
      <x:c r="P132" s="10" t="n">
        <x:v>0.9999314246061743</x:v>
      </x:c>
      <x:c r="Q132" s="10" t="n">
        <x:v>0.9995384491526595</x:v>
      </x:c>
    </x:row>
    <x:row r="133" ht="23" customHeight="1">
      <x:c r="A133" s="2" t="str">
        <x:v>Economy</x:v>
      </x:c>
      <x:c r="B133" s="2" t="n">
        <x:v>6</x:v>
      </x:c>
      <x:c r="C133" s="2" t="str">
        <x:v>SpecTF</x:v>
      </x:c>
      <x:c r="D133" s="2" t="n">
        <x:v>2027</x:v>
      </x:c>
      <x:c r="E133" s="10" t="n">
        <x:v>0.15398558090161274</x:v>
      </x:c>
      <x:c r="F133" s="10" t="n">
        <x:v>0.15447076055372175</x:v>
      </x:c>
      <x:c r="G133" s="10" t="n">
        <x:v>0.15447076055372175</x:v>
      </x:c>
      <x:c r="H133" s="11" t="n">
        <x:v>1</x:v>
      </x:c>
      <x:c r="I133" s="2" t="n">
        <x:v>6</x:v>
      </x:c>
      <x:c r="J133" s="2" t="n">
        <x:v>14</x:v>
      </x:c>
      <x:c r="K133" s="2" t="str">
        <x:v>已达到</x:v>
      </x:c>
      <x:c r="L133" s="10" t="n">
        <x:v>0.3086953954103124</x:v>
      </x:c>
      <x:c r="M133" s="10" t="n">
        <x:v>0.30965992267624737</x:v>
      </x:c>
      <x:c r="N133" s="10" t="n">
        <x:v>0.30965992267624737</x:v>
      </x:c>
      <x:c r="O133" s="2" t="n">
        <x:v>79</x:v>
      </x:c>
      <x:c r="P133" s="10" t="n">
        <x:v>0.9992626133495008</x:v>
      </x:c>
      <x:c r="Q133" s="10" t="n">
        <x:v>0.9934099208376433</x:v>
      </x:c>
    </x:row>
    <x:row r="134" ht="23" customHeight="1">
      <x:c r="A134" s="2" t="str">
        <x:v>Economy</x:v>
      </x:c>
      <x:c r="B134" s="2" t="n">
        <x:v>6</x:v>
      </x:c>
      <x:c r="C134" s="2" t="str">
        <x:v>SpecTF</x:v>
      </x:c>
      <x:c r="D134" s="2" t="n">
        <x:v>2028</x:v>
      </x:c>
      <x:c r="E134" s="10" t="n">
        <x:v>0.15398558090161274</x:v>
      </x:c>
      <x:c r="F134" s="10" t="n">
        <x:v>0.1543360595751631</x:v>
      </x:c>
      <x:c r="G134" s="10" t="n">
        <x:v>0.1543360595751631</x:v>
      </x:c>
      <x:c r="H134" s="11" t="n">
        <x:v>1</x:v>
      </x:c>
      <x:c r="I134" s="2" t="n">
        <x:v>78</x:v>
      </x:c>
      <x:c r="J134" s="2" t="n">
        <x:v>80</x:v>
      </x:c>
      <x:c r="K134" s="2" t="str">
        <x:v>未达到</x:v>
      </x:c>
      <x:c r="L134" s="10" t="n">
        <x:v>0.3086953954103124</x:v>
      </x:c>
      <x:c r="M134" s="10" t="n">
        <x:v>0.3055296703732969</x:v>
      </x:c>
      <x:c r="N134" s="10" t="n">
        <x:v>0.3055296703732969</x:v>
      </x:c>
      <x:c r="O134" s="2" t="n">
        <x:v>79</x:v>
      </x:c>
      <x:c r="P134" s="10" t="n">
        <x:v>0.8801840613802632</x:v>
      </x:c>
      <x:c r="Q134" s="10" t="n">
        <x:v>0.9517153015877197</x:v>
      </x:c>
    </x:row>
    <x:row r="135" ht="23" customHeight="1">
      <x:c r="A135" s="2" t="str">
        <x:v>Economy</x:v>
      </x:c>
      <x:c r="B135" s="2" t="n">
        <x:v>6</x:v>
      </x:c>
      <x:c r="C135" s="2" t="str">
        <x:v>CFA</x:v>
      </x:c>
      <x:c r="D135" s="2" t="n">
        <x:v>2026</x:v>
      </x:c>
      <x:c r="E135" s="10" t="n">
        <x:v>0.17158745546126114</x:v>
      </x:c>
      <x:c r="F135" s="10" t="n">
        <x:v>0.17155477562103455</x:v>
      </x:c>
      <x:c r="G135" s="10" t="n">
        <x:v>0.17155477562103455</x:v>
      </x:c>
      <x:c r="H135" s="11" t="n">
        <x:v>1</x:v>
      </x:c>
      <x:c r="I135" s="2" t="n">
        <x:v>1</x:v>
      </x:c>
      <x:c r="J135" s="2" t="n">
        <x:v>9</x:v>
      </x:c>
      <x:c r="K135" s="2" t="str">
        <x:v>已达到</x:v>
      </x:c>
      <x:c r="L135" s="10" t="n">
        <x:v>0.3179805547879215</x:v>
      </x:c>
      <x:c r="M135" s="10" t="n">
        <x:v>0.3179610126380679</x:v>
      </x:c>
      <x:c r="N135" s="10" t="n">
        <x:v>0.3179610126380679</x:v>
      </x:c>
      <x:c r="O135" s="2" t="n">
        <x:v>79</x:v>
      </x:c>
      <x:c r="P135" s="10" t="n">
        <x:v>0.9994714306385243</x:v>
      </x:c>
      <x:c r="Q135" s="10" t="n">
        <x:v>0.9991919695204611</x:v>
      </x:c>
    </x:row>
    <x:row r="136" ht="23" customHeight="1">
      <x:c r="A136" s="2" t="str">
        <x:v>Economy</x:v>
      </x:c>
      <x:c r="B136" s="2" t="n">
        <x:v>6</x:v>
      </x:c>
      <x:c r="C136" s="2" t="str">
        <x:v>CFA</x:v>
      </x:c>
      <x:c r="D136" s="2" t="n">
        <x:v>2027</x:v>
      </x:c>
      <x:c r="E136" s="10" t="n">
        <x:v>0.17158745546126114</x:v>
      </x:c>
      <x:c r="F136" s="10" t="n">
        <x:v>0.17220514948915047</x:v>
      </x:c>
      <x:c r="G136" s="10" t="n">
        <x:v>0.17220514948915047</x:v>
      </x:c>
      <x:c r="H136" s="11" t="n">
        <x:v>1</x:v>
      </x:c>
      <x:c r="I136" s="2" t="n">
        <x:v>6</x:v>
      </x:c>
      <x:c r="J136" s="2" t="n">
        <x:v>14</x:v>
      </x:c>
      <x:c r="K136" s="2" t="str">
        <x:v>已达到</x:v>
      </x:c>
      <x:c r="L136" s="10" t="n">
        <x:v>0.3179805547879215</x:v>
      </x:c>
      <x:c r="M136" s="10" t="n">
        <x:v>0.31872194225778055</x:v>
      </x:c>
      <x:c r="N136" s="10" t="n">
        <x:v>0.31872194225778055</x:v>
      </x:c>
      <x:c r="O136" s="2" t="n">
        <x:v>79</x:v>
      </x:c>
      <x:c r="P136" s="10" t="n">
        <x:v>0.9967285262021454</x:v>
      </x:c>
      <x:c r="Q136" s="10" t="n">
        <x:v>0.9939578920094175</x:v>
      </x:c>
    </x:row>
    <x:row r="137" ht="23" customHeight="1">
      <x:c r="A137" s="2" t="str">
        <x:v>Economy</x:v>
      </x:c>
      <x:c r="B137" s="2" t="n">
        <x:v>6</x:v>
      </x:c>
      <x:c r="C137" s="2" t="str">
        <x:v>CFA</x:v>
      </x:c>
      <x:c r="D137" s="2" t="n">
        <x:v>2028</x:v>
      </x:c>
      <x:c r="E137" s="10" t="n">
        <x:v>0.17158745546126114</x:v>
      </x:c>
      <x:c r="F137" s="10" t="n">
        <x:v>0.18103810671025097</x:v>
      </x:c>
      <x:c r="G137" s="10" t="n">
        <x:v>0.18103810671025097</x:v>
      </x:c>
      <x:c r="H137" s="11" t="n">
        <x:v>1</x:v>
      </x:c>
      <x:c r="I137" s="2" t="n">
        <x:v>78</x:v>
      </x:c>
      <x:c r="J137" s="2" t="n">
        <x:v>80</x:v>
      </x:c>
      <x:c r="K137" s="2" t="str">
        <x:v>未达到</x:v>
      </x:c>
      <x:c r="L137" s="10" t="n">
        <x:v>0.3179805547879215</x:v>
      </x:c>
      <x:c r="M137" s="10" t="n">
        <x:v>0.32571884084351455</x:v>
      </x:c>
      <x:c r="N137" s="10" t="n">
        <x:v>0.32571884084351455</x:v>
      </x:c>
      <x:c r="O137" s="2" t="n">
        <x:v>79</x:v>
      </x:c>
      <x:c r="P137" s="10" t="n">
        <x:v>0.9319415218582378</x:v>
      </x:c>
      <x:c r="Q137" s="10" t="n">
        <x:v>0.9564366307188709</x:v>
      </x:c>
    </x:row>
    <x:row r="138" ht="23" customHeight="1">
      <x:c r="A138" s="2" t="str">
        <x:v>Economy</x:v>
      </x:c>
      <x:c r="B138" s="2" t="n">
        <x:v>6</x:v>
      </x:c>
      <x:c r="C138" s="2" t="str">
        <x:v>Aurora</x:v>
      </x:c>
      <x:c r="D138" s="2" t="n">
        <x:v>2026</x:v>
      </x:c>
      <x:c r="E138" s="10" t="n">
        <x:v>0.276509449314873</x:v>
      </x:c>
      <x:c r="F138" s="10" t="n">
        <x:v>0.27648666627799323</x:v>
      </x:c>
      <x:c r="G138" s="10" t="n">
        <x:v>0.276509449314873</x:v>
      </x:c>
      <x:c r="H138" s="11" t="n">
        <x:v>0</x:v>
      </x:c>
      <x:c r="I138" s="2" t="n">
        <x:v>1</x:v>
      </x:c>
      <x:c r="J138" s="2" t="n">
        <x:v>9</x:v>
      </x:c>
      <x:c r="K138" s="2" t="str">
        <x:v>已达到</x:v>
      </x:c>
      <x:c r="L138" s="10" t="n">
        <x:v>0.39027200293440356</x:v>
      </x:c>
      <x:c r="M138" s="10" t="n">
        <x:v>0.39034569728726576</x:v>
      </x:c>
      <x:c r="N138" s="10" t="n">
        <x:v>0.39027200293440356</x:v>
      </x:c>
      <x:c r="O138" s="2" t="n">
        <x:v>79</x:v>
      </x:c>
      <x:c r="P138" s="10" t="n">
        <x:v>1</x:v>
      </x:c>
      <x:c r="Q138" s="10" t="n">
        <x:v>1</x:v>
      </x:c>
    </x:row>
    <x:row r="139" ht="23" customHeight="1">
      <x:c r="A139" s="2" t="str">
        <x:v>Economy</x:v>
      </x:c>
      <x:c r="B139" s="2" t="n">
        <x:v>6</x:v>
      </x:c>
      <x:c r="C139" s="2" t="str">
        <x:v>Aurora</x:v>
      </x:c>
      <x:c r="D139" s="2" t="n">
        <x:v>2027</x:v>
      </x:c>
      <x:c r="E139" s="10" t="n">
        <x:v>0.276509449314873</x:v>
      </x:c>
      <x:c r="F139" s="10" t="n">
        <x:v>0.27869267322117713</x:v>
      </x:c>
      <x:c r="G139" s="10" t="n">
        <x:v>0.27869267322117713</x:v>
      </x:c>
      <x:c r="H139" s="11" t="n">
        <x:v>1</x:v>
      </x:c>
      <x:c r="I139" s="2" t="n">
        <x:v>6</x:v>
      </x:c>
      <x:c r="J139" s="2" t="n">
        <x:v>14</x:v>
      </x:c>
      <x:c r="K139" s="2" t="str">
        <x:v>已达到</x:v>
      </x:c>
      <x:c r="L139" s="10" t="n">
        <x:v>0.39027200293440356</x:v>
      </x:c>
      <x:c r="M139" s="10" t="n">
        <x:v>0.3928404011555362</x:v>
      </x:c>
      <x:c r="N139" s="10" t="n">
        <x:v>0.3928404011555362</x:v>
      </x:c>
      <x:c r="O139" s="2" t="n">
        <x:v>79</x:v>
      </x:c>
      <x:c r="P139" s="10" t="n">
        <x:v>0.9989200291595068</x:v>
      </x:c>
      <x:c r="Q139" s="10" t="n">
        <x:v>0.9994970418599471</x:v>
      </x:c>
    </x:row>
    <x:row r="140" ht="23" customHeight="1">
      <x:c r="A140" s="2" t="str">
        <x:v>Economy</x:v>
      </x:c>
      <x:c r="B140" s="2" t="n">
        <x:v>6</x:v>
      </x:c>
      <x:c r="C140" s="2" t="str">
        <x:v>Aurora</x:v>
      </x:c>
      <x:c r="D140" s="2" t="n">
        <x:v>2028</x:v>
      </x:c>
      <x:c r="E140" s="10" t="n">
        <x:v>0.276509449314873</x:v>
      </x:c>
      <x:c r="F140" s="10" t="n">
        <x:v>0.3188214606193083</x:v>
      </x:c>
      <x:c r="G140" s="10" t="n">
        <x:v>0.276509449314873</x:v>
      </x:c>
      <x:c r="H140" s="11" t="n">
        <x:v>0</x:v>
      </x:c>
      <x:c r="I140" s="2" t="n">
        <x:v>78</x:v>
      </x:c>
      <x:c r="J140" s="2" t="n">
        <x:v>80</x:v>
      </x:c>
      <x:c r="K140" s="2" t="str">
        <x:v>未达到</x:v>
      </x:c>
      <x:c r="L140" s="10" t="n">
        <x:v>0.39027200293440356</x:v>
      </x:c>
      <x:c r="M140" s="10" t="n">
        <x:v>0.42110891508150705</x:v>
      </x:c>
      <x:c r="N140" s="10" t="n">
        <x:v>0.39027200293440356</x:v>
      </x:c>
      <x:c r="O140" s="2" t="n">
        <x:v>79</x:v>
      </x:c>
      <x:c r="P140" s="10" t="n">
        <x:v>1</x:v>
      </x:c>
      <x:c r="Q140" s="10" t="n">
        <x:v>1</x:v>
      </x:c>
    </x:row>
    <x:row r="141" ht="23" customHeight="1">
      <x:c r="A141" s="2" t="str">
        <x:v>Economy</x:v>
      </x:c>
      <x:c r="B141" s="2" t="n">
        <x:v>8</x:v>
      </x:c>
      <x:c r="C141" s="2" t="str">
        <x:v>TaTS</x:v>
      </x:c>
      <x:c r="D141" s="2" t="n">
        <x:v>2026</x:v>
      </x:c>
      <x:c r="E141" s="10" t="n">
        <x:v>0.17193530537689122</x:v>
      </x:c>
      <x:c r="F141" s="10" t="n">
        <x:v>0.17030261043956751</x:v>
      </x:c>
      <x:c r="G141" s="10" t="n">
        <x:v>0.17030261043956751</x:v>
      </x:c>
      <x:c r="H141" s="11" t="n">
        <x:v>1</x:v>
      </x:c>
      <x:c r="I141" s="2" t="n">
        <x:v>80</x:v>
      </x:c>
      <x:c r="J141" s="2" t="n">
        <x:v>80</x:v>
      </x:c>
      <x:c r="K141" s="2" t="str">
        <x:v>未达到</x:v>
      </x:c>
      <x:c r="L141" s="10" t="n">
        <x:v>0.3322616248065001</x:v>
      </x:c>
      <x:c r="M141" s="10" t="n">
        <x:v>0.3280454505380098</x:v>
      </x:c>
      <x:c r="N141" s="10" t="n">
        <x:v>0.3280454505380098</x:v>
      </x:c>
      <x:c r="O141" s="2" t="n">
        <x:v>77</x:v>
      </x:c>
      <x:c r="P141" s="10" t="n">
        <x:v>0.821391776426121</x:v>
      </x:c>
      <x:c r="Q141" s="10" t="n">
        <x:v>0.9400214645548756</x:v>
      </x:c>
    </x:row>
    <x:row r="142" ht="23" customHeight="1">
      <x:c r="A142" s="2" t="str">
        <x:v>Economy</x:v>
      </x:c>
      <x:c r="B142" s="2" t="n">
        <x:v>8</x:v>
      </x:c>
      <x:c r="C142" s="2" t="str">
        <x:v>TaTS</x:v>
      </x:c>
      <x:c r="D142" s="2" t="n">
        <x:v>2027</x:v>
      </x:c>
      <x:c r="E142" s="10" t="n">
        <x:v>0.17193530537689122</x:v>
      </x:c>
      <x:c r="F142" s="10" t="n">
        <x:v>0.16843698938169283</x:v>
      </x:c>
      <x:c r="G142" s="10" t="n">
        <x:v>0.16843698938169283</x:v>
      </x:c>
      <x:c r="H142" s="11" t="n">
        <x:v>1</x:v>
      </x:c>
      <x:c r="I142" s="2" t="n">
        <x:v>80</x:v>
      </x:c>
      <x:c r="J142" s="2" t="n">
        <x:v>80</x:v>
      </x:c>
      <x:c r="K142" s="2" t="str">
        <x:v>未达到</x:v>
      </x:c>
      <x:c r="L142" s="10" t="n">
        <x:v>0.3322616248065001</x:v>
      </x:c>
      <x:c r="M142" s="10" t="n">
        <x:v>0.326361402191899</x:v>
      </x:c>
      <x:c r="N142" s="10" t="n">
        <x:v>0.326361402191899</x:v>
      </x:c>
      <x:c r="O142" s="2" t="n">
        <x:v>77</x:v>
      </x:c>
      <x:c r="P142" s="10" t="n">
        <x:v>0.8417696239652726</x:v>
      </x:c>
      <x:c r="Q142" s="10" t="n">
        <x:v>0.9407301530370524</x:v>
      </x:c>
    </x:row>
    <x:row r="143" ht="23" customHeight="1">
      <x:c r="A143" s="2" t="str">
        <x:v>Economy</x:v>
      </x:c>
      <x:c r="B143" s="2" t="n">
        <x:v>8</x:v>
      </x:c>
      <x:c r="C143" s="2" t="str">
        <x:v>TaTS</x:v>
      </x:c>
      <x:c r="D143" s="2" t="n">
        <x:v>2028</x:v>
      </x:c>
      <x:c r="E143" s="10" t="n">
        <x:v>0.17193530537689122</x:v>
      </x:c>
      <x:c r="F143" s="10" t="n">
        <x:v>0.1648503002401453</x:v>
      </x:c>
      <x:c r="G143" s="10" t="n">
        <x:v>0.1648503002401453</x:v>
      </x:c>
      <x:c r="H143" s="11" t="n">
        <x:v>1</x:v>
      </x:c>
      <x:c r="I143" s="2" t="n">
        <x:v>79</x:v>
      </x:c>
      <x:c r="J143" s="2" t="n">
        <x:v>80</x:v>
      </x:c>
      <x:c r="K143" s="2" t="str">
        <x:v>未达到</x:v>
      </x:c>
      <x:c r="L143" s="10" t="n">
        <x:v>0.3322616248065001</x:v>
      </x:c>
      <x:c r="M143" s="10" t="n">
        <x:v>0.3234059668400071</x:v>
      </x:c>
      <x:c r="N143" s="10" t="n">
        <x:v>0.3234059668400071</x:v>
      </x:c>
      <x:c r="O143" s="2" t="n">
        <x:v>77</x:v>
      </x:c>
      <x:c r="P143" s="10" t="n">
        <x:v>0.8249783161312381</x:v>
      </x:c>
      <x:c r="Q143" s="10" t="n">
        <x:v>0.9379880179594955</x:v>
      </x:c>
    </x:row>
    <x:row r="144" ht="23" customHeight="1">
      <x:c r="A144" s="2" t="str">
        <x:v>Economy</x:v>
      </x:c>
      <x:c r="B144" s="2" t="n">
        <x:v>8</x:v>
      </x:c>
      <x:c r="C144" s="2" t="str">
        <x:v>MM-TSFlib</x:v>
      </x:c>
      <x:c r="D144" s="2" t="n">
        <x:v>2026</x:v>
      </x:c>
      <x:c r="E144" s="10" t="n">
        <x:v>0.9900096828286012</x:v>
      </x:c>
      <x:c r="F144" s="10" t="n">
        <x:v>0.754589626668173</x:v>
      </x:c>
      <x:c r="G144" s="10" t="n">
        <x:v>0.8093160174944057</x:v>
      </x:c>
      <x:c r="H144" s="11" t="n">
        <x:v>0.75</x:v>
      </x:c>
      <x:c r="I144" s="2" t="n">
        <x:v>80</x:v>
      </x:c>
      <x:c r="J144" s="2" t="n">
        <x:v>80</x:v>
      </x:c>
      <x:c r="K144" s="2" t="str">
        <x:v>未达到</x:v>
      </x:c>
      <x:c r="L144" s="10" t="n">
        <x:v>0.8452098264129131</x:v>
      </x:c>
      <x:c r="M144" s="10" t="n">
        <x:v>0.7228142980050731</x:v>
      </x:c>
      <x:c r="N144" s="10" t="n">
        <x:v>0.752682804771058</x:v>
      </x:c>
      <x:c r="O144" s="2" t="n">
        <x:v>77</x:v>
      </x:c>
      <x:c r="P144" s="10" t="n">
        <x:v>0.9165567479097081</x:v>
      </x:c>
      <x:c r="Q144" s="10" t="n">
        <x:v>0.955297887118695</x:v>
      </x:c>
    </x:row>
    <x:row r="145" ht="23" customHeight="1">
      <x:c r="A145" s="2" t="str">
        <x:v>Economy</x:v>
      </x:c>
      <x:c r="B145" s="2" t="n">
        <x:v>8</x:v>
      </x:c>
      <x:c r="C145" s="2" t="str">
        <x:v>MM-TSFlib</x:v>
      </x:c>
      <x:c r="D145" s="2" t="n">
        <x:v>2027</x:v>
      </x:c>
      <x:c r="E145" s="10" t="n">
        <x:v>0.9900096828286012</x:v>
      </x:c>
      <x:c r="F145" s="10" t="n">
        <x:v>0.7800505678752508</x:v>
      </x:c>
      <x:c r="G145" s="10" t="n">
        <x:v>0.8291746711511522</x:v>
      </x:c>
      <x:c r="H145" s="11" t="n">
        <x:v>0.75</x:v>
      </x:c>
      <x:c r="I145" s="2" t="n">
        <x:v>80</x:v>
      </x:c>
      <x:c r="J145" s="2" t="n">
        <x:v>80</x:v>
      </x:c>
      <x:c r="K145" s="2" t="str">
        <x:v>未达到</x:v>
      </x:c>
      <x:c r="L145" s="10" t="n">
        <x:v>0.8452098264129131</x:v>
      </x:c>
      <x:c r="M145" s="10" t="n">
        <x:v>0.7354941861583041</x:v>
      </x:c>
      <x:c r="N145" s="10" t="n">
        <x:v>0.7623025033768122</x:v>
      </x:c>
      <x:c r="O145" s="2" t="n">
        <x:v>77</x:v>
      </x:c>
      <x:c r="P145" s="10" t="n">
        <x:v>0.89248133964833</x:v>
      </x:c>
      <x:c r="Q145" s="10" t="n">
        <x:v>0.9338926908396148</x:v>
      </x:c>
    </x:row>
    <x:row r="146" ht="23" customHeight="1">
      <x:c r="A146" s="2" t="str">
        <x:v>Economy</x:v>
      </x:c>
      <x:c r="B146" s="2" t="n">
        <x:v>8</x:v>
      </x:c>
      <x:c r="C146" s="2" t="str">
        <x:v>MM-TSFlib</x:v>
      </x:c>
      <x:c r="D146" s="2" t="n">
        <x:v>2028</x:v>
      </x:c>
      <x:c r="E146" s="10" t="n">
        <x:v>0.9900096828286012</x:v>
      </x:c>
      <x:c r="F146" s="10" t="n">
        <x:v>0.7538105394483939</x:v>
      </x:c>
      <x:c r="G146" s="10" t="n">
        <x:v>0.8087191189651145</x:v>
      </x:c>
      <x:c r="H146" s="11" t="n">
        <x:v>0.75</x:v>
      </x:c>
      <x:c r="I146" s="2" t="n">
        <x:v>79</x:v>
      </x:c>
      <x:c r="J146" s="2" t="n">
        <x:v>80</x:v>
      </x:c>
      <x:c r="K146" s="2" t="str">
        <x:v>未达到</x:v>
      </x:c>
      <x:c r="L146" s="10" t="n">
        <x:v>0.8452098264129131</x:v>
      </x:c>
      <x:c r="M146" s="10" t="n">
        <x:v>0.7223492607280806</x:v>
      </x:c>
      <x:c r="N146" s="10" t="n">
        <x:v>0.7522973651429276</x:v>
      </x:c>
      <x:c r="O146" s="2" t="n">
        <x:v>77</x:v>
      </x:c>
      <x:c r="P146" s="10" t="n">
        <x:v>0.8990332713481745</x:v>
      </x:c>
      <x:c r="Q146" s="10" t="n">
        <x:v>0.9462462111767493</x:v>
      </x:c>
    </x:row>
    <x:row r="147" ht="23" customHeight="1">
      <x:c r="A147" s="2" t="str">
        <x:v>Economy</x:v>
      </x:c>
      <x:c r="B147" s="2" t="n">
        <x:v>8</x:v>
      </x:c>
      <x:c r="C147" s="2" t="str">
        <x:v>SpecTF</x:v>
      </x:c>
      <x:c r="D147" s="2" t="n">
        <x:v>2026</x:v>
      </x:c>
      <x:c r="E147" s="10" t="n">
        <x:v>0.20794032049325598</x:v>
      </x:c>
      <x:c r="F147" s="10" t="n">
        <x:v>0.19849573942213827</x:v>
      </x:c>
      <x:c r="G147" s="10" t="n">
        <x:v>0.19849573942213827</x:v>
      </x:c>
      <x:c r="H147" s="11" t="n">
        <x:v>1</x:v>
      </x:c>
      <x:c r="I147" s="2" t="n">
        <x:v>80</x:v>
      </x:c>
      <x:c r="J147" s="2" t="n">
        <x:v>80</x:v>
      </x:c>
      <x:c r="K147" s="2" t="str">
        <x:v>未达到</x:v>
      </x:c>
      <x:c r="L147" s="10" t="n">
        <x:v>0.3618400586502893</x:v>
      </x:c>
      <x:c r="M147" s="10" t="n">
        <x:v>0.35275770868960915</x:v>
      </x:c>
      <x:c r="N147" s="10" t="n">
        <x:v>0.35275770868960915</x:v>
      </x:c>
      <x:c r="O147" s="2" t="n">
        <x:v>77</x:v>
      </x:c>
      <x:c r="P147" s="10" t="n">
        <x:v>0.7936112456571094</x:v>
      </x:c>
      <x:c r="Q147" s="10" t="n">
        <x:v>0.8566169768068159</x:v>
      </x:c>
    </x:row>
    <x:row r="148" ht="23" customHeight="1">
      <x:c r="A148" s="2" t="str">
        <x:v>Economy</x:v>
      </x:c>
      <x:c r="B148" s="2" t="n">
        <x:v>8</x:v>
      </x:c>
      <x:c r="C148" s="2" t="str">
        <x:v>SpecTF</x:v>
      </x:c>
      <x:c r="D148" s="2" t="n">
        <x:v>2027</x:v>
      </x:c>
      <x:c r="E148" s="10" t="n">
        <x:v>0.20794032049325598</x:v>
      </x:c>
      <x:c r="F148" s="10" t="n">
        <x:v>0.2005376122339697</x:v>
      </x:c>
      <x:c r="G148" s="10" t="n">
        <x:v>0.2005376122339697</x:v>
      </x:c>
      <x:c r="H148" s="11" t="n">
        <x:v>1</x:v>
      </x:c>
      <x:c r="I148" s="2" t="n">
        <x:v>80</x:v>
      </x:c>
      <x:c r="J148" s="2" t="n">
        <x:v>80</x:v>
      </x:c>
      <x:c r="K148" s="2" t="str">
        <x:v>未达到</x:v>
      </x:c>
      <x:c r="L148" s="10" t="n">
        <x:v>0.3618400586502893</x:v>
      </x:c>
      <x:c r="M148" s="10" t="n">
        <x:v>0.3555069507716538</x:v>
      </x:c>
      <x:c r="N148" s="10" t="n">
        <x:v>0.3555069507716538</x:v>
      </x:c>
      <x:c r="O148" s="2" t="n">
        <x:v>77</x:v>
      </x:c>
      <x:c r="P148" s="10" t="n">
        <x:v>0.8426378903486987</x:v>
      </x:c>
      <x:c r="Q148" s="10" t="n">
        <x:v>0.8790231219359035</x:v>
      </x:c>
    </x:row>
    <x:row r="149" ht="23" customHeight="1">
      <x:c r="A149" s="2" t="str">
        <x:v>Economy</x:v>
      </x:c>
      <x:c r="B149" s="2" t="n">
        <x:v>8</x:v>
      </x:c>
      <x:c r="C149" s="2" t="str">
        <x:v>SpecTF</x:v>
      </x:c>
      <x:c r="D149" s="2" t="n">
        <x:v>2028</x:v>
      </x:c>
      <x:c r="E149" s="10" t="n">
        <x:v>0.20794032049325598</x:v>
      </x:c>
      <x:c r="F149" s="10" t="n">
        <x:v>0.19900778938082378</x:v>
      </x:c>
      <x:c r="G149" s="10" t="n">
        <x:v>0.19900778938082378</x:v>
      </x:c>
      <x:c r="H149" s="11" t="n">
        <x:v>1</x:v>
      </x:c>
      <x:c r="I149" s="2" t="n">
        <x:v>79</x:v>
      </x:c>
      <x:c r="J149" s="2" t="n">
        <x:v>80</x:v>
      </x:c>
      <x:c r="K149" s="2" t="str">
        <x:v>未达到</x:v>
      </x:c>
      <x:c r="L149" s="10" t="n">
        <x:v>0.3618400586502893</x:v>
      </x:c>
      <x:c r="M149" s="10" t="n">
        <x:v>0.3533692586344558</x:v>
      </x:c>
      <x:c r="N149" s="10" t="n">
        <x:v>0.3533692586344558</x:v>
      </x:c>
      <x:c r="O149" s="2" t="n">
        <x:v>77</x:v>
      </x:c>
      <x:c r="P149" s="10" t="n">
        <x:v>0.8411292631238493</x:v>
      </x:c>
      <x:c r="Q149" s="10" t="n">
        <x:v>0.8826485492725888</x:v>
      </x:c>
    </x:row>
    <x:row r="150" ht="23" customHeight="1">
      <x:c r="A150" s="2" t="str">
        <x:v>Economy</x:v>
      </x:c>
      <x:c r="B150" s="2" t="n">
        <x:v>8</x:v>
      </x:c>
      <x:c r="C150" s="2" t="str">
        <x:v>CFA</x:v>
      </x:c>
      <x:c r="D150" s="2" t="n">
        <x:v>2026</x:v>
      </x:c>
      <x:c r="E150" s="10" t="n">
        <x:v>0.19030338745728353</x:v>
      </x:c>
      <x:c r="F150" s="10" t="n">
        <x:v>0.18489714615862943</x:v>
      </x:c>
      <x:c r="G150" s="10" t="n">
        <x:v>0.18489714615862943</x:v>
      </x:c>
      <x:c r="H150" s="11" t="n">
        <x:v>1</x:v>
      </x:c>
      <x:c r="I150" s="2" t="n">
        <x:v>80</x:v>
      </x:c>
      <x:c r="J150" s="2" t="n">
        <x:v>80</x:v>
      </x:c>
      <x:c r="K150" s="2" t="str">
        <x:v>未达到</x:v>
      </x:c>
      <x:c r="L150" s="10" t="n">
        <x:v>0.3428347496823831</x:v>
      </x:c>
      <x:c r="M150" s="10" t="n">
        <x:v>0.33481237002007375</x:v>
      </x:c>
      <x:c r="N150" s="10" t="n">
        <x:v>0.33481237002007375</x:v>
      </x:c>
      <x:c r="O150" s="2" t="n">
        <x:v>77</x:v>
      </x:c>
      <x:c r="P150" s="10" t="n">
        <x:v>0.8601526032113993</x:v>
      </x:c>
      <x:c r="Q150" s="10" t="n">
        <x:v>0.9182155354678138</x:v>
      </x:c>
    </x:row>
    <x:row r="151" ht="23" customHeight="1">
      <x:c r="A151" s="2" t="str">
        <x:v>Economy</x:v>
      </x:c>
      <x:c r="B151" s="2" t="n">
        <x:v>8</x:v>
      </x:c>
      <x:c r="C151" s="2" t="str">
        <x:v>CFA</x:v>
      </x:c>
      <x:c r="D151" s="2" t="n">
        <x:v>2027</x:v>
      </x:c>
      <x:c r="E151" s="10" t="n">
        <x:v>0.19030338745728353</x:v>
      </x:c>
      <x:c r="F151" s="10" t="n">
        <x:v>0.18328078473538273</x:v>
      </x:c>
      <x:c r="G151" s="10" t="n">
        <x:v>0.18328078473538273</x:v>
      </x:c>
      <x:c r="H151" s="11" t="n">
        <x:v>1</x:v>
      </x:c>
      <x:c r="I151" s="2" t="n">
        <x:v>80</x:v>
      </x:c>
      <x:c r="J151" s="2" t="n">
        <x:v>80</x:v>
      </x:c>
      <x:c r="K151" s="2" t="str">
        <x:v>未达到</x:v>
      </x:c>
      <x:c r="L151" s="10" t="n">
        <x:v>0.3428347496823831</x:v>
      </x:c>
      <x:c r="M151" s="10" t="n">
        <x:v>0.33368769694458356</x:v>
      </x:c>
      <x:c r="N151" s="10" t="n">
        <x:v>0.33368769694458356</x:v>
      </x:c>
      <x:c r="O151" s="2" t="n">
        <x:v>77</x:v>
      </x:c>
      <x:c r="P151" s="10" t="n">
        <x:v>0.8779235252996959</x:v>
      </x:c>
      <x:c r="Q151" s="10" t="n">
        <x:v>0.9238245694229189</x:v>
      </x:c>
    </x:row>
    <x:row r="152" ht="23" customHeight="1">
      <x:c r="A152" s="2" t="str">
        <x:v>Economy</x:v>
      </x:c>
      <x:c r="B152" s="2" t="n">
        <x:v>8</x:v>
      </x:c>
      <x:c r="C152" s="2" t="str">
        <x:v>CFA</x:v>
      </x:c>
      <x:c r="D152" s="2" t="n">
        <x:v>2028</x:v>
      </x:c>
      <x:c r="E152" s="10" t="n">
        <x:v>0.19030338745728353</x:v>
      </x:c>
      <x:c r="F152" s="10" t="n">
        <x:v>0.182649271523963</x:v>
      </x:c>
      <x:c r="G152" s="10" t="n">
        <x:v>0.182649271523963</x:v>
      </x:c>
      <x:c r="H152" s="11" t="n">
        <x:v>1</x:v>
      </x:c>
      <x:c r="I152" s="2" t="n">
        <x:v>79</x:v>
      </x:c>
      <x:c r="J152" s="2" t="n">
        <x:v>80</x:v>
      </x:c>
      <x:c r="K152" s="2" t="str">
        <x:v>未达到</x:v>
      </x:c>
      <x:c r="L152" s="10" t="n">
        <x:v>0.3428347496823831</x:v>
      </x:c>
      <x:c r="M152" s="10" t="n">
        <x:v>0.33243510223828354</x:v>
      </x:c>
      <x:c r="N152" s="10" t="n">
        <x:v>0.33243510223828354</x:v>
      </x:c>
      <x:c r="O152" s="2" t="n">
        <x:v>77</x:v>
      </x:c>
      <x:c r="P152" s="10" t="n">
        <x:v>0.8626224302942771</x:v>
      </x:c>
      <x:c r="Q152" s="10" t="n">
        <x:v>0.9230150148078147</x:v>
      </x:c>
    </x:row>
    <x:row r="153" ht="23" customHeight="1">
      <x:c r="A153" s="2" t="str">
        <x:v>Economy</x:v>
      </x:c>
      <x:c r="B153" s="2" t="n">
        <x:v>8</x:v>
      </x:c>
      <x:c r="C153" s="2" t="str">
        <x:v>Aurora</x:v>
      </x:c>
      <x:c r="D153" s="2" t="n">
        <x:v>2026</x:v>
      </x:c>
      <x:c r="E153" s="10" t="n">
        <x:v>0.30134888800131915</x:v>
      </x:c>
      <x:c r="F153" s="10" t="n">
        <x:v>0.28780318708899344</x:v>
      </x:c>
      <x:c r="G153" s="10" t="n">
        <x:v>0.30134888800131915</x:v>
      </x:c>
      <x:c r="H153" s="11" t="n">
        <x:v>0</x:v>
      </x:c>
      <x:c r="I153" s="2" t="n">
        <x:v>80</x:v>
      </x:c>
      <x:c r="J153" s="2" t="n">
        <x:v>80</x:v>
      </x:c>
      <x:c r="K153" s="2" t="str">
        <x:v>未达到</x:v>
      </x:c>
      <x:c r="L153" s="10" t="n">
        <x:v>0.40555489189051963</x:v>
      </x:c>
      <x:c r="M153" s="10" t="n">
        <x:v>0.3986212170936845</x:v>
      </x:c>
      <x:c r="N153" s="10" t="n">
        <x:v>0.40555489189051963</x:v>
      </x:c>
      <x:c r="O153" s="2" t="n">
        <x:v>77</x:v>
      </x:c>
      <x:c r="P153" s="10" t="n">
        <x:v>1</x:v>
      </x:c>
      <x:c r="Q153" s="10" t="n">
        <x:v>1</x:v>
      </x:c>
    </x:row>
    <x:row r="154" ht="23" customHeight="1">
      <x:c r="A154" s="2" t="str">
        <x:v>Economy</x:v>
      </x:c>
      <x:c r="B154" s="2" t="n">
        <x:v>8</x:v>
      </x:c>
      <x:c r="C154" s="2" t="str">
        <x:v>Aurora</x:v>
      </x:c>
      <x:c r="D154" s="2" t="n">
        <x:v>2027</x:v>
      </x:c>
      <x:c r="E154" s="10" t="n">
        <x:v>0.30134888800131915</x:v>
      </x:c>
      <x:c r="F154" s="10" t="n">
        <x:v>0.29453227872354554</x:v>
      </x:c>
      <x:c r="G154" s="10" t="n">
        <x:v>0.30134888800131915</x:v>
      </x:c>
      <x:c r="H154" s="11" t="n">
        <x:v>0</x:v>
      </x:c>
      <x:c r="I154" s="2" t="n">
        <x:v>80</x:v>
      </x:c>
      <x:c r="J154" s="2" t="n">
        <x:v>80</x:v>
      </x:c>
      <x:c r="K154" s="2" t="str">
        <x:v>未达到</x:v>
      </x:c>
      <x:c r="L154" s="10" t="n">
        <x:v>0.40555489189051963</x:v>
      </x:c>
      <x:c r="M154" s="10" t="n">
        <x:v>0.40375585728264474</x:v>
      </x:c>
      <x:c r="N154" s="10" t="n">
        <x:v>0.40555489189051963</x:v>
      </x:c>
      <x:c r="O154" s="2" t="n">
        <x:v>77</x:v>
      </x:c>
      <x:c r="P154" s="10" t="n">
        <x:v>1</x:v>
      </x:c>
      <x:c r="Q154" s="10" t="n">
        <x:v>1</x:v>
      </x:c>
    </x:row>
    <x:row r="155" ht="23" customHeight="1">
      <x:c r="A155" s="2" t="str">
        <x:v>Economy</x:v>
      </x:c>
      <x:c r="B155" s="2" t="n">
        <x:v>8</x:v>
      </x:c>
      <x:c r="C155" s="2" t="str">
        <x:v>Aurora</x:v>
      </x:c>
      <x:c r="D155" s="2" t="n">
        <x:v>2028</x:v>
      </x:c>
      <x:c r="E155" s="10" t="n">
        <x:v>0.30134888800131915</x:v>
      </x:c>
      <x:c r="F155" s="10" t="n">
        <x:v>0.2857486284882469</x:v>
      </x:c>
      <x:c r="G155" s="10" t="n">
        <x:v>0.30134888800131915</x:v>
      </x:c>
      <x:c r="H155" s="11" t="n">
        <x:v>0</x:v>
      </x:c>
      <x:c r="I155" s="2" t="n">
        <x:v>79</x:v>
      </x:c>
      <x:c r="J155" s="2" t="n">
        <x:v>80</x:v>
      </x:c>
      <x:c r="K155" s="2" t="str">
        <x:v>未达到</x:v>
      </x:c>
      <x:c r="L155" s="10" t="n">
        <x:v>0.40555489189051963</x:v>
      </x:c>
      <x:c r="M155" s="10" t="n">
        <x:v>0.3964147257146897</x:v>
      </x:c>
      <x:c r="N155" s="10" t="n">
        <x:v>0.40555489189051963</x:v>
      </x:c>
      <x:c r="O155" s="2" t="n">
        <x:v>77</x:v>
      </x:c>
      <x:c r="P155" s="10" t="n">
        <x:v>1</x:v>
      </x:c>
      <x:c r="Q155" s="10" t="n">
        <x:v>1</x:v>
      </x:c>
    </x:row>
    <x:row r="156" ht="23" customHeight="1">
      <x:c r="A156" s="2" t="str">
        <x:v>Economy</x:v>
      </x:c>
      <x:c r="B156" s="2" t="n">
        <x:v>10</x:v>
      </x:c>
      <x:c r="C156" s="2" t="str">
        <x:v>TaTS</x:v>
      </x:c>
      <x:c r="D156" s="2" t="n">
        <x:v>2026</x:v>
      </x:c>
      <x:c r="E156" s="10" t="n">
        <x:v>0.18058548881660597</x:v>
      </x:c>
      <x:c r="F156" s="10" t="n">
        <x:v>0.16992701203780922</x:v>
      </x:c>
      <x:c r="G156" s="10" t="n">
        <x:v>0.16992701203780922</x:v>
      </x:c>
      <x:c r="H156" s="11" t="n">
        <x:v>1</x:v>
      </x:c>
      <x:c r="I156" s="2" t="n">
        <x:v>79</x:v>
      </x:c>
      <x:c r="J156" s="2" t="n">
        <x:v>80</x:v>
      </x:c>
      <x:c r="K156" s="2" t="str">
        <x:v>未达到</x:v>
      </x:c>
      <x:c r="L156" s="10" t="n">
        <x:v>0.3368168587684631</x:v>
      </x:c>
      <x:c r="M156" s="10" t="n">
        <x:v>0.32492272766431174</x:v>
      </x:c>
      <x:c r="N156" s="10" t="n">
        <x:v>0.32492272766431174</x:v>
      </x:c>
      <x:c r="O156" s="2" t="n">
        <x:v>75</x:v>
      </x:c>
      <x:c r="P156" s="10" t="n">
        <x:v>0.8210287526402272</x:v>
      </x:c>
      <x:c r="Q156" s="10" t="n">
        <x:v>0.9194773046143263</x:v>
      </x:c>
    </x:row>
    <x:row r="157" ht="23" customHeight="1">
      <x:c r="A157" s="2" t="str">
        <x:v>Economy</x:v>
      </x:c>
      <x:c r="B157" s="2" t="n">
        <x:v>10</x:v>
      </x:c>
      <x:c r="C157" s="2" t="str">
        <x:v>TaTS</x:v>
      </x:c>
      <x:c r="D157" s="2" t="n">
        <x:v>2027</x:v>
      </x:c>
      <x:c r="E157" s="10" t="n">
        <x:v>0.18058548881660597</x:v>
      </x:c>
      <x:c r="F157" s="10" t="n">
        <x:v>0.17561147111501937</x:v>
      </x:c>
      <x:c r="G157" s="10" t="n">
        <x:v>0.18058548881660597</x:v>
      </x:c>
      <x:c r="H157" s="11" t="n">
        <x:v>0</x:v>
      </x:c>
      <x:c r="I157" s="2" t="n">
        <x:v>21</x:v>
      </x:c>
      <x:c r="J157" s="2" t="n">
        <x:v>29</x:v>
      </x:c>
      <x:c r="K157" s="2" t="str">
        <x:v>已达到</x:v>
      </x:c>
      <x:c r="L157" s="10" t="n">
        <x:v>0.3368168587684631</x:v>
      </x:c>
      <x:c r="M157" s="10" t="n">
        <x:v>0.334024027744929</x:v>
      </x:c>
      <x:c r="N157" s="10" t="n">
        <x:v>0.3368168587684631</x:v>
      </x:c>
      <x:c r="O157" s="2" t="n">
        <x:v>75</x:v>
      </x:c>
      <x:c r="P157" s="10" t="n">
        <x:v>1</x:v>
      </x:c>
      <x:c r="Q157" s="10" t="n">
        <x:v>1</x:v>
      </x:c>
    </x:row>
    <x:row r="158" ht="23" customHeight="1">
      <x:c r="A158" s="2" t="str">
        <x:v>Economy</x:v>
      </x:c>
      <x:c r="B158" s="2" t="n">
        <x:v>10</x:v>
      </x:c>
      <x:c r="C158" s="2" t="str">
        <x:v>TaTS</x:v>
      </x:c>
      <x:c r="D158" s="2" t="n">
        <x:v>2028</x:v>
      </x:c>
      <x:c r="E158" s="10" t="n">
        <x:v>0.18058548881660597</x:v>
      </x:c>
      <x:c r="F158" s="10" t="n">
        <x:v>0.1746164893474201</x:v>
      </x:c>
      <x:c r="G158" s="10" t="n">
        <x:v>0.18058548881660597</x:v>
      </x:c>
      <x:c r="H158" s="11" t="n">
        <x:v>0</x:v>
      </x:c>
      <x:c r="I158" s="2" t="n">
        <x:v>15</x:v>
      </x:c>
      <x:c r="J158" s="2" t="n">
        <x:v>23</x:v>
      </x:c>
      <x:c r="K158" s="2" t="str">
        <x:v>已达到</x:v>
      </x:c>
      <x:c r="L158" s="10" t="n">
        <x:v>0.3368168587684631</x:v>
      </x:c>
      <x:c r="M158" s="10" t="n">
        <x:v>0.3328123901685079</x:v>
      </x:c>
      <x:c r="N158" s="10" t="n">
        <x:v>0.3368168587684631</x:v>
      </x:c>
      <x:c r="O158" s="2" t="n">
        <x:v>75</x:v>
      </x:c>
      <x:c r="P158" s="10" t="n">
        <x:v>1</x:v>
      </x:c>
      <x:c r="Q158" s="10" t="n">
        <x:v>1</x:v>
      </x:c>
    </x:row>
    <x:row r="159" ht="23" customHeight="1">
      <x:c r="A159" s="2" t="str">
        <x:v>Economy</x:v>
      </x:c>
      <x:c r="B159" s="2" t="n">
        <x:v>10</x:v>
      </x:c>
      <x:c r="C159" s="2" t="str">
        <x:v>MM-TSFlib</x:v>
      </x:c>
      <x:c r="D159" s="2" t="n">
        <x:v>2026</x:v>
      </x:c>
      <x:c r="E159" s="10" t="n">
        <x:v>0.9352328334071817</x:v>
      </x:c>
      <x:c r="F159" s="10" t="n">
        <x:v>0.7275214790156856</x:v>
      </x:c>
      <x:c r="G159" s="10" t="n">
        <x:v>0.7275214790156856</x:v>
      </x:c>
      <x:c r="H159" s="11" t="n">
        <x:v>1</x:v>
      </x:c>
      <x:c r="I159" s="2" t="n">
        <x:v>79</x:v>
      </x:c>
      <x:c r="J159" s="2" t="n">
        <x:v>80</x:v>
      </x:c>
      <x:c r="K159" s="2" t="str">
        <x:v>未达到</x:v>
      </x:c>
      <x:c r="L159" s="10" t="n">
        <x:v>0.8021725076436996</x:v>
      </x:c>
      <x:c r="M159" s="10" t="n">
        <x:v>0.6968251244227092</x:v>
      </x:c>
      <x:c r="N159" s="10" t="n">
        <x:v>0.6968251244227092</x:v>
      </x:c>
      <x:c r="O159" s="2" t="n">
        <x:v>75</x:v>
      </x:c>
      <x:c r="P159" s="10" t="n">
        <x:v>0.912773705102985</x:v>
      </x:c>
      <x:c r="Q159" s="10" t="n">
        <x:v>0.97265291354743</x:v>
      </x:c>
    </x:row>
    <x:row r="160" ht="23" customHeight="1">
      <x:c r="A160" s="2" t="str">
        <x:v>Economy</x:v>
      </x:c>
      <x:c r="B160" s="2" t="n">
        <x:v>10</x:v>
      </x:c>
      <x:c r="C160" s="2" t="str">
        <x:v>MM-TSFlib</x:v>
      </x:c>
      <x:c r="D160" s="2" t="n">
        <x:v>2027</x:v>
      </x:c>
      <x:c r="E160" s="10" t="n">
        <x:v>0.9352328334071817</x:v>
      </x:c>
      <x:c r="F160" s="10" t="n">
        <x:v>0.8741243061976384</x:v>
      </x:c>
      <x:c r="G160" s="10" t="n">
        <x:v>0.8741243061976384</x:v>
      </x:c>
      <x:c r="H160" s="11" t="n">
        <x:v>1</x:v>
      </x:c>
      <x:c r="I160" s="2" t="n">
        <x:v>21</x:v>
      </x:c>
      <x:c r="J160" s="2" t="n">
        <x:v>29</x:v>
      </x:c>
      <x:c r="K160" s="2" t="str">
        <x:v>已达到</x:v>
      </x:c>
      <x:c r="L160" s="10" t="n">
        <x:v>0.8021725076436996</x:v>
      </x:c>
      <x:c r="M160" s="10" t="n">
        <x:v>0.7756892217000325</x:v>
      </x:c>
      <x:c r="N160" s="10" t="n">
        <x:v>0.7756892217000325</x:v>
      </x:c>
      <x:c r="O160" s="2" t="n">
        <x:v>75</x:v>
      </x:c>
      <x:c r="P160" s="10" t="n">
        <x:v>0.948041007793514</x:v>
      </x:c>
      <x:c r="Q160" s="10" t="n">
        <x:v>0.9672929323244932</x:v>
      </x:c>
    </x:row>
    <x:row r="161" ht="23" customHeight="1">
      <x:c r="A161" s="2" t="str">
        <x:v>Economy</x:v>
      </x:c>
      <x:c r="B161" s="2" t="n">
        <x:v>10</x:v>
      </x:c>
      <x:c r="C161" s="2" t="str">
        <x:v>MM-TSFlib</x:v>
      </x:c>
      <x:c r="D161" s="2" t="n">
        <x:v>2028</x:v>
      </x:c>
      <x:c r="E161" s="10" t="n">
        <x:v>0.9352328334071817</x:v>
      </x:c>
      <x:c r="F161" s="10" t="n">
        <x:v>0.8669108472977882</x:v>
      </x:c>
      <x:c r="G161" s="10" t="n">
        <x:v>0.8669108472977882</x:v>
      </x:c>
      <x:c r="H161" s="11" t="n">
        <x:v>1</x:v>
      </x:c>
      <x:c r="I161" s="2" t="n">
        <x:v>15</x:v>
      </x:c>
      <x:c r="J161" s="2" t="n">
        <x:v>23</x:v>
      </x:c>
      <x:c r="K161" s="2" t="str">
        <x:v>已达到</x:v>
      </x:c>
      <x:c r="L161" s="10" t="n">
        <x:v>0.8021725076436996</x:v>
      </x:c>
      <x:c r="M161" s="10" t="n">
        <x:v>0.7722414045333862</x:v>
      </x:c>
      <x:c r="N161" s="10" t="n">
        <x:v>0.7722414045333862</x:v>
      </x:c>
      <x:c r="O161" s="2" t="n">
        <x:v>75</x:v>
      </x:c>
      <x:c r="P161" s="10" t="n">
        <x:v>0.9516266943433969</x:v>
      </x:c>
      <x:c r="Q161" s="10" t="n">
        <x:v>0.9711476786435064</x:v>
      </x:c>
    </x:row>
    <x:row r="162" ht="23" customHeight="1">
      <x:c r="A162" s="2" t="str">
        <x:v>Economy</x:v>
      </x:c>
      <x:c r="B162" s="2" t="n">
        <x:v>10</x:v>
      </x:c>
      <x:c r="C162" s="2" t="str">
        <x:v>SpecTF</x:v>
      </x:c>
      <x:c r="D162" s="2" t="n">
        <x:v>2026</x:v>
      </x:c>
      <x:c r="E162" s="10" t="n">
        <x:v>0.19822602470059905</x:v>
      </x:c>
      <x:c r="F162" s="10" t="n">
        <x:v>0.19245501461718514</x:v>
      </x:c>
      <x:c r="G162" s="10" t="n">
        <x:v>0.19245501461718514</x:v>
      </x:c>
      <x:c r="H162" s="11" t="n">
        <x:v>1</x:v>
      </x:c>
      <x:c r="I162" s="2" t="n">
        <x:v>79</x:v>
      </x:c>
      <x:c r="J162" s="2" t="n">
        <x:v>80</x:v>
      </x:c>
      <x:c r="K162" s="2" t="str">
        <x:v>未达到</x:v>
      </x:c>
      <x:c r="L162" s="10" t="n">
        <x:v>0.3472177498340607</x:v>
      </x:c>
      <x:c r="M162" s="10" t="n">
        <x:v>0.3411837154229482</x:v>
      </x:c>
      <x:c r="N162" s="10" t="n">
        <x:v>0.3411837154229482</x:v>
      </x:c>
      <x:c r="O162" s="2" t="n">
        <x:v>75</x:v>
      </x:c>
      <x:c r="P162" s="10" t="n">
        <x:v>0.9166751614560712</x:v>
      </x:c>
      <x:c r="Q162" s="10" t="n">
        <x:v>0.9669589171753036</x:v>
      </x:c>
    </x:row>
    <x:row r="163" ht="23" customHeight="1">
      <x:c r="A163" s="2" t="str">
        <x:v>Economy</x:v>
      </x:c>
      <x:c r="B163" s="2" t="n">
        <x:v>10</x:v>
      </x:c>
      <x:c r="C163" s="2" t="str">
        <x:v>SpecTF</x:v>
      </x:c>
      <x:c r="D163" s="2" t="n">
        <x:v>2027</x:v>
      </x:c>
      <x:c r="E163" s="10" t="n">
        <x:v>0.19822602470059905</x:v>
      </x:c>
      <x:c r="F163" s="10" t="n">
        <x:v>0.19798626522598292</x:v>
      </x:c>
      <x:c r="G163" s="10" t="n">
        <x:v>0.19822602470059905</x:v>
      </x:c>
      <x:c r="H163" s="11" t="n">
        <x:v>0</x:v>
      </x:c>
      <x:c r="I163" s="2" t="n">
        <x:v>21</x:v>
      </x:c>
      <x:c r="J163" s="2" t="n">
        <x:v>29</x:v>
      </x:c>
      <x:c r="K163" s="2" t="str">
        <x:v>已达到</x:v>
      </x:c>
      <x:c r="L163" s="10" t="n">
        <x:v>0.3472177498340607</x:v>
      </x:c>
      <x:c r="M163" s="10" t="n">
        <x:v>0.3475524493853251</x:v>
      </x:c>
      <x:c r="N163" s="10" t="n">
        <x:v>0.3472177498340607</x:v>
      </x:c>
      <x:c r="O163" s="2" t="n">
        <x:v>75</x:v>
      </x:c>
      <x:c r="P163" s="10" t="n">
        <x:v>1</x:v>
      </x:c>
      <x:c r="Q163" s="10" t="n">
        <x:v>1</x:v>
      </x:c>
    </x:row>
    <x:row r="164" ht="23" customHeight="1">
      <x:c r="A164" s="2" t="str">
        <x:v>Economy</x:v>
      </x:c>
      <x:c r="B164" s="2" t="n">
        <x:v>10</x:v>
      </x:c>
      <x:c r="C164" s="2" t="str">
        <x:v>SpecTF</x:v>
      </x:c>
      <x:c r="D164" s="2" t="n">
        <x:v>2028</x:v>
      </x:c>
      <x:c r="E164" s="10" t="n">
        <x:v>0.19822602470059905</x:v>
      </x:c>
      <x:c r="F164" s="10" t="n">
        <x:v>0.1974884260839198</x:v>
      </x:c>
      <x:c r="G164" s="10" t="n">
        <x:v>0.19822602470059905</x:v>
      </x:c>
      <x:c r="H164" s="11" t="n">
        <x:v>0</x:v>
      </x:c>
      <x:c r="I164" s="2" t="n">
        <x:v>15</x:v>
      </x:c>
      <x:c r="J164" s="2" t="n">
        <x:v>23</x:v>
      </x:c>
      <x:c r="K164" s="2" t="str">
        <x:v>已达到</x:v>
      </x:c>
      <x:c r="L164" s="10" t="n">
        <x:v>0.3472177498340607</x:v>
      </x:c>
      <x:c r="M164" s="10" t="n">
        <x:v>0.34728973952929176</x:v>
      </x:c>
      <x:c r="N164" s="10" t="n">
        <x:v>0.3472177498340607</x:v>
      </x:c>
      <x:c r="O164" s="2" t="n">
        <x:v>75</x:v>
      </x:c>
      <x:c r="P164" s="10" t="n">
        <x:v>1</x:v>
      </x:c>
      <x:c r="Q164" s="10" t="n">
        <x:v>1</x:v>
      </x:c>
    </x:row>
    <x:row r="165" ht="23" customHeight="1">
      <x:c r="A165" s="2" t="str">
        <x:v>Economy</x:v>
      </x:c>
      <x:c r="B165" s="2" t="n">
        <x:v>10</x:v>
      </x:c>
      <x:c r="C165" s="2" t="str">
        <x:v>CFA</x:v>
      </x:c>
      <x:c r="D165" s="2" t="n">
        <x:v>2026</x:v>
      </x:c>
      <x:c r="E165" s="10" t="n">
        <x:v>0.23586643317586922</x:v>
      </x:c>
      <x:c r="F165" s="10" t="n">
        <x:v>0.22274661159121373</x:v>
      </x:c>
      <x:c r="G165" s="10" t="n">
        <x:v>0.22274661159121373</x:v>
      </x:c>
      <x:c r="H165" s="11" t="n">
        <x:v>1</x:v>
      </x:c>
      <x:c r="I165" s="2" t="n">
        <x:v>79</x:v>
      </x:c>
      <x:c r="J165" s="2" t="n">
        <x:v>80</x:v>
      </x:c>
      <x:c r="K165" s="2" t="str">
        <x:v>未达到</x:v>
      </x:c>
      <x:c r="L165" s="10" t="n">
        <x:v>0.38637976241111754</x:v>
      </x:c>
      <x:c r="M165" s="10" t="n">
        <x:v>0.3710369344552358</x:v>
      </x:c>
      <x:c r="N165" s="10" t="n">
        <x:v>0.3710369344552358</x:v>
      </x:c>
      <x:c r="O165" s="2" t="n">
        <x:v>75</x:v>
      </x:c>
      <x:c r="P165" s="10" t="n">
        <x:v>0.8571547804316773</x:v>
      </x:c>
      <x:c r="Q165" s="10" t="n">
        <x:v>0.9385028273132754</x:v>
      </x:c>
    </x:row>
    <x:row r="166" ht="23" customHeight="1">
      <x:c r="A166" s="2" t="str">
        <x:v>Economy</x:v>
      </x:c>
      <x:c r="B166" s="2" t="n">
        <x:v>10</x:v>
      </x:c>
      <x:c r="C166" s="2" t="str">
        <x:v>CFA</x:v>
      </x:c>
      <x:c r="D166" s="2" t="n">
        <x:v>2027</x:v>
      </x:c>
      <x:c r="E166" s="10" t="n">
        <x:v>0.23586643317586922</x:v>
      </x:c>
      <x:c r="F166" s="10" t="n">
        <x:v>0.2346384654412268</x:v>
      </x:c>
      <x:c r="G166" s="10" t="n">
        <x:v>0.23586643317586922</x:v>
      </x:c>
      <x:c r="H166" s="11" t="n">
        <x:v>0</x:v>
      </x:c>
      <x:c r="I166" s="2" t="n">
        <x:v>21</x:v>
      </x:c>
      <x:c r="J166" s="2" t="n">
        <x:v>29</x:v>
      </x:c>
      <x:c r="K166" s="2" t="str">
        <x:v>已达到</x:v>
      </x:c>
      <x:c r="L166" s="10" t="n">
        <x:v>0.38637976241111754</x:v>
      </x:c>
      <x:c r="M166" s="10" t="n">
        <x:v>0.3830265230337779</x:v>
      </x:c>
      <x:c r="N166" s="10" t="n">
        <x:v>0.38637976241111754</x:v>
      </x:c>
      <x:c r="O166" s="2" t="n">
        <x:v>75</x:v>
      </x:c>
      <x:c r="P166" s="10" t="n">
        <x:v>1</x:v>
      </x:c>
      <x:c r="Q166" s="10" t="n">
        <x:v>1</x:v>
      </x:c>
    </x:row>
    <x:row r="167" ht="23" customHeight="1">
      <x:c r="A167" s="2" t="str">
        <x:v>Economy</x:v>
      </x:c>
      <x:c r="B167" s="2" t="n">
        <x:v>10</x:v>
      </x:c>
      <x:c r="C167" s="2" t="str">
        <x:v>CFA</x:v>
      </x:c>
      <x:c r="D167" s="2" t="n">
        <x:v>2028</x:v>
      </x:c>
      <x:c r="E167" s="10" t="n">
        <x:v>0.23586643317586922</x:v>
      </x:c>
      <x:c r="F167" s="10" t="n">
        <x:v>0.2344126079800955</x:v>
      </x:c>
      <x:c r="G167" s="10" t="n">
        <x:v>0.23586643317586922</x:v>
      </x:c>
      <x:c r="H167" s="11" t="n">
        <x:v>0</x:v>
      </x:c>
      <x:c r="I167" s="2" t="n">
        <x:v>15</x:v>
      </x:c>
      <x:c r="J167" s="2" t="n">
        <x:v>23</x:v>
      </x:c>
      <x:c r="K167" s="2" t="str">
        <x:v>已达到</x:v>
      </x:c>
      <x:c r="L167" s="10" t="n">
        <x:v>0.38637976241111754</x:v>
      </x:c>
      <x:c r="M167" s="10" t="n">
        <x:v>0.3827165058453878</x:v>
      </x:c>
      <x:c r="N167" s="10" t="n">
        <x:v>0.38637976241111754</x:v>
      </x:c>
      <x:c r="O167" s="2" t="n">
        <x:v>75</x:v>
      </x:c>
      <x:c r="P167" s="10" t="n">
        <x:v>1</x:v>
      </x:c>
      <x:c r="Q167" s="10" t="n">
        <x:v>1</x:v>
      </x:c>
    </x:row>
    <x:row r="168" ht="23" customHeight="1">
      <x:c r="A168" s="2" t="str">
        <x:v>Economy</x:v>
      </x:c>
      <x:c r="B168" s="2" t="n">
        <x:v>10</x:v>
      </x:c>
      <x:c r="C168" s="2" t="str">
        <x:v>Aurora</x:v>
      </x:c>
      <x:c r="D168" s="2" t="n">
        <x:v>2026</x:v>
      </x:c>
      <x:c r="E168" s="10" t="n">
        <x:v>0.31950637541484384</x:v>
      </x:c>
      <x:c r="F168" s="10" t="n">
        <x:v>0.30879881603389214</x:v>
      </x:c>
      <x:c r="G168" s="10" t="n">
        <x:v>0.31950637541484384</x:v>
      </x:c>
      <x:c r="H168" s="11" t="n">
        <x:v>0</x:v>
      </x:c>
      <x:c r="I168" s="2" t="n">
        <x:v>79</x:v>
      </x:c>
      <x:c r="J168" s="2" t="n">
        <x:v>80</x:v>
      </x:c>
      <x:c r="K168" s="2" t="str">
        <x:v>未达到</x:v>
      </x:c>
      <x:c r="L168" s="10" t="n">
        <x:v>0.41544849816958107</x:v>
      </x:c>
      <x:c r="M168" s="10" t="n">
        <x:v>0.40943322483698524</x:v>
      </x:c>
      <x:c r="N168" s="10" t="n">
        <x:v>0.41544849816958107</x:v>
      </x:c>
      <x:c r="O168" s="2" t="n">
        <x:v>75</x:v>
      </x:c>
      <x:c r="P168" s="10" t="n">
        <x:v>1</x:v>
      </x:c>
      <x:c r="Q168" s="10" t="n">
        <x:v>1</x:v>
      </x:c>
    </x:row>
    <x:row r="169" ht="23" customHeight="1">
      <x:c r="A169" s="2" t="str">
        <x:v>Economy</x:v>
      </x:c>
      <x:c r="B169" s="2" t="n">
        <x:v>10</x:v>
      </x:c>
      <x:c r="C169" s="2" t="str">
        <x:v>Aurora</x:v>
      </x:c>
      <x:c r="D169" s="2" t="n">
        <x:v>2027</x:v>
      </x:c>
      <x:c r="E169" s="10" t="n">
        <x:v>0.31950637541484384</x:v>
      </x:c>
      <x:c r="F169" s="10" t="n">
        <x:v>0.307400378068153</x:v>
      </x:c>
      <x:c r="G169" s="10" t="n">
        <x:v>0.31950637541484384</x:v>
      </x:c>
      <x:c r="H169" s="11" t="n">
        <x:v>0</x:v>
      </x:c>
      <x:c r="I169" s="2" t="n">
        <x:v>21</x:v>
      </x:c>
      <x:c r="J169" s="2" t="n">
        <x:v>29</x:v>
      </x:c>
      <x:c r="K169" s="2" t="str">
        <x:v>已达到</x:v>
      </x:c>
      <x:c r="L169" s="10" t="n">
        <x:v>0.41544849816958107</x:v>
      </x:c>
      <x:c r="M169" s="10" t="n">
        <x:v>0.41012269886334735</x:v>
      </x:c>
      <x:c r="N169" s="10" t="n">
        <x:v>0.41544849816958107</x:v>
      </x:c>
      <x:c r="O169" s="2" t="n">
        <x:v>75</x:v>
      </x:c>
      <x:c r="P169" s="10" t="n">
        <x:v>1</x:v>
      </x:c>
      <x:c r="Q169" s="10" t="n">
        <x:v>1</x:v>
      </x:c>
    </x:row>
    <x:row r="170" ht="23" customHeight="1">
      <x:c r="A170" s="2" t="str">
        <x:v>Economy</x:v>
      </x:c>
      <x:c r="B170" s="2" t="n">
        <x:v>10</x:v>
      </x:c>
      <x:c r="C170" s="2" t="str">
        <x:v>Aurora</x:v>
      </x:c>
      <x:c r="D170" s="2" t="n">
        <x:v>2028</x:v>
      </x:c>
      <x:c r="E170" s="10" t="n">
        <x:v>0.31950637541484384</x:v>
      </x:c>
      <x:c r="F170" s="10" t="n">
        <x:v>0.30338611878822264</x:v>
      </x:c>
      <x:c r="G170" s="10" t="n">
        <x:v>0.31950637541484384</x:v>
      </x:c>
      <x:c r="H170" s="11" t="n">
        <x:v>0</x:v>
      </x:c>
      <x:c r="I170" s="2" t="n">
        <x:v>15</x:v>
      </x:c>
      <x:c r="J170" s="2" t="n">
        <x:v>23</x:v>
      </x:c>
      <x:c r="K170" s="2" t="str">
        <x:v>已达到</x:v>
      </x:c>
      <x:c r="L170" s="10" t="n">
        <x:v>0.41544849816958107</x:v>
      </x:c>
      <x:c r="M170" s="10" t="n">
        <x:v>0.4069018933773041</x:v>
      </x:c>
      <x:c r="N170" s="10" t="n">
        <x:v>0.41544849816958107</x:v>
      </x:c>
      <x:c r="O170" s="2" t="n">
        <x:v>75</x:v>
      </x:c>
      <x:c r="P170" s="10" t="n">
        <x:v>1</x:v>
      </x:c>
      <x:c r="Q170" s="10" t="n">
        <x:v>1</x:v>
      </x:c>
    </x:row>
    <x:row r="171" ht="23" customHeight="1">
      <x:c r="A171" s="2" t="str">
        <x:v>Economy</x:v>
      </x:c>
      <x:c r="B171" s="2" t="n">
        <x:v>12</x:v>
      </x:c>
      <x:c r="C171" s="2" t="str">
        <x:v>TaTS</x:v>
      </x:c>
      <x:c r="D171" s="2" t="n">
        <x:v>2026</x:v>
      </x:c>
      <x:c r="E171" s="10" t="n">
        <x:v>0.20261828458814246</x:v>
      </x:c>
      <x:c r="F171" s="10" t="n">
        <x:v>0.20261828458814246</x:v>
      </x:c>
      <x:c r="G171" s="10" t="n">
        <x:v>0.20261828458814246</x:v>
      </x:c>
      <x:c r="H171" s="11" t="n">
        <x:v>0</x:v>
      </x:c>
      <x:c r="I171" s="2" t="n">
        <x:v>0</x:v>
      </x:c>
      <x:c r="J171" s="2" t="n">
        <x:v>8</x:v>
      </x:c>
      <x:c r="K171" s="2" t="str">
        <x:v>已达到</x:v>
      </x:c>
      <x:c r="L171" s="10" t="n">
        <x:v>0.3596185334196918</x:v>
      </x:c>
      <x:c r="M171" s="10" t="n">
        <x:v>0.3596185334196918</x:v>
      </x:c>
      <x:c r="N171" s="10" t="n">
        <x:v>0.3596185334196918</x:v>
      </x:c>
      <x:c r="O171" s="2" t="n">
        <x:v>73</x:v>
      </x:c>
      <x:c r="P171" s="10" t="n">
        <x:v>1</x:v>
      </x:c>
      <x:c r="Q171" s="10" t="n">
        <x:v>1</x:v>
      </x:c>
    </x:row>
    <x:row r="172" ht="23" customHeight="1">
      <x:c r="A172" s="2" t="str">
        <x:v>Economy</x:v>
      </x:c>
      <x:c r="B172" s="2" t="n">
        <x:v>12</x:v>
      </x:c>
      <x:c r="C172" s="2" t="str">
        <x:v>TaTS</x:v>
      </x:c>
      <x:c r="D172" s="2" t="n">
        <x:v>2027</x:v>
      </x:c>
      <x:c r="E172" s="10" t="n">
        <x:v>0.20261828458814246</x:v>
      </x:c>
      <x:c r="F172" s="10" t="n">
        <x:v>0.20490648596005692</x:v>
      </x:c>
      <x:c r="G172" s="10" t="n">
        <x:v>0.20261828458814246</x:v>
      </x:c>
      <x:c r="H172" s="11" t="n">
        <x:v>0</x:v>
      </x:c>
      <x:c r="I172" s="2" t="n">
        <x:v>13</x:v>
      </x:c>
      <x:c r="J172" s="2" t="n">
        <x:v>21</x:v>
      </x:c>
      <x:c r="K172" s="2" t="str">
        <x:v>已达到</x:v>
      </x:c>
      <x:c r="L172" s="10" t="n">
        <x:v>0.3596185334196918</x:v>
      </x:c>
      <x:c r="M172" s="10" t="n">
        <x:v>0.36303863759454524</x:v>
      </x:c>
      <x:c r="N172" s="10" t="n">
        <x:v>0.3596185334196918</x:v>
      </x:c>
      <x:c r="O172" s="2" t="n">
        <x:v>73</x:v>
      </x:c>
      <x:c r="P172" s="10" t="n">
        <x:v>1</x:v>
      </x:c>
      <x:c r="Q172" s="10" t="n">
        <x:v>1</x:v>
      </x:c>
    </x:row>
    <x:row r="173" ht="23" customHeight="1">
      <x:c r="A173" s="2" t="str">
        <x:v>Economy</x:v>
      </x:c>
      <x:c r="B173" s="2" t="n">
        <x:v>12</x:v>
      </x:c>
      <x:c r="C173" s="2" t="str">
        <x:v>TaTS</x:v>
      </x:c>
      <x:c r="D173" s="2" t="n">
        <x:v>2028</x:v>
      </x:c>
      <x:c r="E173" s="10" t="n">
        <x:v>0.20261828458814246</x:v>
      </x:c>
      <x:c r="F173" s="10" t="n">
        <x:v>0.20135700793424138</x:v>
      </x:c>
      <x:c r="G173" s="10" t="n">
        <x:v>0.20261828458814246</x:v>
      </x:c>
      <x:c r="H173" s="11" t="n">
        <x:v>0</x:v>
      </x:c>
      <x:c r="I173" s="2" t="n">
        <x:v>10</x:v>
      </x:c>
      <x:c r="J173" s="2" t="n">
        <x:v>18</x:v>
      </x:c>
      <x:c r="K173" s="2" t="str">
        <x:v>已达到</x:v>
      </x:c>
      <x:c r="L173" s="10" t="n">
        <x:v>0.3596185334196918</x:v>
      </x:c>
      <x:c r="M173" s="10" t="n">
        <x:v>0.3598062305553863</x:v>
      </x:c>
      <x:c r="N173" s="10" t="n">
        <x:v>0.3596185334196918</x:v>
      </x:c>
      <x:c r="O173" s="2" t="n">
        <x:v>73</x:v>
      </x:c>
      <x:c r="P173" s="10" t="n">
        <x:v>1</x:v>
      </x:c>
      <x:c r="Q173" s="10" t="n">
        <x:v>1</x:v>
      </x:c>
    </x:row>
    <x:row r="174" ht="23" customHeight="1">
      <x:c r="A174" s="2" t="str">
        <x:v>Economy</x:v>
      </x:c>
      <x:c r="B174" s="2" t="n">
        <x:v>12</x:v>
      </x:c>
      <x:c r="C174" s="2" t="str">
        <x:v>MM-TSFlib</x:v>
      </x:c>
      <x:c r="D174" s="2" t="n">
        <x:v>2026</x:v>
      </x:c>
      <x:c r="E174" s="10" t="n">
        <x:v>0.9899457956350605</x:v>
      </x:c>
      <x:c r="F174" s="10" t="n">
        <x:v>0.9899457956350605</x:v>
      </x:c>
      <x:c r="G174" s="10" t="n">
        <x:v>0.9899457956350605</x:v>
      </x:c>
      <x:c r="H174" s="11" t="n">
        <x:v>0</x:v>
      </x:c>
      <x:c r="I174" s="2" t="n">
        <x:v>0</x:v>
      </x:c>
      <x:c r="J174" s="2" t="n">
        <x:v>8</x:v>
      </x:c>
      <x:c r="K174" s="2" t="str">
        <x:v>已达到</x:v>
      </x:c>
      <x:c r="L174" s="10" t="n">
        <x:v>0.8279729322551592</x:v>
      </x:c>
      <x:c r="M174" s="10" t="n">
        <x:v>0.8279729322551592</x:v>
      </x:c>
      <x:c r="N174" s="10" t="n">
        <x:v>0.8279729322551592</x:v>
      </x:c>
      <x:c r="O174" s="2" t="n">
        <x:v>73</x:v>
      </x:c>
      <x:c r="P174" s="10" t="n">
        <x:v>1</x:v>
      </x:c>
      <x:c r="Q174" s="10" t="n">
        <x:v>1</x:v>
      </x:c>
    </x:row>
    <x:row r="175" ht="23" customHeight="1">
      <x:c r="A175" s="2" t="str">
        <x:v>Economy</x:v>
      </x:c>
      <x:c r="B175" s="2" t="n">
        <x:v>12</x:v>
      </x:c>
      <x:c r="C175" s="2" t="str">
        <x:v>MM-TSFlib</x:v>
      </x:c>
      <x:c r="D175" s="2" t="n">
        <x:v>2027</x:v>
      </x:c>
      <x:c r="E175" s="10" t="n">
        <x:v>0.9899457956350605</x:v>
      </x:c>
      <x:c r="F175" s="10" t="n">
        <x:v>0.9676185502833196</x:v>
      </x:c>
      <x:c r="G175" s="10" t="n">
        <x:v>0.9676185502833196</x:v>
      </x:c>
      <x:c r="H175" s="11" t="n">
        <x:v>1</x:v>
      </x:c>
      <x:c r="I175" s="2" t="n">
        <x:v>13</x:v>
      </x:c>
      <x:c r="J175" s="2" t="n">
        <x:v>21</x:v>
      </x:c>
      <x:c r="K175" s="2" t="str">
        <x:v>已达到</x:v>
      </x:c>
      <x:c r="L175" s="10" t="n">
        <x:v>0.8279729322551592</x:v>
      </x:c>
      <x:c r="M175" s="10" t="n">
        <x:v>0.8190742382379972</x:v>
      </x:c>
      <x:c r="N175" s="10" t="n">
        <x:v>0.8190742382379972</x:v>
      </x:c>
      <x:c r="O175" s="2" t="n">
        <x:v>73</x:v>
      </x:c>
      <x:c r="P175" s="10" t="n">
        <x:v>0.9561937898014952</x:v>
      </x:c>
      <x:c r="Q175" s="10" t="n">
        <x:v>0.9692164440287865</x:v>
      </x:c>
    </x:row>
    <x:row r="176" ht="23" customHeight="1">
      <x:c r="A176" s="2" t="str">
        <x:v>Economy</x:v>
      </x:c>
      <x:c r="B176" s="2" t="n">
        <x:v>12</x:v>
      </x:c>
      <x:c r="C176" s="2" t="str">
        <x:v>MM-TSFlib</x:v>
      </x:c>
      <x:c r="D176" s="2" t="n">
        <x:v>2028</x:v>
      </x:c>
      <x:c r="E176" s="10" t="n">
        <x:v>0.9899457956350605</x:v>
      </x:c>
      <x:c r="F176" s="10" t="n">
        <x:v>0.9554216296815075</x:v>
      </x:c>
      <x:c r="G176" s="10" t="n">
        <x:v>0.9554216296815075</x:v>
      </x:c>
      <x:c r="H176" s="11" t="n">
        <x:v>1</x:v>
      </x:c>
      <x:c r="I176" s="2" t="n">
        <x:v>10</x:v>
      </x:c>
      <x:c r="J176" s="2" t="n">
        <x:v>18</x:v>
      </x:c>
      <x:c r="K176" s="2" t="str">
        <x:v>已达到</x:v>
      </x:c>
      <x:c r="L176" s="10" t="n">
        <x:v>0.8279729322551592</x:v>
      </x:c>
      <x:c r="M176" s="10" t="n">
        <x:v>0.8130442330350071</x:v>
      </x:c>
      <x:c r="N176" s="10" t="n">
        <x:v>0.8130442330350071</x:v>
      </x:c>
      <x:c r="O176" s="2" t="n">
        <x:v>73</x:v>
      </x:c>
      <x:c r="P176" s="10" t="n">
        <x:v>0.9674413796824913</x:v>
      </x:c>
      <x:c r="Q176" s="10" t="n">
        <x:v>0.9853704438015563</x:v>
      </x:c>
    </x:row>
    <x:row r="177" ht="23" customHeight="1">
      <x:c r="A177" s="2" t="str">
        <x:v>Economy</x:v>
      </x:c>
      <x:c r="B177" s="2" t="n">
        <x:v>12</x:v>
      </x:c>
      <x:c r="C177" s="2" t="str">
        <x:v>SpecTF</x:v>
      </x:c>
      <x:c r="D177" s="2" t="n">
        <x:v>2026</x:v>
      </x:c>
      <x:c r="E177" s="10" t="n">
        <x:v>0.22845241864998087</x:v>
      </x:c>
      <x:c r="F177" s="10" t="n">
        <x:v>0.22845241864998087</x:v>
      </x:c>
      <x:c r="G177" s="10" t="n">
        <x:v>0.22845241864998087</x:v>
      </x:c>
      <x:c r="H177" s="11" t="n">
        <x:v>0</x:v>
      </x:c>
      <x:c r="I177" s="2" t="n">
        <x:v>0</x:v>
      </x:c>
      <x:c r="J177" s="2" t="n">
        <x:v>8</x:v>
      </x:c>
      <x:c r="K177" s="2" t="str">
        <x:v>已达到</x:v>
      </x:c>
      <x:c r="L177" s="10" t="n">
        <x:v>0.37327661572798204</x:v>
      </x:c>
      <x:c r="M177" s="10" t="n">
        <x:v>0.37327661572798204</x:v>
      </x:c>
      <x:c r="N177" s="10" t="n">
        <x:v>0.37327661572798204</x:v>
      </x:c>
      <x:c r="O177" s="2" t="n">
        <x:v>73</x:v>
      </x:c>
      <x:c r="P177" s="10" t="n">
        <x:v>1</x:v>
      </x:c>
      <x:c r="Q177" s="10" t="n">
        <x:v>1</x:v>
      </x:c>
    </x:row>
    <x:row r="178" ht="23" customHeight="1">
      <x:c r="A178" s="2" t="str">
        <x:v>Economy</x:v>
      </x:c>
      <x:c r="B178" s="2" t="n">
        <x:v>12</x:v>
      </x:c>
      <x:c r="C178" s="2" t="str">
        <x:v>SpecTF</x:v>
      </x:c>
      <x:c r="D178" s="2" t="n">
        <x:v>2027</x:v>
      </x:c>
      <x:c r="E178" s="10" t="n">
        <x:v>0.22845241864998087</x:v>
      </x:c>
      <x:c r="F178" s="10" t="n">
        <x:v>0.23041500551085117</x:v>
      </x:c>
      <x:c r="G178" s="10" t="n">
        <x:v>0.22845241864998087</x:v>
      </x:c>
      <x:c r="H178" s="11" t="n">
        <x:v>0</x:v>
      </x:c>
      <x:c r="I178" s="2" t="n">
        <x:v>13</x:v>
      </x:c>
      <x:c r="J178" s="2" t="n">
        <x:v>21</x:v>
      </x:c>
      <x:c r="K178" s="2" t="str">
        <x:v>已达到</x:v>
      </x:c>
      <x:c r="L178" s="10" t="n">
        <x:v>0.37327661572798204</x:v>
      </x:c>
      <x:c r="M178" s="10" t="n">
        <x:v>0.37608765065670013</x:v>
      </x:c>
      <x:c r="N178" s="10" t="n">
        <x:v>0.37327661572798204</x:v>
      </x:c>
      <x:c r="O178" s="2" t="n">
        <x:v>73</x:v>
      </x:c>
      <x:c r="P178" s="10" t="n">
        <x:v>1</x:v>
      </x:c>
      <x:c r="Q178" s="10" t="n">
        <x:v>1</x:v>
      </x:c>
    </x:row>
    <x:row r="179" ht="23" customHeight="1">
      <x:c r="A179" s="2" t="str">
        <x:v>Economy</x:v>
      </x:c>
      <x:c r="B179" s="2" t="n">
        <x:v>12</x:v>
      </x:c>
      <x:c r="C179" s="2" t="str">
        <x:v>SpecTF</x:v>
      </x:c>
      <x:c r="D179" s="2" t="n">
        <x:v>2028</x:v>
      </x:c>
      <x:c r="E179" s="10" t="n">
        <x:v>0.22845241864998087</x:v>
      </x:c>
      <x:c r="F179" s="10" t="n">
        <x:v>0.22927290263985825</x:v>
      </x:c>
      <x:c r="G179" s="10" t="n">
        <x:v>0.22845241864998087</x:v>
      </x:c>
      <x:c r="H179" s="11" t="n">
        <x:v>0</x:v>
      </x:c>
      <x:c r="I179" s="2" t="n">
        <x:v>10</x:v>
      </x:c>
      <x:c r="J179" s="2" t="n">
        <x:v>18</x:v>
      </x:c>
      <x:c r="K179" s="2" t="str">
        <x:v>已达到</x:v>
      </x:c>
      <x:c r="L179" s="10" t="n">
        <x:v>0.37327661572798204</x:v>
      </x:c>
      <x:c r="M179" s="10" t="n">
        <x:v>0.374081397777823</x:v>
      </x:c>
      <x:c r="N179" s="10" t="n">
        <x:v>0.37327661572798204</x:v>
      </x:c>
      <x:c r="O179" s="2" t="n">
        <x:v>73</x:v>
      </x:c>
      <x:c r="P179" s="10" t="n">
        <x:v>1</x:v>
      </x:c>
      <x:c r="Q179" s="10" t="n">
        <x:v>1</x:v>
      </x:c>
    </x:row>
    <x:row r="180" ht="23" customHeight="1">
      <x:c r="A180" s="2" t="str">
        <x:v>Economy</x:v>
      </x:c>
      <x:c r="B180" s="2" t="n">
        <x:v>12</x:v>
      </x:c>
      <x:c r="C180" s="2" t="str">
        <x:v>CFA</x:v>
      </x:c>
      <x:c r="D180" s="2" t="n">
        <x:v>2026</x:v>
      </x:c>
      <x:c r="E180" s="10" t="n">
        <x:v>0.23668466176642305</x:v>
      </x:c>
      <x:c r="F180" s="10" t="n">
        <x:v>0.23668466176642305</x:v>
      </x:c>
      <x:c r="G180" s="10" t="n">
        <x:v>0.23668466176642305</x:v>
      </x:c>
      <x:c r="H180" s="11" t="n">
        <x:v>0</x:v>
      </x:c>
      <x:c r="I180" s="2" t="n">
        <x:v>0</x:v>
      </x:c>
      <x:c r="J180" s="2" t="n">
        <x:v>8</x:v>
      </x:c>
      <x:c r="K180" s="2" t="str">
        <x:v>已达到</x:v>
      </x:c>
      <x:c r="L180" s="10" t="n">
        <x:v>0.3859899857817175</x:v>
      </x:c>
      <x:c r="M180" s="10" t="n">
        <x:v>0.3859899857817175</x:v>
      </x:c>
      <x:c r="N180" s="10" t="n">
        <x:v>0.3859899857817175</x:v>
      </x:c>
      <x:c r="O180" s="2" t="n">
        <x:v>73</x:v>
      </x:c>
      <x:c r="P180" s="10" t="n">
        <x:v>1</x:v>
      </x:c>
      <x:c r="Q180" s="10" t="n">
        <x:v>1</x:v>
      </x:c>
    </x:row>
    <x:row r="181" ht="23" customHeight="1">
      <x:c r="A181" s="2" t="str">
        <x:v>Economy</x:v>
      </x:c>
      <x:c r="B181" s="2" t="n">
        <x:v>12</x:v>
      </x:c>
      <x:c r="C181" s="2" t="str">
        <x:v>CFA</x:v>
      </x:c>
      <x:c r="D181" s="2" t="n">
        <x:v>2027</x:v>
      </x:c>
      <x:c r="E181" s="10" t="n">
        <x:v>0.23668466176642305</x:v>
      </x:c>
      <x:c r="F181" s="10" t="n">
        <x:v>0.23496315249992233</x:v>
      </x:c>
      <x:c r="G181" s="10" t="n">
        <x:v>0.23668466176642305</x:v>
      </x:c>
      <x:c r="H181" s="11" t="n">
        <x:v>0</x:v>
      </x:c>
      <x:c r="I181" s="2" t="n">
        <x:v>13</x:v>
      </x:c>
      <x:c r="J181" s="2" t="n">
        <x:v>21</x:v>
      </x:c>
      <x:c r="K181" s="2" t="str">
        <x:v>已达到</x:v>
      </x:c>
      <x:c r="L181" s="10" t="n">
        <x:v>0.3859899857817175</x:v>
      </x:c>
      <x:c r="M181" s="10" t="n">
        <x:v>0.38447288563262383</x:v>
      </x:c>
      <x:c r="N181" s="10" t="n">
        <x:v>0.3859899857817175</x:v>
      </x:c>
      <x:c r="O181" s="2" t="n">
        <x:v>73</x:v>
      </x:c>
      <x:c r="P181" s="10" t="n">
        <x:v>1</x:v>
      </x:c>
      <x:c r="Q181" s="10" t="n">
        <x:v>1</x:v>
      </x:c>
    </x:row>
    <x:row r="182" ht="23" customHeight="1">
      <x:c r="A182" s="2" t="str">
        <x:v>Economy</x:v>
      </x:c>
      <x:c r="B182" s="2" t="n">
        <x:v>12</x:v>
      </x:c>
      <x:c r="C182" s="2" t="str">
        <x:v>CFA</x:v>
      </x:c>
      <x:c r="D182" s="2" t="n">
        <x:v>2028</x:v>
      </x:c>
      <x:c r="E182" s="10" t="n">
        <x:v>0.23668466176642305</x:v>
      </x:c>
      <x:c r="F182" s="10" t="n">
        <x:v>0.23385609620576409</x:v>
      </x:c>
      <x:c r="G182" s="10" t="n">
        <x:v>0.23668466176642305</x:v>
      </x:c>
      <x:c r="H182" s="11" t="n">
        <x:v>0</x:v>
      </x:c>
      <x:c r="I182" s="2" t="n">
        <x:v>10</x:v>
      </x:c>
      <x:c r="J182" s="2" t="n">
        <x:v>18</x:v>
      </x:c>
      <x:c r="K182" s="2" t="str">
        <x:v>已达到</x:v>
      </x:c>
      <x:c r="L182" s="10" t="n">
        <x:v>0.3859899857817175</x:v>
      </x:c>
      <x:c r="M182" s="10" t="n">
        <x:v>0.3836040570991769</x:v>
      </x:c>
      <x:c r="N182" s="10" t="n">
        <x:v>0.3859899857817175</x:v>
      </x:c>
      <x:c r="O182" s="2" t="n">
        <x:v>73</x:v>
      </x:c>
      <x:c r="P182" s="10" t="n">
        <x:v>1</x:v>
      </x:c>
      <x:c r="Q182" s="10" t="n">
        <x:v>1</x:v>
      </x:c>
    </x:row>
    <x:row r="183" ht="23" customHeight="1">
      <x:c r="A183" s="2" t="str">
        <x:v>Economy</x:v>
      </x:c>
      <x:c r="B183" s="2" t="n">
        <x:v>12</x:v>
      </x:c>
      <x:c r="C183" s="2" t="str">
        <x:v>Aurora</x:v>
      </x:c>
      <x:c r="D183" s="2" t="n">
        <x:v>2026</x:v>
      </x:c>
      <x:c r="E183" s="10" t="n">
        <x:v>0.3338778963764754</x:v>
      </x:c>
      <x:c r="F183" s="10" t="n">
        <x:v>0.3338778963764754</x:v>
      </x:c>
      <x:c r="G183" s="10" t="n">
        <x:v>0.3338778963764754</x:v>
      </x:c>
      <x:c r="H183" s="11" t="n">
        <x:v>0</x:v>
      </x:c>
      <x:c r="I183" s="2" t="n">
        <x:v>0</x:v>
      </x:c>
      <x:c r="J183" s="2" t="n">
        <x:v>8</x:v>
      </x:c>
      <x:c r="K183" s="2" t="str">
        <x:v>已达到</x:v>
      </x:c>
      <x:c r="L183" s="10" t="n">
        <x:v>0.42529069703735717</x:v>
      </x:c>
      <x:c r="M183" s="10" t="n">
        <x:v>0.42529069703735717</x:v>
      </x:c>
      <x:c r="N183" s="10" t="n">
        <x:v>0.42529069703735717</x:v>
      </x:c>
      <x:c r="O183" s="2" t="n">
        <x:v>73</x:v>
      </x:c>
      <x:c r="P183" s="10" t="n">
        <x:v>1</x:v>
      </x:c>
      <x:c r="Q183" s="10" t="n">
        <x:v>1</x:v>
      </x:c>
    </x:row>
    <x:row r="184" ht="23" customHeight="1">
      <x:c r="A184" s="2" t="str">
        <x:v>Economy</x:v>
      </x:c>
      <x:c r="B184" s="2" t="n">
        <x:v>12</x:v>
      </x:c>
      <x:c r="C184" s="2" t="str">
        <x:v>Aurora</x:v>
      </x:c>
      <x:c r="D184" s="2" t="n">
        <x:v>2027</x:v>
      </x:c>
      <x:c r="E184" s="10" t="n">
        <x:v>0.3338778963764754</x:v>
      </x:c>
      <x:c r="F184" s="10" t="n">
        <x:v>0.33234348375167083</x:v>
      </x:c>
      <x:c r="G184" s="10" t="n">
        <x:v>0.3338778963764754</x:v>
      </x:c>
      <x:c r="H184" s="11" t="n">
        <x:v>0</x:v>
      </x:c>
      <x:c r="I184" s="2" t="n">
        <x:v>13</x:v>
      </x:c>
      <x:c r="J184" s="2" t="n">
        <x:v>21</x:v>
      </x:c>
      <x:c r="K184" s="2" t="str">
        <x:v>已达到</x:v>
      </x:c>
      <x:c r="L184" s="10" t="n">
        <x:v>0.42529069703735717</x:v>
      </x:c>
      <x:c r="M184" s="10" t="n">
        <x:v>0.4270933886913404</x:v>
      </x:c>
      <x:c r="N184" s="10" t="n">
        <x:v>0.42529069703735717</x:v>
      </x:c>
      <x:c r="O184" s="2" t="n">
        <x:v>73</x:v>
      </x:c>
      <x:c r="P184" s="10" t="n">
        <x:v>1</x:v>
      </x:c>
      <x:c r="Q184" s="10" t="n">
        <x:v>1</x:v>
      </x:c>
    </x:row>
    <x:row r="185" ht="23" customHeight="1">
      <x:c r="A185" s="2" t="str">
        <x:v>Economy</x:v>
      </x:c>
      <x:c r="B185" s="2" t="n">
        <x:v>12</x:v>
      </x:c>
      <x:c r="C185" s="2" t="str">
        <x:v>Aurora</x:v>
      </x:c>
      <x:c r="D185" s="2" t="n">
        <x:v>2028</x:v>
      </x:c>
      <x:c r="E185" s="10" t="n">
        <x:v>0.3338778963764754</x:v>
      </x:c>
      <x:c r="F185" s="10" t="n">
        <x:v>0.3263976299475429</x:v>
      </x:c>
      <x:c r="G185" s="10" t="n">
        <x:v>0.3338778963764754</x:v>
      </x:c>
      <x:c r="H185" s="11" t="n">
        <x:v>0</x:v>
      </x:c>
      <x:c r="I185" s="2" t="n">
        <x:v>10</x:v>
      </x:c>
      <x:c r="J185" s="2" t="n">
        <x:v>18</x:v>
      </x:c>
      <x:c r="K185" s="2" t="str">
        <x:v>已达到</x:v>
      </x:c>
      <x:c r="L185" s="10" t="n">
        <x:v>0.42529069703735717</x:v>
      </x:c>
      <x:c r="M185" s="10" t="n">
        <x:v>0.42234553423918547</x:v>
      </x:c>
      <x:c r="N185" s="10" t="n">
        <x:v>0.42529069703735717</x:v>
      </x:c>
      <x:c r="O185" s="2" t="n">
        <x:v>73</x:v>
      </x:c>
      <x:c r="P185" s="10" t="n">
        <x:v>1</x:v>
      </x:c>
      <x:c r="Q185" s="10" t="n">
        <x:v>1</x:v>
      </x:c>
    </x:row>
    <x:row r="186" ht="23" customHeight="1">
      <x:c r="A186" s="2" t="str">
        <x:v>Energy</x:v>
      </x:c>
      <x:c r="B186" s="2" t="n">
        <x:v>12</x:v>
      </x:c>
      <x:c r="C186" s="2" t="str">
        <x:v>TaTS</x:v>
      </x:c>
      <x:c r="D186" s="2" t="n">
        <x:v>2026</x:v>
      </x:c>
      <x:c r="E186" s="10" t="n">
        <x:v>0.1838611601559035</x:v>
      </x:c>
      <x:c r="F186" s="10" t="n">
        <x:v>0.18386116015832024</x:v>
      </x:c>
      <x:c r="G186" s="10" t="n">
        <x:v>0.1838611601559035</x:v>
      </x:c>
      <x:c r="H186" s="11" t="n">
        <x:v>0</x:v>
      </x:c>
      <x:c r="I186" s="2" t="n">
        <x:v>0</x:v>
      </x:c>
      <x:c r="J186" s="2" t="n">
        <x:v>8</x:v>
      </x:c>
      <x:c r="K186" s="2" t="str">
        <x:v>已达到</x:v>
      </x:c>
      <x:c r="L186" s="10" t="n">
        <x:v>0.3366886945189952</x:v>
      </x:c>
      <x:c r="M186" s="10" t="n">
        <x:v>0.3366886945238458</x:v>
      </x:c>
      <x:c r="N186" s="10" t="n">
        <x:v>0.3366886945189952</x:v>
      </x:c>
      <x:c r="O186" s="2" t="n">
        <x:v>284</x:v>
      </x:c>
      <x:c r="P186" s="10" t="n">
        <x:v>1</x:v>
      </x:c>
      <x:c r="Q186" s="10" t="n">
        <x:v>1</x:v>
      </x:c>
    </x:row>
    <x:row r="187" ht="23" customHeight="1">
      <x:c r="A187" s="2" t="str">
        <x:v>Energy</x:v>
      </x:c>
      <x:c r="B187" s="2" t="n">
        <x:v>12</x:v>
      </x:c>
      <x:c r="C187" s="2" t="str">
        <x:v>TaTS</x:v>
      </x:c>
      <x:c r="D187" s="2" t="n">
        <x:v>2027</x:v>
      </x:c>
      <x:c r="E187" s="10" t="n">
        <x:v>0.1838611601559035</x:v>
      </x:c>
      <x:c r="F187" s="10" t="n">
        <x:v>0.18386116015832024</x:v>
      </x:c>
      <x:c r="G187" s="10" t="n">
        <x:v>0.1838611601559035</x:v>
      </x:c>
      <x:c r="H187" s="11" t="n">
        <x:v>0</x:v>
      </x:c>
      <x:c r="I187" s="2" t="n">
        <x:v>0</x:v>
      </x:c>
      <x:c r="J187" s="2" t="n">
        <x:v>8</x:v>
      </x:c>
      <x:c r="K187" s="2" t="str">
        <x:v>已达到</x:v>
      </x:c>
      <x:c r="L187" s="10" t="n">
        <x:v>0.3366886945189952</x:v>
      </x:c>
      <x:c r="M187" s="10" t="n">
        <x:v>0.3366886945238458</x:v>
      </x:c>
      <x:c r="N187" s="10" t="n">
        <x:v>0.3366886945189952</x:v>
      </x:c>
      <x:c r="O187" s="2" t="n">
        <x:v>284</x:v>
      </x:c>
      <x:c r="P187" s="10" t="n">
        <x:v>1</x:v>
      </x:c>
      <x:c r="Q187" s="10" t="n">
        <x:v>1</x:v>
      </x:c>
    </x:row>
    <x:row r="188" ht="23" customHeight="1">
      <x:c r="A188" s="2" t="str">
        <x:v>Energy</x:v>
      </x:c>
      <x:c r="B188" s="2" t="n">
        <x:v>12</x:v>
      </x:c>
      <x:c r="C188" s="2" t="str">
        <x:v>TaTS</x:v>
      </x:c>
      <x:c r="D188" s="2" t="n">
        <x:v>2028</x:v>
      </x:c>
      <x:c r="E188" s="10" t="n">
        <x:v>0.1838611601559035</x:v>
      </x:c>
      <x:c r="F188" s="10" t="n">
        <x:v>0.18386116015832024</x:v>
      </x:c>
      <x:c r="G188" s="10" t="n">
        <x:v>0.1838611601559035</x:v>
      </x:c>
      <x:c r="H188" s="11" t="n">
        <x:v>0</x:v>
      </x:c>
      <x:c r="I188" s="2" t="n">
        <x:v>0</x:v>
      </x:c>
      <x:c r="J188" s="2" t="n">
        <x:v>8</x:v>
      </x:c>
      <x:c r="K188" s="2" t="str">
        <x:v>已达到</x:v>
      </x:c>
      <x:c r="L188" s="10" t="n">
        <x:v>0.3366886945189952</x:v>
      </x:c>
      <x:c r="M188" s="10" t="n">
        <x:v>0.3366886945238458</x:v>
      </x:c>
      <x:c r="N188" s="10" t="n">
        <x:v>0.3366886945189952</x:v>
      </x:c>
      <x:c r="O188" s="2" t="n">
        <x:v>284</x:v>
      </x:c>
      <x:c r="P188" s="10" t="n">
        <x:v>1</x:v>
      </x:c>
      <x:c r="Q188" s="10" t="n">
        <x:v>1</x:v>
      </x:c>
    </x:row>
    <x:row r="189" ht="23" customHeight="1">
      <x:c r="A189" s="2" t="str">
        <x:v>Energy</x:v>
      </x:c>
      <x:c r="B189" s="2" t="n">
        <x:v>12</x:v>
      </x:c>
      <x:c r="C189" s="2" t="str">
        <x:v>MM-TSFlib</x:v>
      </x:c>
      <x:c r="D189" s="2" t="n">
        <x:v>2026</x:v>
      </x:c>
      <x:c r="E189" s="10" t="n">
        <x:v>0.1333271211084098</x:v>
      </x:c>
      <x:c r="F189" s="10" t="n">
        <x:v>0.133327121108512</x:v>
      </x:c>
      <x:c r="G189" s="10" t="n">
        <x:v>0.1333271211084098</x:v>
      </x:c>
      <x:c r="H189" s="11" t="n">
        <x:v>0</x:v>
      </x:c>
      <x:c r="I189" s="2" t="n">
        <x:v>0</x:v>
      </x:c>
      <x:c r="J189" s="2" t="n">
        <x:v>8</x:v>
      </x:c>
      <x:c r="K189" s="2" t="str">
        <x:v>已达到</x:v>
      </x:c>
      <x:c r="L189" s="10" t="n">
        <x:v>0.2584491496857998</x:v>
      </x:c>
      <x:c r="M189" s="10" t="n">
        <x:v>0.25844914968708077</x:v>
      </x:c>
      <x:c r="N189" s="10" t="n">
        <x:v>0.2584491496857998</x:v>
      </x:c>
      <x:c r="O189" s="2" t="n">
        <x:v>284</x:v>
      </x:c>
      <x:c r="P189" s="10" t="n">
        <x:v>1</x:v>
      </x:c>
      <x:c r="Q189" s="10" t="n">
        <x:v>1</x:v>
      </x:c>
    </x:row>
    <x:row r="190" ht="23" customHeight="1">
      <x:c r="A190" s="2" t="str">
        <x:v>Energy</x:v>
      </x:c>
      <x:c r="B190" s="2" t="n">
        <x:v>12</x:v>
      </x:c>
      <x:c r="C190" s="2" t="str">
        <x:v>MM-TSFlib</x:v>
      </x:c>
      <x:c r="D190" s="2" t="n">
        <x:v>2027</x:v>
      </x:c>
      <x:c r="E190" s="10" t="n">
        <x:v>0.1333271211084098</x:v>
      </x:c>
      <x:c r="F190" s="10" t="n">
        <x:v>0.133327121108512</x:v>
      </x:c>
      <x:c r="G190" s="10" t="n">
        <x:v>0.1333271211084098</x:v>
      </x:c>
      <x:c r="H190" s="11" t="n">
        <x:v>0</x:v>
      </x:c>
      <x:c r="I190" s="2" t="n">
        <x:v>0</x:v>
      </x:c>
      <x:c r="J190" s="2" t="n">
        <x:v>8</x:v>
      </x:c>
      <x:c r="K190" s="2" t="str">
        <x:v>已达到</x:v>
      </x:c>
      <x:c r="L190" s="10" t="n">
        <x:v>0.2584491496857998</x:v>
      </x:c>
      <x:c r="M190" s="10" t="n">
        <x:v>0.25844914968708077</x:v>
      </x:c>
      <x:c r="N190" s="10" t="n">
        <x:v>0.2584491496857998</x:v>
      </x:c>
      <x:c r="O190" s="2" t="n">
        <x:v>284</x:v>
      </x:c>
      <x:c r="P190" s="10" t="n">
        <x:v>1</x:v>
      </x:c>
      <x:c r="Q190" s="10" t="n">
        <x:v>1</x:v>
      </x:c>
    </x:row>
    <x:row r="191" ht="23" customHeight="1">
      <x:c r="A191" s="2" t="str">
        <x:v>Energy</x:v>
      </x:c>
      <x:c r="B191" s="2" t="n">
        <x:v>12</x:v>
      </x:c>
      <x:c r="C191" s="2" t="str">
        <x:v>MM-TSFlib</x:v>
      </x:c>
      <x:c r="D191" s="2" t="n">
        <x:v>2028</x:v>
      </x:c>
      <x:c r="E191" s="10" t="n">
        <x:v>0.1333271211084098</x:v>
      </x:c>
      <x:c r="F191" s="10" t="n">
        <x:v>0.133327121108512</x:v>
      </x:c>
      <x:c r="G191" s="10" t="n">
        <x:v>0.1333271211084098</x:v>
      </x:c>
      <x:c r="H191" s="11" t="n">
        <x:v>0</x:v>
      </x:c>
      <x:c r="I191" s="2" t="n">
        <x:v>0</x:v>
      </x:c>
      <x:c r="J191" s="2" t="n">
        <x:v>8</x:v>
      </x:c>
      <x:c r="K191" s="2" t="str">
        <x:v>已达到</x:v>
      </x:c>
      <x:c r="L191" s="10" t="n">
        <x:v>0.2584491496857998</x:v>
      </x:c>
      <x:c r="M191" s="10" t="n">
        <x:v>0.25844914968708077</x:v>
      </x:c>
      <x:c r="N191" s="10" t="n">
        <x:v>0.2584491496857998</x:v>
      </x:c>
      <x:c r="O191" s="2" t="n">
        <x:v>284</x:v>
      </x:c>
      <x:c r="P191" s="10" t="n">
        <x:v>1</x:v>
      </x:c>
      <x:c r="Q191" s="10" t="n">
        <x:v>1</x:v>
      </x:c>
    </x:row>
    <x:row r="192" ht="23" customHeight="1">
      <x:c r="A192" s="2" t="str">
        <x:v>Energy</x:v>
      </x:c>
      <x:c r="B192" s="2" t="n">
        <x:v>12</x:v>
      </x:c>
      <x:c r="C192" s="2" t="str">
        <x:v>SpecTF</x:v>
      </x:c>
      <x:c r="D192" s="2" t="n">
        <x:v>2026</x:v>
      </x:c>
      <x:c r="E192" s="10" t="n">
        <x:v>0.09577729990129709</x:v>
      </x:c>
      <x:c r="F192" s="10" t="n">
        <x:v>0.09577729990122111</x:v>
      </x:c>
      <x:c r="G192" s="10" t="n">
        <x:v>0.09577729990129709</x:v>
      </x:c>
      <x:c r="H192" s="11" t="n">
        <x:v>0</x:v>
      </x:c>
      <x:c r="I192" s="2" t="n">
        <x:v>0</x:v>
      </x:c>
      <x:c r="J192" s="2" t="n">
        <x:v>8</x:v>
      </x:c>
      <x:c r="K192" s="2" t="str">
        <x:v>已达到</x:v>
      </x:c>
      <x:c r="L192" s="10" t="n">
        <x:v>0.21743078956868556</x:v>
      </x:c>
      <x:c r="M192" s="10" t="n">
        <x:v>0.2174307895695481</x:v>
      </x:c>
      <x:c r="N192" s="10" t="n">
        <x:v>0.21743078956868556</x:v>
      </x:c>
      <x:c r="O192" s="2" t="n">
        <x:v>284</x:v>
      </x:c>
      <x:c r="P192" s="10" t="n">
        <x:v>1</x:v>
      </x:c>
      <x:c r="Q192" s="10" t="n">
        <x:v>1</x:v>
      </x:c>
    </x:row>
    <x:row r="193" ht="23" customHeight="1">
      <x:c r="A193" s="2" t="str">
        <x:v>Energy</x:v>
      </x:c>
      <x:c r="B193" s="2" t="n">
        <x:v>12</x:v>
      </x:c>
      <x:c r="C193" s="2" t="str">
        <x:v>SpecTF</x:v>
      </x:c>
      <x:c r="D193" s="2" t="n">
        <x:v>2027</x:v>
      </x:c>
      <x:c r="E193" s="10" t="n">
        <x:v>0.09577729990129709</x:v>
      </x:c>
      <x:c r="F193" s="10" t="n">
        <x:v>0.09577729990122111</x:v>
      </x:c>
      <x:c r="G193" s="10" t="n">
        <x:v>0.09577729990129709</x:v>
      </x:c>
      <x:c r="H193" s="11" t="n">
        <x:v>0</x:v>
      </x:c>
      <x:c r="I193" s="2" t="n">
        <x:v>0</x:v>
      </x:c>
      <x:c r="J193" s="2" t="n">
        <x:v>8</x:v>
      </x:c>
      <x:c r="K193" s="2" t="str">
        <x:v>已达到</x:v>
      </x:c>
      <x:c r="L193" s="10" t="n">
        <x:v>0.21743078956868556</x:v>
      </x:c>
      <x:c r="M193" s="10" t="n">
        <x:v>0.2174307895695481</x:v>
      </x:c>
      <x:c r="N193" s="10" t="n">
        <x:v>0.21743078956868556</x:v>
      </x:c>
      <x:c r="O193" s="2" t="n">
        <x:v>284</x:v>
      </x:c>
      <x:c r="P193" s="10" t="n">
        <x:v>1</x:v>
      </x:c>
      <x:c r="Q193" s="10" t="n">
        <x:v>1</x:v>
      </x:c>
    </x:row>
    <x:row r="194" ht="23" customHeight="1">
      <x:c r="A194" s="2" t="str">
        <x:v>Energy</x:v>
      </x:c>
      <x:c r="B194" s="2" t="n">
        <x:v>12</x:v>
      </x:c>
      <x:c r="C194" s="2" t="str">
        <x:v>SpecTF</x:v>
      </x:c>
      <x:c r="D194" s="2" t="n">
        <x:v>2028</x:v>
      </x:c>
      <x:c r="E194" s="10" t="n">
        <x:v>0.09577729990129709</x:v>
      </x:c>
      <x:c r="F194" s="10" t="n">
        <x:v>0.09577729990122111</x:v>
      </x:c>
      <x:c r="G194" s="10" t="n">
        <x:v>0.09577729990129709</x:v>
      </x:c>
      <x:c r="H194" s="11" t="n">
        <x:v>0</x:v>
      </x:c>
      <x:c r="I194" s="2" t="n">
        <x:v>0</x:v>
      </x:c>
      <x:c r="J194" s="2" t="n">
        <x:v>8</x:v>
      </x:c>
      <x:c r="K194" s="2" t="str">
        <x:v>已达到</x:v>
      </x:c>
      <x:c r="L194" s="10" t="n">
        <x:v>0.21743078956868556</x:v>
      </x:c>
      <x:c r="M194" s="10" t="n">
        <x:v>0.2174307895695481</x:v>
      </x:c>
      <x:c r="N194" s="10" t="n">
        <x:v>0.21743078956868556</x:v>
      </x:c>
      <x:c r="O194" s="2" t="n">
        <x:v>284</x:v>
      </x:c>
      <x:c r="P194" s="10" t="n">
        <x:v>1</x:v>
      </x:c>
      <x:c r="Q194" s="10" t="n">
        <x:v>1</x:v>
      </x:c>
    </x:row>
    <x:row r="195" ht="23" customHeight="1">
      <x:c r="A195" s="2" t="str">
        <x:v>Energy</x:v>
      </x:c>
      <x:c r="B195" s="2" t="n">
        <x:v>12</x:v>
      </x:c>
      <x:c r="C195" s="2" t="str">
        <x:v>CFA</x:v>
      </x:c>
      <x:c r="D195" s="2" t="n">
        <x:v>2026</x:v>
      </x:c>
      <x:c r="E195" s="10" t="n">
        <x:v>0.10983223824033</x:v>
      </x:c>
      <x:c r="F195" s="10" t="n">
        <x:v>0.1098322382403487</x:v>
      </x:c>
      <x:c r="G195" s="10" t="n">
        <x:v>0.10983223824033</x:v>
      </x:c>
      <x:c r="H195" s="11" t="n">
        <x:v>0</x:v>
      </x:c>
      <x:c r="I195" s="2" t="n">
        <x:v>0</x:v>
      </x:c>
      <x:c r="J195" s="2" t="n">
        <x:v>8</x:v>
      </x:c>
      <x:c r="K195" s="2" t="str">
        <x:v>已达到</x:v>
      </x:c>
      <x:c r="L195" s="10" t="n">
        <x:v>0.23965344102473868</x:v>
      </x:c>
      <x:c r="M195" s="10" t="n">
        <x:v>0.23965344102297947</x:v>
      </x:c>
      <x:c r="N195" s="10" t="n">
        <x:v>0.23965344102473868</x:v>
      </x:c>
      <x:c r="O195" s="2" t="n">
        <x:v>284</x:v>
      </x:c>
      <x:c r="P195" s="10" t="n">
        <x:v>1</x:v>
      </x:c>
      <x:c r="Q195" s="10" t="n">
        <x:v>1</x:v>
      </x:c>
    </x:row>
    <x:row r="196" ht="23" customHeight="1">
      <x:c r="A196" s="2" t="str">
        <x:v>Energy</x:v>
      </x:c>
      <x:c r="B196" s="2" t="n">
        <x:v>12</x:v>
      </x:c>
      <x:c r="C196" s="2" t="str">
        <x:v>CFA</x:v>
      </x:c>
      <x:c r="D196" s="2" t="n">
        <x:v>2027</x:v>
      </x:c>
      <x:c r="E196" s="10" t="n">
        <x:v>0.10983223824033</x:v>
      </x:c>
      <x:c r="F196" s="10" t="n">
        <x:v>0.1098322382403487</x:v>
      </x:c>
      <x:c r="G196" s="10" t="n">
        <x:v>0.10983223824033</x:v>
      </x:c>
      <x:c r="H196" s="11" t="n">
        <x:v>0</x:v>
      </x:c>
      <x:c r="I196" s="2" t="n">
        <x:v>0</x:v>
      </x:c>
      <x:c r="J196" s="2" t="n">
        <x:v>8</x:v>
      </x:c>
      <x:c r="K196" s="2" t="str">
        <x:v>已达到</x:v>
      </x:c>
      <x:c r="L196" s="10" t="n">
        <x:v>0.23965344102473868</x:v>
      </x:c>
      <x:c r="M196" s="10" t="n">
        <x:v>0.23965344102297947</x:v>
      </x:c>
      <x:c r="N196" s="10" t="n">
        <x:v>0.23965344102473868</x:v>
      </x:c>
      <x:c r="O196" s="2" t="n">
        <x:v>284</x:v>
      </x:c>
      <x:c r="P196" s="10" t="n">
        <x:v>1</x:v>
      </x:c>
      <x:c r="Q196" s="10" t="n">
        <x:v>1</x:v>
      </x:c>
    </x:row>
    <x:row r="197" ht="23" customHeight="1">
      <x:c r="A197" s="2" t="str">
        <x:v>Energy</x:v>
      </x:c>
      <x:c r="B197" s="2" t="n">
        <x:v>12</x:v>
      </x:c>
      <x:c r="C197" s="2" t="str">
        <x:v>CFA</x:v>
      </x:c>
      <x:c r="D197" s="2" t="n">
        <x:v>2028</x:v>
      </x:c>
      <x:c r="E197" s="10" t="n">
        <x:v>0.10983223824033</x:v>
      </x:c>
      <x:c r="F197" s="10" t="n">
        <x:v>0.1098322382403487</x:v>
      </x:c>
      <x:c r="G197" s="10" t="n">
        <x:v>0.10983223824033</x:v>
      </x:c>
      <x:c r="H197" s="11" t="n">
        <x:v>0</x:v>
      </x:c>
      <x:c r="I197" s="2" t="n">
        <x:v>0</x:v>
      </x:c>
      <x:c r="J197" s="2" t="n">
        <x:v>8</x:v>
      </x:c>
      <x:c r="K197" s="2" t="str">
        <x:v>已达到</x:v>
      </x:c>
      <x:c r="L197" s="10" t="n">
        <x:v>0.23965344102473868</x:v>
      </x:c>
      <x:c r="M197" s="10" t="n">
        <x:v>0.23965344102297947</x:v>
      </x:c>
      <x:c r="N197" s="10" t="n">
        <x:v>0.23965344102473868</x:v>
      </x:c>
      <x:c r="O197" s="2" t="n">
        <x:v>284</x:v>
      </x:c>
      <x:c r="P197" s="10" t="n">
        <x:v>1</x:v>
      </x:c>
      <x:c r="Q197" s="10" t="n">
        <x:v>1</x:v>
      </x:c>
    </x:row>
    <x:row r="198" ht="23" customHeight="1">
      <x:c r="A198" s="2" t="str">
        <x:v>Energy</x:v>
      </x:c>
      <x:c r="B198" s="2" t="n">
        <x:v>12</x:v>
      </x:c>
      <x:c r="C198" s="2" t="str">
        <x:v>Aurora</x:v>
      </x:c>
      <x:c r="D198" s="2" t="n">
        <x:v>2026</x:v>
      </x:c>
      <x:c r="E198" s="10" t="n">
        <x:v>0.2606396293829479</x:v>
      </x:c>
      <x:c r="F198" s="10" t="n">
        <x:v>0.26063962938075463</x:v>
      </x:c>
      <x:c r="G198" s="10" t="n">
        <x:v>0.2606396293829479</x:v>
      </x:c>
      <x:c r="H198" s="11" t="n">
        <x:v>0</x:v>
      </x:c>
      <x:c r="I198" s="2" t="n">
        <x:v>0</x:v>
      </x:c>
      <x:c r="J198" s="2" t="n">
        <x:v>8</x:v>
      </x:c>
      <x:c r="K198" s="2" t="str">
        <x:v>已达到</x:v>
      </x:c>
      <x:c r="L198" s="10" t="n">
        <x:v>0.39671037994479935</x:v>
      </x:c>
      <x:c r="M198" s="10" t="n">
        <x:v>0.3967103799506577</x:v>
      </x:c>
      <x:c r="N198" s="10" t="n">
        <x:v>0.39671037994479935</x:v>
      </x:c>
      <x:c r="O198" s="2" t="n">
        <x:v>284</x:v>
      </x:c>
      <x:c r="P198" s="10" t="n">
        <x:v>1</x:v>
      </x:c>
      <x:c r="Q198" s="10" t="n">
        <x:v>1</x:v>
      </x:c>
    </x:row>
    <x:row r="199" ht="23" customHeight="1">
      <x:c r="A199" s="2" t="str">
        <x:v>Energy</x:v>
      </x:c>
      <x:c r="B199" s="2" t="n">
        <x:v>12</x:v>
      </x:c>
      <x:c r="C199" s="2" t="str">
        <x:v>Aurora</x:v>
      </x:c>
      <x:c r="D199" s="2" t="n">
        <x:v>2027</x:v>
      </x:c>
      <x:c r="E199" s="10" t="n">
        <x:v>0.2606396293829479</x:v>
      </x:c>
      <x:c r="F199" s="10" t="n">
        <x:v>0.26063962938075463</x:v>
      </x:c>
      <x:c r="G199" s="10" t="n">
        <x:v>0.2606396293829479</x:v>
      </x:c>
      <x:c r="H199" s="11" t="n">
        <x:v>0</x:v>
      </x:c>
      <x:c r="I199" s="2" t="n">
        <x:v>0</x:v>
      </x:c>
      <x:c r="J199" s="2" t="n">
        <x:v>8</x:v>
      </x:c>
      <x:c r="K199" s="2" t="str">
        <x:v>已达到</x:v>
      </x:c>
      <x:c r="L199" s="10" t="n">
        <x:v>0.39671037994479935</x:v>
      </x:c>
      <x:c r="M199" s="10" t="n">
        <x:v>0.3967103799506577</x:v>
      </x:c>
      <x:c r="N199" s="10" t="n">
        <x:v>0.39671037994479935</x:v>
      </x:c>
      <x:c r="O199" s="2" t="n">
        <x:v>284</x:v>
      </x:c>
      <x:c r="P199" s="10" t="n">
        <x:v>1</x:v>
      </x:c>
      <x:c r="Q199" s="10" t="n">
        <x:v>1</x:v>
      </x:c>
    </x:row>
    <x:row r="200" ht="23" customHeight="1">
      <x:c r="A200" s="2" t="str">
        <x:v>Energy</x:v>
      </x:c>
      <x:c r="B200" s="2" t="n">
        <x:v>12</x:v>
      </x:c>
      <x:c r="C200" s="2" t="str">
        <x:v>Aurora</x:v>
      </x:c>
      <x:c r="D200" s="2" t="n">
        <x:v>2028</x:v>
      </x:c>
      <x:c r="E200" s="10" t="n">
        <x:v>0.2606396293829479</x:v>
      </x:c>
      <x:c r="F200" s="10" t="n">
        <x:v>0.26063962938075463</x:v>
      </x:c>
      <x:c r="G200" s="10" t="n">
        <x:v>0.2606396293829479</x:v>
      </x:c>
      <x:c r="H200" s="11" t="n">
        <x:v>0</x:v>
      </x:c>
      <x:c r="I200" s="2" t="n">
        <x:v>0</x:v>
      </x:c>
      <x:c r="J200" s="2" t="n">
        <x:v>8</x:v>
      </x:c>
      <x:c r="K200" s="2" t="str">
        <x:v>已达到</x:v>
      </x:c>
      <x:c r="L200" s="10" t="n">
        <x:v>0.39671037994479935</x:v>
      </x:c>
      <x:c r="M200" s="10" t="n">
        <x:v>0.3967103799506577</x:v>
      </x:c>
      <x:c r="N200" s="10" t="n">
        <x:v>0.39671037994479935</x:v>
      </x:c>
      <x:c r="O200" s="2" t="n">
        <x:v>284</x:v>
      </x:c>
      <x:c r="P200" s="10" t="n">
        <x:v>1</x:v>
      </x:c>
      <x:c r="Q200" s="10" t="n">
        <x:v>1</x:v>
      </x:c>
    </x:row>
    <x:row r="201" ht="23" customHeight="1">
      <x:c r="A201" s="2" t="str">
        <x:v>Energy</x:v>
      </x:c>
      <x:c r="B201" s="2" t="n">
        <x:v>24</x:v>
      </x:c>
      <x:c r="C201" s="2" t="str">
        <x:v>TaTS</x:v>
      </x:c>
      <x:c r="D201" s="2" t="n">
        <x:v>2026</x:v>
      </x:c>
      <x:c r="E201" s="10" t="n">
        <x:v>0.2679513517190791</x:v>
      </x:c>
      <x:c r="F201" s="10" t="n">
        <x:v>0.2679513517185551</x:v>
      </x:c>
      <x:c r="G201" s="10" t="n">
        <x:v>0.2679513517190791</x:v>
      </x:c>
      <x:c r="H201" s="11" t="n">
        <x:v>0</x:v>
      </x:c>
      <x:c r="I201" s="2" t="n">
        <x:v>0</x:v>
      </x:c>
      <x:c r="J201" s="2" t="n">
        <x:v>8</x:v>
      </x:c>
      <x:c r="K201" s="2" t="str">
        <x:v>已达到</x:v>
      </x:c>
      <x:c r="L201" s="10" t="n">
        <x:v>0.3922856409649374</x:v>
      </x:c>
      <x:c r="M201" s="10" t="n">
        <x:v>0.3922856409636088</x:v>
      </x:c>
      <x:c r="N201" s="10" t="n">
        <x:v>0.3922856409649374</x:v>
      </x:c>
      <x:c r="O201" s="2" t="n">
        <x:v>272</x:v>
      </x:c>
      <x:c r="P201" s="10" t="n">
        <x:v>1</x:v>
      </x:c>
      <x:c r="Q201" s="10" t="n">
        <x:v>1</x:v>
      </x:c>
    </x:row>
    <x:row r="202" ht="23" customHeight="1">
      <x:c r="A202" s="2" t="str">
        <x:v>Energy</x:v>
      </x:c>
      <x:c r="B202" s="2" t="n">
        <x:v>24</x:v>
      </x:c>
      <x:c r="C202" s="2" t="str">
        <x:v>TaTS</x:v>
      </x:c>
      <x:c r="D202" s="2" t="n">
        <x:v>2027</x:v>
      </x:c>
      <x:c r="E202" s="10" t="n">
        <x:v>0.2679513517190791</x:v>
      </x:c>
      <x:c r="F202" s="10" t="n">
        <x:v>0.2679513517185551</x:v>
      </x:c>
      <x:c r="G202" s="10" t="n">
        <x:v>0.2679513517190791</x:v>
      </x:c>
      <x:c r="H202" s="11" t="n">
        <x:v>0</x:v>
      </x:c>
      <x:c r="I202" s="2" t="n">
        <x:v>0</x:v>
      </x:c>
      <x:c r="J202" s="2" t="n">
        <x:v>8</x:v>
      </x:c>
      <x:c r="K202" s="2" t="str">
        <x:v>已达到</x:v>
      </x:c>
      <x:c r="L202" s="10" t="n">
        <x:v>0.3922856409649374</x:v>
      </x:c>
      <x:c r="M202" s="10" t="n">
        <x:v>0.3922856409636088</x:v>
      </x:c>
      <x:c r="N202" s="10" t="n">
        <x:v>0.3922856409649374</x:v>
      </x:c>
      <x:c r="O202" s="2" t="n">
        <x:v>272</x:v>
      </x:c>
      <x:c r="P202" s="10" t="n">
        <x:v>1</x:v>
      </x:c>
      <x:c r="Q202" s="10" t="n">
        <x:v>1</x:v>
      </x:c>
    </x:row>
    <x:row r="203" ht="23" customHeight="1">
      <x:c r="A203" s="2" t="str">
        <x:v>Energy</x:v>
      </x:c>
      <x:c r="B203" s="2" t="n">
        <x:v>24</x:v>
      </x:c>
      <x:c r="C203" s="2" t="str">
        <x:v>TaTS</x:v>
      </x:c>
      <x:c r="D203" s="2" t="n">
        <x:v>2028</x:v>
      </x:c>
      <x:c r="E203" s="10" t="n">
        <x:v>0.2679513517190791</x:v>
      </x:c>
      <x:c r="F203" s="10" t="n">
        <x:v>0.2679513517185551</x:v>
      </x:c>
      <x:c r="G203" s="10" t="n">
        <x:v>0.2679513517190791</x:v>
      </x:c>
      <x:c r="H203" s="11" t="n">
        <x:v>0</x:v>
      </x:c>
      <x:c r="I203" s="2" t="n">
        <x:v>0</x:v>
      </x:c>
      <x:c r="J203" s="2" t="n">
        <x:v>8</x:v>
      </x:c>
      <x:c r="K203" s="2" t="str">
        <x:v>已达到</x:v>
      </x:c>
      <x:c r="L203" s="10" t="n">
        <x:v>0.3922856409649374</x:v>
      </x:c>
      <x:c r="M203" s="10" t="n">
        <x:v>0.3922856409636088</x:v>
      </x:c>
      <x:c r="N203" s="10" t="n">
        <x:v>0.3922856409649374</x:v>
      </x:c>
      <x:c r="O203" s="2" t="n">
        <x:v>272</x:v>
      </x:c>
      <x:c r="P203" s="10" t="n">
        <x:v>1</x:v>
      </x:c>
      <x:c r="Q203" s="10" t="n">
        <x:v>1</x:v>
      </x:c>
    </x:row>
    <x:row r="204" ht="23" customHeight="1">
      <x:c r="A204" s="2" t="str">
        <x:v>Energy</x:v>
      </x:c>
      <x:c r="B204" s="2" t="n">
        <x:v>24</x:v>
      </x:c>
      <x:c r="C204" s="2" t="str">
        <x:v>MM-TSFlib</x:v>
      </x:c>
      <x:c r="D204" s="2" t="n">
        <x:v>2026</x:v>
      </x:c>
      <x:c r="E204" s="10" t="n">
        <x:v>0.19196059548900862</x:v>
      </x:c>
      <x:c r="F204" s="10" t="n">
        <x:v>0.19196059548914934</x:v>
      </x:c>
      <x:c r="G204" s="10" t="n">
        <x:v>0.19196059548900862</x:v>
      </x:c>
      <x:c r="H204" s="11" t="n">
        <x:v>0</x:v>
      </x:c>
      <x:c r="I204" s="2" t="n">
        <x:v>0</x:v>
      </x:c>
      <x:c r="J204" s="2" t="n">
        <x:v>8</x:v>
      </x:c>
      <x:c r="K204" s="2" t="str">
        <x:v>已达到</x:v>
      </x:c>
      <x:c r="L204" s="10" t="n">
        <x:v>0.32605822162112613</x:v>
      </x:c>
      <x:c r="M204" s="10" t="n">
        <x:v>0.3260582216220178</x:v>
      </x:c>
      <x:c r="N204" s="10" t="n">
        <x:v>0.32605822162112613</x:v>
      </x:c>
      <x:c r="O204" s="2" t="n">
        <x:v>272</x:v>
      </x:c>
      <x:c r="P204" s="10" t="n">
        <x:v>1</x:v>
      </x:c>
      <x:c r="Q204" s="10" t="n">
        <x:v>1</x:v>
      </x:c>
    </x:row>
    <x:row r="205" ht="23" customHeight="1">
      <x:c r="A205" s="2" t="str">
        <x:v>Energy</x:v>
      </x:c>
      <x:c r="B205" s="2" t="n">
        <x:v>24</x:v>
      </x:c>
      <x:c r="C205" s="2" t="str">
        <x:v>MM-TSFlib</x:v>
      </x:c>
      <x:c r="D205" s="2" t="n">
        <x:v>2027</x:v>
      </x:c>
      <x:c r="E205" s="10" t="n">
        <x:v>0.19196059548900862</x:v>
      </x:c>
      <x:c r="F205" s="10" t="n">
        <x:v>0.19196059548914934</x:v>
      </x:c>
      <x:c r="G205" s="10" t="n">
        <x:v>0.19196059548900862</x:v>
      </x:c>
      <x:c r="H205" s="11" t="n">
        <x:v>0</x:v>
      </x:c>
      <x:c r="I205" s="2" t="n">
        <x:v>0</x:v>
      </x:c>
      <x:c r="J205" s="2" t="n">
        <x:v>8</x:v>
      </x:c>
      <x:c r="K205" s="2" t="str">
        <x:v>已达到</x:v>
      </x:c>
      <x:c r="L205" s="10" t="n">
        <x:v>0.32605822162112613</x:v>
      </x:c>
      <x:c r="M205" s="10" t="n">
        <x:v>0.3260582216220178</x:v>
      </x:c>
      <x:c r="N205" s="10" t="n">
        <x:v>0.32605822162112613</x:v>
      </x:c>
      <x:c r="O205" s="2" t="n">
        <x:v>272</x:v>
      </x:c>
      <x:c r="P205" s="10" t="n">
        <x:v>1</x:v>
      </x:c>
      <x:c r="Q205" s="10" t="n">
        <x:v>1</x:v>
      </x:c>
    </x:row>
    <x:row r="206" ht="23" customHeight="1">
      <x:c r="A206" s="2" t="str">
        <x:v>Energy</x:v>
      </x:c>
      <x:c r="B206" s="2" t="n">
        <x:v>24</x:v>
      </x:c>
      <x:c r="C206" s="2" t="str">
        <x:v>MM-TSFlib</x:v>
      </x:c>
      <x:c r="D206" s="2" t="n">
        <x:v>2028</x:v>
      </x:c>
      <x:c r="E206" s="10" t="n">
        <x:v>0.19196059548900862</x:v>
      </x:c>
      <x:c r="F206" s="10" t="n">
        <x:v>0.19196059548914934</x:v>
      </x:c>
      <x:c r="G206" s="10" t="n">
        <x:v>0.19196059548900862</x:v>
      </x:c>
      <x:c r="H206" s="11" t="n">
        <x:v>0</x:v>
      </x:c>
      <x:c r="I206" s="2" t="n">
        <x:v>0</x:v>
      </x:c>
      <x:c r="J206" s="2" t="n">
        <x:v>8</x:v>
      </x:c>
      <x:c r="K206" s="2" t="str">
        <x:v>已达到</x:v>
      </x:c>
      <x:c r="L206" s="10" t="n">
        <x:v>0.32605822162112613</x:v>
      </x:c>
      <x:c r="M206" s="10" t="n">
        <x:v>0.3260582216220178</x:v>
      </x:c>
      <x:c r="N206" s="10" t="n">
        <x:v>0.32605822162112613</x:v>
      </x:c>
      <x:c r="O206" s="2" t="n">
        <x:v>272</x:v>
      </x:c>
      <x:c r="P206" s="10" t="n">
        <x:v>1</x:v>
      </x:c>
      <x:c r="Q206" s="10" t="n">
        <x:v>1</x:v>
      </x:c>
    </x:row>
    <x:row r="207" ht="23" customHeight="1">
      <x:c r="A207" s="2" t="str">
        <x:v>Energy</x:v>
      </x:c>
      <x:c r="B207" s="2" t="n">
        <x:v>24</x:v>
      </x:c>
      <x:c r="C207" s="2" t="str">
        <x:v>SpecTF</x:v>
      </x:c>
      <x:c r="D207" s="2" t="n">
        <x:v>2026</x:v>
      </x:c>
      <x:c r="E207" s="10" t="n">
        <x:v>0.2114401345279641</x:v>
      </x:c>
      <x:c r="F207" s="10" t="n">
        <x:v>0.21144013452867805</x:v>
      </x:c>
      <x:c r="G207" s="10" t="n">
        <x:v>0.2114401345279641</x:v>
      </x:c>
      <x:c r="H207" s="11" t="n">
        <x:v>0</x:v>
      </x:c>
      <x:c r="I207" s="2" t="n">
        <x:v>0</x:v>
      </x:c>
      <x:c r="J207" s="2" t="n">
        <x:v>8</x:v>
      </x:c>
      <x:c r="K207" s="2" t="str">
        <x:v>已达到</x:v>
      </x:c>
      <x:c r="L207" s="10" t="n">
        <x:v>0.3374395836808171</x:v>
      </x:c>
      <x:c r="M207" s="10" t="n">
        <x:v>0.33743958368126126</x:v>
      </x:c>
      <x:c r="N207" s="10" t="n">
        <x:v>0.3374395836808171</x:v>
      </x:c>
      <x:c r="O207" s="2" t="n">
        <x:v>272</x:v>
      </x:c>
      <x:c r="P207" s="10" t="n">
        <x:v>1</x:v>
      </x:c>
      <x:c r="Q207" s="10" t="n">
        <x:v>1</x:v>
      </x:c>
    </x:row>
    <x:row r="208" ht="23" customHeight="1">
      <x:c r="A208" s="2" t="str">
        <x:v>Energy</x:v>
      </x:c>
      <x:c r="B208" s="2" t="n">
        <x:v>24</x:v>
      </x:c>
      <x:c r="C208" s="2" t="str">
        <x:v>SpecTF</x:v>
      </x:c>
      <x:c r="D208" s="2" t="n">
        <x:v>2027</x:v>
      </x:c>
      <x:c r="E208" s="10" t="n">
        <x:v>0.2114401345279641</x:v>
      </x:c>
      <x:c r="F208" s="10" t="n">
        <x:v>0.21144013452867805</x:v>
      </x:c>
      <x:c r="G208" s="10" t="n">
        <x:v>0.2114401345279641</x:v>
      </x:c>
      <x:c r="H208" s="11" t="n">
        <x:v>0</x:v>
      </x:c>
      <x:c r="I208" s="2" t="n">
        <x:v>0</x:v>
      </x:c>
      <x:c r="J208" s="2" t="n">
        <x:v>8</x:v>
      </x:c>
      <x:c r="K208" s="2" t="str">
        <x:v>已达到</x:v>
      </x:c>
      <x:c r="L208" s="10" t="n">
        <x:v>0.3374395836808171</x:v>
      </x:c>
      <x:c r="M208" s="10" t="n">
        <x:v>0.33743958368126126</x:v>
      </x:c>
      <x:c r="N208" s="10" t="n">
        <x:v>0.3374395836808171</x:v>
      </x:c>
      <x:c r="O208" s="2" t="n">
        <x:v>272</x:v>
      </x:c>
      <x:c r="P208" s="10" t="n">
        <x:v>1</x:v>
      </x:c>
      <x:c r="Q208" s="10" t="n">
        <x:v>1</x:v>
      </x:c>
    </x:row>
    <x:row r="209" ht="23" customHeight="1">
      <x:c r="A209" s="2" t="str">
        <x:v>Energy</x:v>
      </x:c>
      <x:c r="B209" s="2" t="n">
        <x:v>24</x:v>
      </x:c>
      <x:c r="C209" s="2" t="str">
        <x:v>SpecTF</x:v>
      </x:c>
      <x:c r="D209" s="2" t="n">
        <x:v>2028</x:v>
      </x:c>
      <x:c r="E209" s="10" t="n">
        <x:v>0.2114401345279641</x:v>
      </x:c>
      <x:c r="F209" s="10" t="n">
        <x:v>0.21144013452867805</x:v>
      </x:c>
      <x:c r="G209" s="10" t="n">
        <x:v>0.2114401345279641</x:v>
      </x:c>
      <x:c r="H209" s="11" t="n">
        <x:v>0</x:v>
      </x:c>
      <x:c r="I209" s="2" t="n">
        <x:v>0</x:v>
      </x:c>
      <x:c r="J209" s="2" t="n">
        <x:v>8</x:v>
      </x:c>
      <x:c r="K209" s="2" t="str">
        <x:v>已达到</x:v>
      </x:c>
      <x:c r="L209" s="10" t="n">
        <x:v>0.3374395836808171</x:v>
      </x:c>
      <x:c r="M209" s="10" t="n">
        <x:v>0.33743958368126126</x:v>
      </x:c>
      <x:c r="N209" s="10" t="n">
        <x:v>0.3374395836808171</x:v>
      </x:c>
      <x:c r="O209" s="2" t="n">
        <x:v>272</x:v>
      </x:c>
      <x:c r="P209" s="10" t="n">
        <x:v>1</x:v>
      </x:c>
      <x:c r="Q209" s="10" t="n">
        <x:v>1</x:v>
      </x:c>
    </x:row>
    <x:row r="210" ht="23" customHeight="1">
      <x:c r="A210" s="2" t="str">
        <x:v>Energy</x:v>
      </x:c>
      <x:c r="B210" s="2" t="n">
        <x:v>24</x:v>
      </x:c>
      <x:c r="C210" s="2" t="str">
        <x:v>CFA</x:v>
      </x:c>
      <x:c r="D210" s="2" t="n">
        <x:v>2026</x:v>
      </x:c>
      <x:c r="E210" s="10" t="n">
        <x:v>0.22252381884649639</x:v>
      </x:c>
      <x:c r="F210" s="10" t="n">
        <x:v>0.22252381884686795</x:v>
      </x:c>
      <x:c r="G210" s="10" t="n">
        <x:v>0.22252381884649639</x:v>
      </x:c>
      <x:c r="H210" s="11" t="n">
        <x:v>0</x:v>
      </x:c>
      <x:c r="I210" s="2" t="n">
        <x:v>0</x:v>
      </x:c>
      <x:c r="J210" s="2" t="n">
        <x:v>8</x:v>
      </x:c>
      <x:c r="K210" s="2" t="str">
        <x:v>已达到</x:v>
      </x:c>
      <x:c r="L210" s="10" t="n">
        <x:v>0.3491063232834801</x:v>
      </x:c>
      <x:c r="M210" s="10" t="n">
        <x:v>0.34910632328315605</x:v>
      </x:c>
      <x:c r="N210" s="10" t="n">
        <x:v>0.3491063232834801</x:v>
      </x:c>
      <x:c r="O210" s="2" t="n">
        <x:v>272</x:v>
      </x:c>
      <x:c r="P210" s="10" t="n">
        <x:v>1</x:v>
      </x:c>
      <x:c r="Q210" s="10" t="n">
        <x:v>1</x:v>
      </x:c>
    </x:row>
    <x:row r="211" ht="23" customHeight="1">
      <x:c r="A211" s="2" t="str">
        <x:v>Energy</x:v>
      </x:c>
      <x:c r="B211" s="2" t="n">
        <x:v>24</x:v>
      </x:c>
      <x:c r="C211" s="2" t="str">
        <x:v>CFA</x:v>
      </x:c>
      <x:c r="D211" s="2" t="n">
        <x:v>2027</x:v>
      </x:c>
      <x:c r="E211" s="10" t="n">
        <x:v>0.22252381884649639</x:v>
      </x:c>
      <x:c r="F211" s="10" t="n">
        <x:v>0.22252381884686795</x:v>
      </x:c>
      <x:c r="G211" s="10" t="n">
        <x:v>0.22252381884649639</x:v>
      </x:c>
      <x:c r="H211" s="11" t="n">
        <x:v>0</x:v>
      </x:c>
      <x:c r="I211" s="2" t="n">
        <x:v>0</x:v>
      </x:c>
      <x:c r="J211" s="2" t="n">
        <x:v>8</x:v>
      </x:c>
      <x:c r="K211" s="2" t="str">
        <x:v>已达到</x:v>
      </x:c>
      <x:c r="L211" s="10" t="n">
        <x:v>0.3491063232834801</x:v>
      </x:c>
      <x:c r="M211" s="10" t="n">
        <x:v>0.34910632328315605</x:v>
      </x:c>
      <x:c r="N211" s="10" t="n">
        <x:v>0.3491063232834801</x:v>
      </x:c>
      <x:c r="O211" s="2" t="n">
        <x:v>272</x:v>
      </x:c>
      <x:c r="P211" s="10" t="n">
        <x:v>1</x:v>
      </x:c>
      <x:c r="Q211" s="10" t="n">
        <x:v>1</x:v>
      </x:c>
    </x:row>
    <x:row r="212" ht="23" customHeight="1">
      <x:c r="A212" s="2" t="str">
        <x:v>Energy</x:v>
      </x:c>
      <x:c r="B212" s="2" t="n">
        <x:v>24</x:v>
      </x:c>
      <x:c r="C212" s="2" t="str">
        <x:v>CFA</x:v>
      </x:c>
      <x:c r="D212" s="2" t="n">
        <x:v>2028</x:v>
      </x:c>
      <x:c r="E212" s="10" t="n">
        <x:v>0.22252381884649639</x:v>
      </x:c>
      <x:c r="F212" s="10" t="n">
        <x:v>0.22252381884686795</x:v>
      </x:c>
      <x:c r="G212" s="10" t="n">
        <x:v>0.22252381884649639</x:v>
      </x:c>
      <x:c r="H212" s="11" t="n">
        <x:v>0</x:v>
      </x:c>
      <x:c r="I212" s="2" t="n">
        <x:v>0</x:v>
      </x:c>
      <x:c r="J212" s="2" t="n">
        <x:v>8</x:v>
      </x:c>
      <x:c r="K212" s="2" t="str">
        <x:v>已达到</x:v>
      </x:c>
      <x:c r="L212" s="10" t="n">
        <x:v>0.3491063232834801</x:v>
      </x:c>
      <x:c r="M212" s="10" t="n">
        <x:v>0.34910632328315605</x:v>
      </x:c>
      <x:c r="N212" s="10" t="n">
        <x:v>0.3491063232834801</x:v>
      </x:c>
      <x:c r="O212" s="2" t="n">
        <x:v>272</x:v>
      </x:c>
      <x:c r="P212" s="10" t="n">
        <x:v>1</x:v>
      </x:c>
      <x:c r="Q212" s="10" t="n">
        <x:v>1</x:v>
      </x:c>
    </x:row>
    <x:row r="213" ht="23" customHeight="1">
      <x:c r="A213" s="2" t="str">
        <x:v>Energy</x:v>
      </x:c>
      <x:c r="B213" s="2" t="n">
        <x:v>24</x:v>
      </x:c>
      <x:c r="C213" s="2" t="str">
        <x:v>Aurora</x:v>
      </x:c>
      <x:c r="D213" s="2" t="n">
        <x:v>2026</x:v>
      </x:c>
      <x:c r="E213" s="10" t="n">
        <x:v>0.3169472024030514</x:v>
      </x:c>
      <x:c r="F213" s="10" t="n">
        <x:v>0.31694720240362473</x:v>
      </x:c>
      <x:c r="G213" s="10" t="n">
        <x:v>0.3169472024030514</x:v>
      </x:c>
      <x:c r="H213" s="11" t="n">
        <x:v>0</x:v>
      </x:c>
      <x:c r="I213" s="2" t="n">
        <x:v>0</x:v>
      </x:c>
      <x:c r="J213" s="2" t="n">
        <x:v>8</x:v>
      </x:c>
      <x:c r="K213" s="2" t="str">
        <x:v>已达到</x:v>
      </x:c>
      <x:c r="L213" s="10" t="n">
        <x:v>0.4405978372586386</x:v>
      </x:c>
      <x:c r="M213" s="10" t="n">
        <x:v>0.440597837256026</x:v>
      </x:c>
      <x:c r="N213" s="10" t="n">
        <x:v>0.4405978372586386</x:v>
      </x:c>
      <x:c r="O213" s="2" t="n">
        <x:v>272</x:v>
      </x:c>
      <x:c r="P213" s="10" t="n">
        <x:v>1</x:v>
      </x:c>
      <x:c r="Q213" s="10" t="n">
        <x:v>1</x:v>
      </x:c>
    </x:row>
    <x:row r="214" ht="23" customHeight="1">
      <x:c r="A214" s="2" t="str">
        <x:v>Energy</x:v>
      </x:c>
      <x:c r="B214" s="2" t="n">
        <x:v>24</x:v>
      </x:c>
      <x:c r="C214" s="2" t="str">
        <x:v>Aurora</x:v>
      </x:c>
      <x:c r="D214" s="2" t="n">
        <x:v>2027</x:v>
      </x:c>
      <x:c r="E214" s="10" t="n">
        <x:v>0.3169472024030514</x:v>
      </x:c>
      <x:c r="F214" s="10" t="n">
        <x:v>0.31694720240362473</x:v>
      </x:c>
      <x:c r="G214" s="10" t="n">
        <x:v>0.3169472024030514</x:v>
      </x:c>
      <x:c r="H214" s="11" t="n">
        <x:v>0</x:v>
      </x:c>
      <x:c r="I214" s="2" t="n">
        <x:v>0</x:v>
      </x:c>
      <x:c r="J214" s="2" t="n">
        <x:v>8</x:v>
      </x:c>
      <x:c r="K214" s="2" t="str">
        <x:v>已达到</x:v>
      </x:c>
      <x:c r="L214" s="10" t="n">
        <x:v>0.4405978372586386</x:v>
      </x:c>
      <x:c r="M214" s="10" t="n">
        <x:v>0.440597837256026</x:v>
      </x:c>
      <x:c r="N214" s="10" t="n">
        <x:v>0.4405978372586386</x:v>
      </x:c>
      <x:c r="O214" s="2" t="n">
        <x:v>272</x:v>
      </x:c>
      <x:c r="P214" s="10" t="n">
        <x:v>1</x:v>
      </x:c>
      <x:c r="Q214" s="10" t="n">
        <x:v>1</x:v>
      </x:c>
    </x:row>
    <x:row r="215" ht="23" customHeight="1">
      <x:c r="A215" s="2" t="str">
        <x:v>Energy</x:v>
      </x:c>
      <x:c r="B215" s="2" t="n">
        <x:v>24</x:v>
      </x:c>
      <x:c r="C215" s="2" t="str">
        <x:v>Aurora</x:v>
      </x:c>
      <x:c r="D215" s="2" t="n">
        <x:v>2028</x:v>
      </x:c>
      <x:c r="E215" s="10" t="n">
        <x:v>0.3169472024030514</x:v>
      </x:c>
      <x:c r="F215" s="10" t="n">
        <x:v>0.31694720240362473</x:v>
      </x:c>
      <x:c r="G215" s="10" t="n">
        <x:v>0.3169472024030514</x:v>
      </x:c>
      <x:c r="H215" s="11" t="n">
        <x:v>0</x:v>
      </x:c>
      <x:c r="I215" s="2" t="n">
        <x:v>0</x:v>
      </x:c>
      <x:c r="J215" s="2" t="n">
        <x:v>8</x:v>
      </x:c>
      <x:c r="K215" s="2" t="str">
        <x:v>已达到</x:v>
      </x:c>
      <x:c r="L215" s="10" t="n">
        <x:v>0.4405978372586386</x:v>
      </x:c>
      <x:c r="M215" s="10" t="n">
        <x:v>0.440597837256026</x:v>
      </x:c>
      <x:c r="N215" s="10" t="n">
        <x:v>0.4405978372586386</x:v>
      </x:c>
      <x:c r="O215" s="2" t="n">
        <x:v>272</x:v>
      </x:c>
      <x:c r="P215" s="10" t="n">
        <x:v>1</x:v>
      </x:c>
      <x:c r="Q215" s="10" t="n">
        <x:v>1</x:v>
      </x:c>
    </x:row>
    <x:row r="216" ht="23" customHeight="1">
      <x:c r="A216" s="2" t="str">
        <x:v>Energy</x:v>
      </x:c>
      <x:c r="B216" s="2" t="n">
        <x:v>36</x:v>
      </x:c>
      <x:c r="C216" s="2" t="str">
        <x:v>TaTS</x:v>
      </x:c>
      <x:c r="D216" s="2" t="n">
        <x:v>2026</x:v>
      </x:c>
      <x:c r="E216" s="10" t="n">
        <x:v>0.3669344975156553</x:v>
      </x:c>
      <x:c r="F216" s="10" t="n">
        <x:v>0.36693449751548673</x:v>
      </x:c>
      <x:c r="G216" s="10" t="n">
        <x:v>0.3669344975156553</x:v>
      </x:c>
      <x:c r="H216" s="11" t="n">
        <x:v>0</x:v>
      </x:c>
      <x:c r="I216" s="2" t="n">
        <x:v>0</x:v>
      </x:c>
      <x:c r="J216" s="2" t="n">
        <x:v>8</x:v>
      </x:c>
      <x:c r="K216" s="2" t="str">
        <x:v>已达到</x:v>
      </x:c>
      <x:c r="L216" s="10" t="n">
        <x:v>0.4573445645811705</x:v>
      </x:c>
      <x:c r="M216" s="10" t="n">
        <x:v>0.45734456458094663</x:v>
      </x:c>
      <x:c r="N216" s="10" t="n">
        <x:v>0.4573445645811705</x:v>
      </x:c>
      <x:c r="O216" s="2" t="n">
        <x:v>260</x:v>
      </x:c>
      <x:c r="P216" s="10" t="n">
        <x:v>1</x:v>
      </x:c>
      <x:c r="Q216" s="10" t="n">
        <x:v>1</x:v>
      </x:c>
    </x:row>
    <x:row r="217" ht="23" customHeight="1">
      <x:c r="A217" s="2" t="str">
        <x:v>Energy</x:v>
      </x:c>
      <x:c r="B217" s="2" t="n">
        <x:v>36</x:v>
      </x:c>
      <x:c r="C217" s="2" t="str">
        <x:v>TaTS</x:v>
      </x:c>
      <x:c r="D217" s="2" t="n">
        <x:v>2027</x:v>
      </x:c>
      <x:c r="E217" s="10" t="n">
        <x:v>0.3669344975156553</x:v>
      </x:c>
      <x:c r="F217" s="10" t="n">
        <x:v>0.36693449751548673</x:v>
      </x:c>
      <x:c r="G217" s="10" t="n">
        <x:v>0.3669344975156553</x:v>
      </x:c>
      <x:c r="H217" s="11" t="n">
        <x:v>0</x:v>
      </x:c>
      <x:c r="I217" s="2" t="n">
        <x:v>0</x:v>
      </x:c>
      <x:c r="J217" s="2" t="n">
        <x:v>8</x:v>
      </x:c>
      <x:c r="K217" s="2" t="str">
        <x:v>已达到</x:v>
      </x:c>
      <x:c r="L217" s="10" t="n">
        <x:v>0.4573445645811705</x:v>
      </x:c>
      <x:c r="M217" s="10" t="n">
        <x:v>0.45734456458094663</x:v>
      </x:c>
      <x:c r="N217" s="10" t="n">
        <x:v>0.4573445645811705</x:v>
      </x:c>
      <x:c r="O217" s="2" t="n">
        <x:v>260</x:v>
      </x:c>
      <x:c r="P217" s="10" t="n">
        <x:v>1</x:v>
      </x:c>
      <x:c r="Q217" s="10" t="n">
        <x:v>1</x:v>
      </x:c>
    </x:row>
    <x:row r="218" ht="23" customHeight="1">
      <x:c r="A218" s="2" t="str">
        <x:v>Energy</x:v>
      </x:c>
      <x:c r="B218" s="2" t="n">
        <x:v>36</x:v>
      </x:c>
      <x:c r="C218" s="2" t="str">
        <x:v>TaTS</x:v>
      </x:c>
      <x:c r="D218" s="2" t="n">
        <x:v>2028</x:v>
      </x:c>
      <x:c r="E218" s="10" t="n">
        <x:v>0.3669344975156553</x:v>
      </x:c>
      <x:c r="F218" s="10" t="n">
        <x:v>0.36693449751548673</x:v>
      </x:c>
      <x:c r="G218" s="10" t="n">
        <x:v>0.3669344975156553</x:v>
      </x:c>
      <x:c r="H218" s="11" t="n">
        <x:v>0</x:v>
      </x:c>
      <x:c r="I218" s="2" t="n">
        <x:v>0</x:v>
      </x:c>
      <x:c r="J218" s="2" t="n">
        <x:v>8</x:v>
      </x:c>
      <x:c r="K218" s="2" t="str">
        <x:v>已达到</x:v>
      </x:c>
      <x:c r="L218" s="10" t="n">
        <x:v>0.4573445645811705</x:v>
      </x:c>
      <x:c r="M218" s="10" t="n">
        <x:v>0.45734456458094663</x:v>
      </x:c>
      <x:c r="N218" s="10" t="n">
        <x:v>0.4573445645811705</x:v>
      </x:c>
      <x:c r="O218" s="2" t="n">
        <x:v>260</x:v>
      </x:c>
      <x:c r="P218" s="10" t="n">
        <x:v>1</x:v>
      </x:c>
      <x:c r="Q218" s="10" t="n">
        <x:v>1</x:v>
      </x:c>
    </x:row>
    <x:row r="219" ht="23" customHeight="1">
      <x:c r="A219" s="2" t="str">
        <x:v>Energy</x:v>
      </x:c>
      <x:c r="B219" s="2" t="n">
        <x:v>36</x:v>
      </x:c>
      <x:c r="C219" s="2" t="str">
        <x:v>MM-TSFlib</x:v>
      </x:c>
      <x:c r="D219" s="2" t="n">
        <x:v>2026</x:v>
      </x:c>
      <x:c r="E219" s="10" t="n">
        <x:v>0.33496724056529875</x:v>
      </x:c>
      <x:c r="F219" s="10" t="n">
        <x:v>0.3349672405660706</x:v>
      </x:c>
      <x:c r="G219" s="10" t="n">
        <x:v>0.3349672405660706</x:v>
      </x:c>
      <x:c r="H219" s="11" t="n">
        <x:v>1</x:v>
      </x:c>
      <x:c r="I219" s="2" t="n">
        <x:v>0</x:v>
      </x:c>
      <x:c r="J219" s="2" t="n">
        <x:v>8</x:v>
      </x:c>
      <x:c r="K219" s="2" t="str">
        <x:v>已达到</x:v>
      </x:c>
      <x:c r="L219" s="10" t="n">
        <x:v>0.44573690237898556</x:v>
      </x:c>
      <x:c r="M219" s="10" t="n">
        <x:v>0.44573690237907887</x:v>
      </x:c>
      <x:c r="N219" s="10" t="n">
        <x:v>0.44573690237907887</x:v>
      </x:c>
      <x:c r="O219" s="2" t="n">
        <x:v>260</x:v>
      </x:c>
      <x:c r="P219" s="10" t="n">
        <x:v>0.9999999999771444</x:v>
      </x:c>
      <x:c r="Q219" s="10" t="n">
        <x:v>0.9999999999937338</x:v>
      </x:c>
    </x:row>
    <x:row r="220" ht="23" customHeight="1">
      <x:c r="A220" s="2" t="str">
        <x:v>Energy</x:v>
      </x:c>
      <x:c r="B220" s="2" t="n">
        <x:v>36</x:v>
      </x:c>
      <x:c r="C220" s="2" t="str">
        <x:v>MM-TSFlib</x:v>
      </x:c>
      <x:c r="D220" s="2" t="n">
        <x:v>2027</x:v>
      </x:c>
      <x:c r="E220" s="10" t="n">
        <x:v>0.33496724056529875</x:v>
      </x:c>
      <x:c r="F220" s="10" t="n">
        <x:v>0.3349672405660706</x:v>
      </x:c>
      <x:c r="G220" s="10" t="n">
        <x:v>0.3349672405660706</x:v>
      </x:c>
      <x:c r="H220" s="11" t="n">
        <x:v>1</x:v>
      </x:c>
      <x:c r="I220" s="2" t="n">
        <x:v>0</x:v>
      </x:c>
      <x:c r="J220" s="2" t="n">
        <x:v>8</x:v>
      </x:c>
      <x:c r="K220" s="2" t="str">
        <x:v>已达到</x:v>
      </x:c>
      <x:c r="L220" s="10" t="n">
        <x:v>0.44573690237898556</x:v>
      </x:c>
      <x:c r="M220" s="10" t="n">
        <x:v>0.44573690237907887</x:v>
      </x:c>
      <x:c r="N220" s="10" t="n">
        <x:v>0.44573690237907887</x:v>
      </x:c>
      <x:c r="O220" s="2" t="n">
        <x:v>260</x:v>
      </x:c>
      <x:c r="P220" s="10" t="n">
        <x:v>0.9999999999771444</x:v>
      </x:c>
      <x:c r="Q220" s="10" t="n">
        <x:v>0.9999999999937338</x:v>
      </x:c>
    </x:row>
    <x:row r="221" ht="23" customHeight="1">
      <x:c r="A221" s="2" t="str">
        <x:v>Energy</x:v>
      </x:c>
      <x:c r="B221" s="2" t="n">
        <x:v>36</x:v>
      </x:c>
      <x:c r="C221" s="2" t="str">
        <x:v>MM-TSFlib</x:v>
      </x:c>
      <x:c r="D221" s="2" t="n">
        <x:v>2028</x:v>
      </x:c>
      <x:c r="E221" s="10" t="n">
        <x:v>0.33496724056529875</x:v>
      </x:c>
      <x:c r="F221" s="10" t="n">
        <x:v>0.3349672405660706</x:v>
      </x:c>
      <x:c r="G221" s="10" t="n">
        <x:v>0.3349672405660706</x:v>
      </x:c>
      <x:c r="H221" s="11" t="n">
        <x:v>1</x:v>
      </x:c>
      <x:c r="I221" s="2" t="n">
        <x:v>0</x:v>
      </x:c>
      <x:c r="J221" s="2" t="n">
        <x:v>8</x:v>
      </x:c>
      <x:c r="K221" s="2" t="str">
        <x:v>已达到</x:v>
      </x:c>
      <x:c r="L221" s="10" t="n">
        <x:v>0.44573690237898556</x:v>
      </x:c>
      <x:c r="M221" s="10" t="n">
        <x:v>0.44573690237907887</x:v>
      </x:c>
      <x:c r="N221" s="10" t="n">
        <x:v>0.44573690237907887</x:v>
      </x:c>
      <x:c r="O221" s="2" t="n">
        <x:v>260</x:v>
      </x:c>
      <x:c r="P221" s="10" t="n">
        <x:v>0.9999999999771444</x:v>
      </x:c>
      <x:c r="Q221" s="10" t="n">
        <x:v>0.9999999999937338</x:v>
      </x:c>
    </x:row>
    <x:row r="222" ht="23" customHeight="1">
      <x:c r="A222" s="2" t="str">
        <x:v>Energy</x:v>
      </x:c>
      <x:c r="B222" s="2" t="n">
        <x:v>36</x:v>
      </x:c>
      <x:c r="C222" s="2" t="str">
        <x:v>SpecTF</x:v>
      </x:c>
      <x:c r="D222" s="2" t="n">
        <x:v>2026</x:v>
      </x:c>
      <x:c r="E222" s="10" t="n">
        <x:v>0.30615976416374785</x:v>
      </x:c>
      <x:c r="F222" s="10" t="n">
        <x:v>0.3061597641606593</x:v>
      </x:c>
      <x:c r="G222" s="10" t="n">
        <x:v>0.30615976416374785</x:v>
      </x:c>
      <x:c r="H222" s="11" t="n">
        <x:v>0</x:v>
      </x:c>
      <x:c r="I222" s="2" t="n">
        <x:v>0</x:v>
      </x:c>
      <x:c r="J222" s="2" t="n">
        <x:v>8</x:v>
      </x:c>
      <x:c r="K222" s="2" t="str">
        <x:v>已达到</x:v>
      </x:c>
      <x:c r="L222" s="10" t="n">
        <x:v>0.40837087819876555</x:v>
      </x:c>
      <x:c r="M222" s="10" t="n">
        <x:v>0.4083708781948617</x:v>
      </x:c>
      <x:c r="N222" s="10" t="n">
        <x:v>0.40837087819876555</x:v>
      </x:c>
      <x:c r="O222" s="2" t="n">
        <x:v>260</x:v>
      </x:c>
      <x:c r="P222" s="10" t="n">
        <x:v>1</x:v>
      </x:c>
      <x:c r="Q222" s="10" t="n">
        <x:v>1</x:v>
      </x:c>
    </x:row>
    <x:row r="223" ht="23" customHeight="1">
      <x:c r="A223" s="2" t="str">
        <x:v>Energy</x:v>
      </x:c>
      <x:c r="B223" s="2" t="n">
        <x:v>36</x:v>
      </x:c>
      <x:c r="C223" s="2" t="str">
        <x:v>SpecTF</x:v>
      </x:c>
      <x:c r="D223" s="2" t="n">
        <x:v>2027</x:v>
      </x:c>
      <x:c r="E223" s="10" t="n">
        <x:v>0.30615976416374785</x:v>
      </x:c>
      <x:c r="F223" s="10" t="n">
        <x:v>0.3061597641606593</x:v>
      </x:c>
      <x:c r="G223" s="10" t="n">
        <x:v>0.30615976416374785</x:v>
      </x:c>
      <x:c r="H223" s="11" t="n">
        <x:v>0</x:v>
      </x:c>
      <x:c r="I223" s="2" t="n">
        <x:v>0</x:v>
      </x:c>
      <x:c r="J223" s="2" t="n">
        <x:v>8</x:v>
      </x:c>
      <x:c r="K223" s="2" t="str">
        <x:v>已达到</x:v>
      </x:c>
      <x:c r="L223" s="10" t="n">
        <x:v>0.40837087819876555</x:v>
      </x:c>
      <x:c r="M223" s="10" t="n">
        <x:v>0.4083708781948617</x:v>
      </x:c>
      <x:c r="N223" s="10" t="n">
        <x:v>0.40837087819876555</x:v>
      </x:c>
      <x:c r="O223" s="2" t="n">
        <x:v>260</x:v>
      </x:c>
      <x:c r="P223" s="10" t="n">
        <x:v>1</x:v>
      </x:c>
      <x:c r="Q223" s="10" t="n">
        <x:v>1</x:v>
      </x:c>
    </x:row>
    <x:row r="224" ht="23" customHeight="1">
      <x:c r="A224" s="2" t="str">
        <x:v>Energy</x:v>
      </x:c>
      <x:c r="B224" s="2" t="n">
        <x:v>36</x:v>
      </x:c>
      <x:c r="C224" s="2" t="str">
        <x:v>SpecTF</x:v>
      </x:c>
      <x:c r="D224" s="2" t="n">
        <x:v>2028</x:v>
      </x:c>
      <x:c r="E224" s="10" t="n">
        <x:v>0.30615976416374785</x:v>
      </x:c>
      <x:c r="F224" s="10" t="n">
        <x:v>0.3061597641606593</x:v>
      </x:c>
      <x:c r="G224" s="10" t="n">
        <x:v>0.30615976416374785</x:v>
      </x:c>
      <x:c r="H224" s="11" t="n">
        <x:v>0</x:v>
      </x:c>
      <x:c r="I224" s="2" t="n">
        <x:v>0</x:v>
      </x:c>
      <x:c r="J224" s="2" t="n">
        <x:v>8</x:v>
      </x:c>
      <x:c r="K224" s="2" t="str">
        <x:v>已达到</x:v>
      </x:c>
      <x:c r="L224" s="10" t="n">
        <x:v>0.40837087819876555</x:v>
      </x:c>
      <x:c r="M224" s="10" t="n">
        <x:v>0.4083708781948617</x:v>
      </x:c>
      <x:c r="N224" s="10" t="n">
        <x:v>0.40837087819876555</x:v>
      </x:c>
      <x:c r="O224" s="2" t="n">
        <x:v>260</x:v>
      </x:c>
      <x:c r="P224" s="10" t="n">
        <x:v>1</x:v>
      </x:c>
      <x:c r="Q224" s="10" t="n">
        <x:v>1</x:v>
      </x:c>
    </x:row>
    <x:row r="225" ht="23" customHeight="1">
      <x:c r="A225" s="2" t="str">
        <x:v>Energy</x:v>
      </x:c>
      <x:c r="B225" s="2" t="n">
        <x:v>36</x:v>
      </x:c>
      <x:c r="C225" s="2" t="str">
        <x:v>CFA</x:v>
      </x:c>
      <x:c r="D225" s="2" t="n">
        <x:v>2026</x:v>
      </x:c>
      <x:c r="E225" s="10" t="n">
        <x:v>0.3763866597826456</x:v>
      </x:c>
      <x:c r="F225" s="10" t="n">
        <x:v>0.3763866597796802</x:v>
      </x:c>
      <x:c r="G225" s="10" t="n">
        <x:v>0.3763866597826456</x:v>
      </x:c>
      <x:c r="H225" s="11" t="n">
        <x:v>0</x:v>
      </x:c>
      <x:c r="I225" s="2" t="n">
        <x:v>0</x:v>
      </x:c>
      <x:c r="J225" s="2" t="n">
        <x:v>8</x:v>
      </x:c>
      <x:c r="K225" s="2" t="str">
        <x:v>已达到</x:v>
      </x:c>
      <x:c r="L225" s="10" t="n">
        <x:v>0.45662996356005375</x:v>
      </x:c>
      <x:c r="M225" s="10" t="n">
        <x:v>0.45662996355849905</x:v>
      </x:c>
      <x:c r="N225" s="10" t="n">
        <x:v>0.45662996356005375</x:v>
      </x:c>
      <x:c r="O225" s="2" t="n">
        <x:v>260</x:v>
      </x:c>
      <x:c r="P225" s="10" t="n">
        <x:v>1</x:v>
      </x:c>
      <x:c r="Q225" s="10" t="n">
        <x:v>1</x:v>
      </x:c>
    </x:row>
    <x:row r="226" ht="23" customHeight="1">
      <x:c r="A226" s="2" t="str">
        <x:v>Energy</x:v>
      </x:c>
      <x:c r="B226" s="2" t="n">
        <x:v>36</x:v>
      </x:c>
      <x:c r="C226" s="2" t="str">
        <x:v>CFA</x:v>
      </x:c>
      <x:c r="D226" s="2" t="n">
        <x:v>2027</x:v>
      </x:c>
      <x:c r="E226" s="10" t="n">
        <x:v>0.3763866597826456</x:v>
      </x:c>
      <x:c r="F226" s="10" t="n">
        <x:v>0.3763866597796802</x:v>
      </x:c>
      <x:c r="G226" s="10" t="n">
        <x:v>0.3763866597826456</x:v>
      </x:c>
      <x:c r="H226" s="11" t="n">
        <x:v>0</x:v>
      </x:c>
      <x:c r="I226" s="2" t="n">
        <x:v>0</x:v>
      </x:c>
      <x:c r="J226" s="2" t="n">
        <x:v>8</x:v>
      </x:c>
      <x:c r="K226" s="2" t="str">
        <x:v>已达到</x:v>
      </x:c>
      <x:c r="L226" s="10" t="n">
        <x:v>0.45662996356005375</x:v>
      </x:c>
      <x:c r="M226" s="10" t="n">
        <x:v>0.45662996355849905</x:v>
      </x:c>
      <x:c r="N226" s="10" t="n">
        <x:v>0.45662996356005375</x:v>
      </x:c>
      <x:c r="O226" s="2" t="n">
        <x:v>260</x:v>
      </x:c>
      <x:c r="P226" s="10" t="n">
        <x:v>1</x:v>
      </x:c>
      <x:c r="Q226" s="10" t="n">
        <x:v>1</x:v>
      </x:c>
    </x:row>
    <x:row r="227" ht="23" customHeight="1">
      <x:c r="A227" s="2" t="str">
        <x:v>Energy</x:v>
      </x:c>
      <x:c r="B227" s="2" t="n">
        <x:v>36</x:v>
      </x:c>
      <x:c r="C227" s="2" t="str">
        <x:v>CFA</x:v>
      </x:c>
      <x:c r="D227" s="2" t="n">
        <x:v>2028</x:v>
      </x:c>
      <x:c r="E227" s="10" t="n">
        <x:v>0.3763866597826456</x:v>
      </x:c>
      <x:c r="F227" s="10" t="n">
        <x:v>0.3763866597796802</x:v>
      </x:c>
      <x:c r="G227" s="10" t="n">
        <x:v>0.3763866597826456</x:v>
      </x:c>
      <x:c r="H227" s="11" t="n">
        <x:v>0</x:v>
      </x:c>
      <x:c r="I227" s="2" t="n">
        <x:v>0</x:v>
      </x:c>
      <x:c r="J227" s="2" t="n">
        <x:v>8</x:v>
      </x:c>
      <x:c r="K227" s="2" t="str">
        <x:v>已达到</x:v>
      </x:c>
      <x:c r="L227" s="10" t="n">
        <x:v>0.45662996356005375</x:v>
      </x:c>
      <x:c r="M227" s="10" t="n">
        <x:v>0.45662996355849905</x:v>
      </x:c>
      <x:c r="N227" s="10" t="n">
        <x:v>0.45662996356005375</x:v>
      </x:c>
      <x:c r="O227" s="2" t="n">
        <x:v>260</x:v>
      </x:c>
      <x:c r="P227" s="10" t="n">
        <x:v>1</x:v>
      </x:c>
      <x:c r="Q227" s="10" t="n">
        <x:v>1</x:v>
      </x:c>
    </x:row>
    <x:row r="228" ht="23" customHeight="1">
      <x:c r="A228" s="2" t="str">
        <x:v>Energy</x:v>
      </x:c>
      <x:c r="B228" s="2" t="n">
        <x:v>36</x:v>
      </x:c>
      <x:c r="C228" s="2" t="str">
        <x:v>Aurora</x:v>
      </x:c>
      <x:c r="D228" s="2" t="n">
        <x:v>2026</x:v>
      </x:c>
      <x:c r="E228" s="10" t="n">
        <x:v>0.3960474992539366</x:v>
      </x:c>
      <x:c r="F228" s="10" t="n">
        <x:v>0.3960474992530494</x:v>
      </x:c>
      <x:c r="G228" s="10" t="n">
        <x:v>0.3960474992539366</x:v>
      </x:c>
      <x:c r="H228" s="11" t="n">
        <x:v>0</x:v>
      </x:c>
      <x:c r="I228" s="2" t="n">
        <x:v>0</x:v>
      </x:c>
      <x:c r="J228" s="2" t="n">
        <x:v>8</x:v>
      </x:c>
      <x:c r="K228" s="2" t="str">
        <x:v>已达到</x:v>
      </x:c>
      <x:c r="L228" s="10" t="n">
        <x:v>0.4908856648867456</x:v>
      </x:c>
      <x:c r="M228" s="10" t="n">
        <x:v>0.49088566488760527</x:v>
      </x:c>
      <x:c r="N228" s="10" t="n">
        <x:v>0.4908856648867456</x:v>
      </x:c>
      <x:c r="O228" s="2" t="n">
        <x:v>260</x:v>
      </x:c>
      <x:c r="P228" s="10" t="n">
        <x:v>1</x:v>
      </x:c>
      <x:c r="Q228" s="10" t="n">
        <x:v>1</x:v>
      </x:c>
    </x:row>
    <x:row r="229" ht="23" customHeight="1">
      <x:c r="A229" s="2" t="str">
        <x:v>Energy</x:v>
      </x:c>
      <x:c r="B229" s="2" t="n">
        <x:v>36</x:v>
      </x:c>
      <x:c r="C229" s="2" t="str">
        <x:v>Aurora</x:v>
      </x:c>
      <x:c r="D229" s="2" t="n">
        <x:v>2027</x:v>
      </x:c>
      <x:c r="E229" s="10" t="n">
        <x:v>0.3960474992539366</x:v>
      </x:c>
      <x:c r="F229" s="10" t="n">
        <x:v>0.3960474992530494</x:v>
      </x:c>
      <x:c r="G229" s="10" t="n">
        <x:v>0.3960474992539366</x:v>
      </x:c>
      <x:c r="H229" s="11" t="n">
        <x:v>0</x:v>
      </x:c>
      <x:c r="I229" s="2" t="n">
        <x:v>0</x:v>
      </x:c>
      <x:c r="J229" s="2" t="n">
        <x:v>8</x:v>
      </x:c>
      <x:c r="K229" s="2" t="str">
        <x:v>已达到</x:v>
      </x:c>
      <x:c r="L229" s="10" t="n">
        <x:v>0.4908856648867456</x:v>
      </x:c>
      <x:c r="M229" s="10" t="n">
        <x:v>0.49088566488760527</x:v>
      </x:c>
      <x:c r="N229" s="10" t="n">
        <x:v>0.4908856648867456</x:v>
      </x:c>
      <x:c r="O229" s="2" t="n">
        <x:v>260</x:v>
      </x:c>
      <x:c r="P229" s="10" t="n">
        <x:v>1</x:v>
      </x:c>
      <x:c r="Q229" s="10" t="n">
        <x:v>1</x:v>
      </x:c>
    </x:row>
    <x:row r="230" ht="23" customHeight="1">
      <x:c r="A230" s="2" t="str">
        <x:v>Energy</x:v>
      </x:c>
      <x:c r="B230" s="2" t="n">
        <x:v>36</x:v>
      </x:c>
      <x:c r="C230" s="2" t="str">
        <x:v>Aurora</x:v>
      </x:c>
      <x:c r="D230" s="2" t="n">
        <x:v>2028</x:v>
      </x:c>
      <x:c r="E230" s="10" t="n">
        <x:v>0.3960474992539366</x:v>
      </x:c>
      <x:c r="F230" s="10" t="n">
        <x:v>0.3960474992530494</x:v>
      </x:c>
      <x:c r="G230" s="10" t="n">
        <x:v>0.3960474992539366</x:v>
      </x:c>
      <x:c r="H230" s="11" t="n">
        <x:v>0</x:v>
      </x:c>
      <x:c r="I230" s="2" t="n">
        <x:v>0</x:v>
      </x:c>
      <x:c r="J230" s="2" t="n">
        <x:v>8</x:v>
      </x:c>
      <x:c r="K230" s="2" t="str">
        <x:v>已达到</x:v>
      </x:c>
      <x:c r="L230" s="10" t="n">
        <x:v>0.4908856648867456</x:v>
      </x:c>
      <x:c r="M230" s="10" t="n">
        <x:v>0.49088566488760527</x:v>
      </x:c>
      <x:c r="N230" s="10" t="n">
        <x:v>0.4908856648867456</x:v>
      </x:c>
      <x:c r="O230" s="2" t="n">
        <x:v>260</x:v>
      </x:c>
      <x:c r="P230" s="10" t="n">
        <x:v>1</x:v>
      </x:c>
      <x:c r="Q230" s="10" t="n">
        <x:v>1</x:v>
      </x:c>
    </x:row>
    <x:row r="231" ht="23" customHeight="1">
      <x:c r="A231" s="2" t="str">
        <x:v>Energy</x:v>
      </x:c>
      <x:c r="B231" s="2" t="n">
        <x:v>48</x:v>
      </x:c>
      <x:c r="C231" s="2" t="str">
        <x:v>TaTS</x:v>
      </x:c>
      <x:c r="D231" s="2" t="n">
        <x:v>2026</x:v>
      </x:c>
      <x:c r="E231" s="10" t="n">
        <x:v>0.40905897884304054</x:v>
      </x:c>
      <x:c r="F231" s="10" t="n">
        <x:v>0.4090589788449863</x:v>
      </x:c>
      <x:c r="G231" s="10" t="n">
        <x:v>0.40905897884304054</x:v>
      </x:c>
      <x:c r="H231" s="11" t="n">
        <x:v>0</x:v>
      </x:c>
      <x:c r="I231" s="2" t="n">
        <x:v>0</x:v>
      </x:c>
      <x:c r="J231" s="2" t="n">
        <x:v>8</x:v>
      </x:c>
      <x:c r="K231" s="2" t="str">
        <x:v>已达到</x:v>
      </x:c>
      <x:c r="L231" s="10" t="n">
        <x:v>0.4906507633676219</x:v>
      </x:c>
      <x:c r="M231" s="10" t="n">
        <x:v>0.4906507633698052</x:v>
      </x:c>
      <x:c r="N231" s="10" t="n">
        <x:v>0.4906507633676219</x:v>
      </x:c>
      <x:c r="O231" s="2" t="n">
        <x:v>248</x:v>
      </x:c>
      <x:c r="P231" s="10" t="n">
        <x:v>1</x:v>
      </x:c>
      <x:c r="Q231" s="10" t="n">
        <x:v>1</x:v>
      </x:c>
    </x:row>
    <x:row r="232" ht="23" customHeight="1">
      <x:c r="A232" s="2" t="str">
        <x:v>Energy</x:v>
      </x:c>
      <x:c r="B232" s="2" t="n">
        <x:v>48</x:v>
      </x:c>
      <x:c r="C232" s="2" t="str">
        <x:v>TaTS</x:v>
      </x:c>
      <x:c r="D232" s="2" t="n">
        <x:v>2027</x:v>
      </x:c>
      <x:c r="E232" s="10" t="n">
        <x:v>0.40905897884304054</x:v>
      </x:c>
      <x:c r="F232" s="10" t="n">
        <x:v>0.4090589788449863</x:v>
      </x:c>
      <x:c r="G232" s="10" t="n">
        <x:v>0.40905897884304054</x:v>
      </x:c>
      <x:c r="H232" s="11" t="n">
        <x:v>0</x:v>
      </x:c>
      <x:c r="I232" s="2" t="n">
        <x:v>0</x:v>
      </x:c>
      <x:c r="J232" s="2" t="n">
        <x:v>8</x:v>
      </x:c>
      <x:c r="K232" s="2" t="str">
        <x:v>已达到</x:v>
      </x:c>
      <x:c r="L232" s="10" t="n">
        <x:v>0.4906507633676219</x:v>
      </x:c>
      <x:c r="M232" s="10" t="n">
        <x:v>0.4906507633698052</x:v>
      </x:c>
      <x:c r="N232" s="10" t="n">
        <x:v>0.4906507633676219</x:v>
      </x:c>
      <x:c r="O232" s="2" t="n">
        <x:v>248</x:v>
      </x:c>
      <x:c r="P232" s="10" t="n">
        <x:v>1</x:v>
      </x:c>
      <x:c r="Q232" s="10" t="n">
        <x:v>1</x:v>
      </x:c>
    </x:row>
    <x:row r="233" ht="23" customHeight="1">
      <x:c r="A233" s="2" t="str">
        <x:v>Energy</x:v>
      </x:c>
      <x:c r="B233" s="2" t="n">
        <x:v>48</x:v>
      </x:c>
      <x:c r="C233" s="2" t="str">
        <x:v>TaTS</x:v>
      </x:c>
      <x:c r="D233" s="2" t="n">
        <x:v>2028</x:v>
      </x:c>
      <x:c r="E233" s="10" t="n">
        <x:v>0.40905897884304054</x:v>
      </x:c>
      <x:c r="F233" s="10" t="n">
        <x:v>0.4090589788449863</x:v>
      </x:c>
      <x:c r="G233" s="10" t="n">
        <x:v>0.40905897884304054</x:v>
      </x:c>
      <x:c r="H233" s="11" t="n">
        <x:v>0</x:v>
      </x:c>
      <x:c r="I233" s="2" t="n">
        <x:v>0</x:v>
      </x:c>
      <x:c r="J233" s="2" t="n">
        <x:v>8</x:v>
      </x:c>
      <x:c r="K233" s="2" t="str">
        <x:v>已达到</x:v>
      </x:c>
      <x:c r="L233" s="10" t="n">
        <x:v>0.4906507633676219</x:v>
      </x:c>
      <x:c r="M233" s="10" t="n">
        <x:v>0.4906507633698052</x:v>
      </x:c>
      <x:c r="N233" s="10" t="n">
        <x:v>0.4906507633676219</x:v>
      </x:c>
      <x:c r="O233" s="2" t="n">
        <x:v>248</x:v>
      </x:c>
      <x:c r="P233" s="10" t="n">
        <x:v>1</x:v>
      </x:c>
      <x:c r="Q233" s="10" t="n">
        <x:v>1</x:v>
      </x:c>
    </x:row>
    <x:row r="234" ht="23" customHeight="1">
      <x:c r="A234" s="2" t="str">
        <x:v>Energy</x:v>
      </x:c>
      <x:c r="B234" s="2" t="n">
        <x:v>48</x:v>
      </x:c>
      <x:c r="C234" s="2" t="str">
        <x:v>MM-TSFlib</x:v>
      </x:c>
      <x:c r="D234" s="2" t="n">
        <x:v>2026</x:v>
      </x:c>
      <x:c r="E234" s="10" t="n">
        <x:v>0.47098583846107467</x:v>
      </x:c>
      <x:c r="F234" s="10" t="n">
        <x:v>0.47098583845545466</x:v>
      </x:c>
      <x:c r="G234" s="10" t="n">
        <x:v>0.47098583846107467</x:v>
      </x:c>
      <x:c r="H234" s="11" t="n">
        <x:v>0</x:v>
      </x:c>
      <x:c r="I234" s="2" t="n">
        <x:v>0</x:v>
      </x:c>
      <x:c r="J234" s="2" t="n">
        <x:v>8</x:v>
      </x:c>
      <x:c r="K234" s="2" t="str">
        <x:v>已达到</x:v>
      </x:c>
      <x:c r="L234" s="10" t="n">
        <x:v>0.5479251636393152</x:v>
      </x:c>
      <x:c r="M234" s="10" t="n">
        <x:v>0.5479251636379534</x:v>
      </x:c>
      <x:c r="N234" s="10" t="n">
        <x:v>0.5479251636393152</x:v>
      </x:c>
      <x:c r="O234" s="2" t="n">
        <x:v>248</x:v>
      </x:c>
      <x:c r="P234" s="10" t="n">
        <x:v>1</x:v>
      </x:c>
      <x:c r="Q234" s="10" t="n">
        <x:v>1</x:v>
      </x:c>
    </x:row>
    <x:row r="235" ht="23" customHeight="1">
      <x:c r="A235" s="2" t="str">
        <x:v>Energy</x:v>
      </x:c>
      <x:c r="B235" s="2" t="n">
        <x:v>48</x:v>
      </x:c>
      <x:c r="C235" s="2" t="str">
        <x:v>MM-TSFlib</x:v>
      </x:c>
      <x:c r="D235" s="2" t="n">
        <x:v>2027</x:v>
      </x:c>
      <x:c r="E235" s="10" t="n">
        <x:v>0.47098583846107467</x:v>
      </x:c>
      <x:c r="F235" s="10" t="n">
        <x:v>0.47098583845545466</x:v>
      </x:c>
      <x:c r="G235" s="10" t="n">
        <x:v>0.47098583846107467</x:v>
      </x:c>
      <x:c r="H235" s="11" t="n">
        <x:v>0</x:v>
      </x:c>
      <x:c r="I235" s="2" t="n">
        <x:v>0</x:v>
      </x:c>
      <x:c r="J235" s="2" t="n">
        <x:v>8</x:v>
      </x:c>
      <x:c r="K235" s="2" t="str">
        <x:v>已达到</x:v>
      </x:c>
      <x:c r="L235" s="10" t="n">
        <x:v>0.5479251636393152</x:v>
      </x:c>
      <x:c r="M235" s="10" t="n">
        <x:v>0.5479251636379534</x:v>
      </x:c>
      <x:c r="N235" s="10" t="n">
        <x:v>0.5479251636393152</x:v>
      </x:c>
      <x:c r="O235" s="2" t="n">
        <x:v>248</x:v>
      </x:c>
      <x:c r="P235" s="10" t="n">
        <x:v>1</x:v>
      </x:c>
      <x:c r="Q235" s="10" t="n">
        <x:v>1</x:v>
      </x:c>
    </x:row>
    <x:row r="236" ht="23" customHeight="1">
      <x:c r="A236" s="2" t="str">
        <x:v>Energy</x:v>
      </x:c>
      <x:c r="B236" s="2" t="n">
        <x:v>48</x:v>
      </x:c>
      <x:c r="C236" s="2" t="str">
        <x:v>MM-TSFlib</x:v>
      </x:c>
      <x:c r="D236" s="2" t="n">
        <x:v>2028</x:v>
      </x:c>
      <x:c r="E236" s="10" t="n">
        <x:v>0.47098583846107467</x:v>
      </x:c>
      <x:c r="F236" s="10" t="n">
        <x:v>0.47098583845545466</x:v>
      </x:c>
      <x:c r="G236" s="10" t="n">
        <x:v>0.47098583846107467</x:v>
      </x:c>
      <x:c r="H236" s="11" t="n">
        <x:v>0</x:v>
      </x:c>
      <x:c r="I236" s="2" t="n">
        <x:v>0</x:v>
      </x:c>
      <x:c r="J236" s="2" t="n">
        <x:v>8</x:v>
      </x:c>
      <x:c r="K236" s="2" t="str">
        <x:v>已达到</x:v>
      </x:c>
      <x:c r="L236" s="10" t="n">
        <x:v>0.5479251636393152</x:v>
      </x:c>
      <x:c r="M236" s="10" t="n">
        <x:v>0.5479251636379534</x:v>
      </x:c>
      <x:c r="N236" s="10" t="n">
        <x:v>0.5479251636393152</x:v>
      </x:c>
      <x:c r="O236" s="2" t="n">
        <x:v>248</x:v>
      </x:c>
      <x:c r="P236" s="10" t="n">
        <x:v>1</x:v>
      </x:c>
      <x:c r="Q236" s="10" t="n">
        <x:v>1</x:v>
      </x:c>
    </x:row>
    <x:row r="237" ht="23" customHeight="1">
      <x:c r="A237" s="2" t="str">
        <x:v>Energy</x:v>
      </x:c>
      <x:c r="B237" s="2" t="n">
        <x:v>48</x:v>
      </x:c>
      <x:c r="C237" s="2" t="str">
        <x:v>SpecTF</x:v>
      </x:c>
      <x:c r="D237" s="2" t="n">
        <x:v>2026</x:v>
      </x:c>
      <x:c r="E237" s="10" t="n">
        <x:v>0.3815823420985617</x:v>
      </x:c>
      <x:c r="F237" s="10" t="n">
        <x:v>0.38158234211188724</x:v>
      </x:c>
      <x:c r="G237" s="10" t="n">
        <x:v>0.3815823420985617</x:v>
      </x:c>
      <x:c r="H237" s="11" t="n">
        <x:v>0</x:v>
      </x:c>
      <x:c r="I237" s="2" t="n">
        <x:v>0</x:v>
      </x:c>
      <x:c r="J237" s="2" t="n">
        <x:v>8</x:v>
      </x:c>
      <x:c r="K237" s="2" t="str">
        <x:v>已达到</x:v>
      </x:c>
      <x:c r="L237" s="10" t="n">
        <x:v>0.47182108019779095</x:v>
      </x:c>
      <x:c r="M237" s="10" t="n">
        <x:v>0.47182108020487434</x:v>
      </x:c>
      <x:c r="N237" s="10" t="n">
        <x:v>0.47182108019779095</x:v>
      </x:c>
      <x:c r="O237" s="2" t="n">
        <x:v>248</x:v>
      </x:c>
      <x:c r="P237" s="10" t="n">
        <x:v>1</x:v>
      </x:c>
      <x:c r="Q237" s="10" t="n">
        <x:v>1</x:v>
      </x:c>
    </x:row>
    <x:row r="238" ht="23" customHeight="1">
      <x:c r="A238" s="2" t="str">
        <x:v>Energy</x:v>
      </x:c>
      <x:c r="B238" s="2" t="n">
        <x:v>48</x:v>
      </x:c>
      <x:c r="C238" s="2" t="str">
        <x:v>SpecTF</x:v>
      </x:c>
      <x:c r="D238" s="2" t="n">
        <x:v>2027</x:v>
      </x:c>
      <x:c r="E238" s="10" t="n">
        <x:v>0.3815823420985617</x:v>
      </x:c>
      <x:c r="F238" s="10" t="n">
        <x:v>0.38158234211188724</x:v>
      </x:c>
      <x:c r="G238" s="10" t="n">
        <x:v>0.3815823420985617</x:v>
      </x:c>
      <x:c r="H238" s="11" t="n">
        <x:v>0</x:v>
      </x:c>
      <x:c r="I238" s="2" t="n">
        <x:v>0</x:v>
      </x:c>
      <x:c r="J238" s="2" t="n">
        <x:v>8</x:v>
      </x:c>
      <x:c r="K238" s="2" t="str">
        <x:v>已达到</x:v>
      </x:c>
      <x:c r="L238" s="10" t="n">
        <x:v>0.47182108019779095</x:v>
      </x:c>
      <x:c r="M238" s="10" t="n">
        <x:v>0.47182108020487434</x:v>
      </x:c>
      <x:c r="N238" s="10" t="n">
        <x:v>0.47182108019779095</x:v>
      </x:c>
      <x:c r="O238" s="2" t="n">
        <x:v>248</x:v>
      </x:c>
      <x:c r="P238" s="10" t="n">
        <x:v>1</x:v>
      </x:c>
      <x:c r="Q238" s="10" t="n">
        <x:v>1</x:v>
      </x:c>
    </x:row>
    <x:row r="239" ht="23" customHeight="1">
      <x:c r="A239" s="2" t="str">
        <x:v>Energy</x:v>
      </x:c>
      <x:c r="B239" s="2" t="n">
        <x:v>48</x:v>
      </x:c>
      <x:c r="C239" s="2" t="str">
        <x:v>SpecTF</x:v>
      </x:c>
      <x:c r="D239" s="2" t="n">
        <x:v>2028</x:v>
      </x:c>
      <x:c r="E239" s="10" t="n">
        <x:v>0.3815823420985617</x:v>
      </x:c>
      <x:c r="F239" s="10" t="n">
        <x:v>0.38158234211188724</x:v>
      </x:c>
      <x:c r="G239" s="10" t="n">
        <x:v>0.3815823420985617</x:v>
      </x:c>
      <x:c r="H239" s="11" t="n">
        <x:v>0</x:v>
      </x:c>
      <x:c r="I239" s="2" t="n">
        <x:v>0</x:v>
      </x:c>
      <x:c r="J239" s="2" t="n">
        <x:v>8</x:v>
      </x:c>
      <x:c r="K239" s="2" t="str">
        <x:v>已达到</x:v>
      </x:c>
      <x:c r="L239" s="10" t="n">
        <x:v>0.47182108019779095</x:v>
      </x:c>
      <x:c r="M239" s="10" t="n">
        <x:v>0.47182108020487434</x:v>
      </x:c>
      <x:c r="N239" s="10" t="n">
        <x:v>0.47182108019779095</x:v>
      </x:c>
      <x:c r="O239" s="2" t="n">
        <x:v>248</x:v>
      </x:c>
      <x:c r="P239" s="10" t="n">
        <x:v>1</x:v>
      </x:c>
      <x:c r="Q239" s="10" t="n">
        <x:v>1</x:v>
      </x:c>
    </x:row>
    <x:row r="240" ht="23" customHeight="1">
      <x:c r="A240" s="2" t="str">
        <x:v>Energy</x:v>
      </x:c>
      <x:c r="B240" s="2" t="n">
        <x:v>48</x:v>
      </x:c>
      <x:c r="C240" s="2" t="str">
        <x:v>CFA</x:v>
      </x:c>
      <x:c r="D240" s="2" t="n">
        <x:v>2026</x:v>
      </x:c>
      <x:c r="E240" s="10" t="n">
        <x:v>0.3953827732857235</x:v>
      </x:c>
      <x:c r="F240" s="10" t="n">
        <x:v>0.39538277329373706</x:v>
      </x:c>
      <x:c r="G240" s="10" t="n">
        <x:v>0.3953827732857235</x:v>
      </x:c>
      <x:c r="H240" s="11" t="n">
        <x:v>0</x:v>
      </x:c>
      <x:c r="I240" s="2" t="n">
        <x:v>0</x:v>
      </x:c>
      <x:c r="J240" s="2" t="n">
        <x:v>8</x:v>
      </x:c>
      <x:c r="K240" s="2" t="str">
        <x:v>已达到</x:v>
      </x:c>
      <x:c r="L240" s="10" t="n">
        <x:v>0.4816293025588268</x:v>
      </x:c>
      <x:c r="M240" s="10" t="n">
        <x:v>0.481629302569264</x:v>
      </x:c>
      <x:c r="N240" s="10" t="n">
        <x:v>0.4816293025588268</x:v>
      </x:c>
      <x:c r="O240" s="2" t="n">
        <x:v>248</x:v>
      </x:c>
      <x:c r="P240" s="10" t="n">
        <x:v>1</x:v>
      </x:c>
      <x:c r="Q240" s="10" t="n">
        <x:v>1</x:v>
      </x:c>
    </x:row>
    <x:row r="241" ht="23" customHeight="1">
      <x:c r="A241" s="2" t="str">
        <x:v>Energy</x:v>
      </x:c>
      <x:c r="B241" s="2" t="n">
        <x:v>48</x:v>
      </x:c>
      <x:c r="C241" s="2" t="str">
        <x:v>CFA</x:v>
      </x:c>
      <x:c r="D241" s="2" t="n">
        <x:v>2027</x:v>
      </x:c>
      <x:c r="E241" s="10" t="n">
        <x:v>0.3953827732857235</x:v>
      </x:c>
      <x:c r="F241" s="10" t="n">
        <x:v>0.39538277329373706</x:v>
      </x:c>
      <x:c r="G241" s="10" t="n">
        <x:v>0.3953827732857235</x:v>
      </x:c>
      <x:c r="H241" s="11" t="n">
        <x:v>0</x:v>
      </x:c>
      <x:c r="I241" s="2" t="n">
        <x:v>0</x:v>
      </x:c>
      <x:c r="J241" s="2" t="n">
        <x:v>8</x:v>
      </x:c>
      <x:c r="K241" s="2" t="str">
        <x:v>已达到</x:v>
      </x:c>
      <x:c r="L241" s="10" t="n">
        <x:v>0.4816293025588268</x:v>
      </x:c>
      <x:c r="M241" s="10" t="n">
        <x:v>0.481629302569264</x:v>
      </x:c>
      <x:c r="N241" s="10" t="n">
        <x:v>0.4816293025588268</x:v>
      </x:c>
      <x:c r="O241" s="2" t="n">
        <x:v>248</x:v>
      </x:c>
      <x:c r="P241" s="10" t="n">
        <x:v>1</x:v>
      </x:c>
      <x:c r="Q241" s="10" t="n">
        <x:v>1</x:v>
      </x:c>
    </x:row>
    <x:row r="242" ht="23" customHeight="1">
      <x:c r="A242" s="2" t="str">
        <x:v>Energy</x:v>
      </x:c>
      <x:c r="B242" s="2" t="n">
        <x:v>48</x:v>
      </x:c>
      <x:c r="C242" s="2" t="str">
        <x:v>CFA</x:v>
      </x:c>
      <x:c r="D242" s="2" t="n">
        <x:v>2028</x:v>
      </x:c>
      <x:c r="E242" s="10" t="n">
        <x:v>0.3953827732857235</x:v>
      </x:c>
      <x:c r="F242" s="10" t="n">
        <x:v>0.39538277329373706</x:v>
      </x:c>
      <x:c r="G242" s="10" t="n">
        <x:v>0.3953827732857235</x:v>
      </x:c>
      <x:c r="H242" s="11" t="n">
        <x:v>0</x:v>
      </x:c>
      <x:c r="I242" s="2" t="n">
        <x:v>0</x:v>
      </x:c>
      <x:c r="J242" s="2" t="n">
        <x:v>8</x:v>
      </x:c>
      <x:c r="K242" s="2" t="str">
        <x:v>已达到</x:v>
      </x:c>
      <x:c r="L242" s="10" t="n">
        <x:v>0.4816293025588268</x:v>
      </x:c>
      <x:c r="M242" s="10" t="n">
        <x:v>0.481629302569264</x:v>
      </x:c>
      <x:c r="N242" s="10" t="n">
        <x:v>0.4816293025588268</x:v>
      </x:c>
      <x:c r="O242" s="2" t="n">
        <x:v>248</x:v>
      </x:c>
      <x:c r="P242" s="10" t="n">
        <x:v>1</x:v>
      </x:c>
      <x:c r="Q242" s="10" t="n">
        <x:v>1</x:v>
      </x:c>
    </x:row>
    <x:row r="243" ht="23" customHeight="1">
      <x:c r="A243" s="2" t="str">
        <x:v>Energy</x:v>
      </x:c>
      <x:c r="B243" s="2" t="n">
        <x:v>48</x:v>
      </x:c>
      <x:c r="C243" s="2" t="str">
        <x:v>Aurora</x:v>
      </x:c>
      <x:c r="D243" s="2" t="n">
        <x:v>2026</x:v>
      </x:c>
      <x:c r="E243" s="10" t="n">
        <x:v>0.4675554391113816</x:v>
      </x:c>
      <x:c r="F243" s="10" t="n">
        <x:v>0.46755543909884273</x:v>
      </x:c>
      <x:c r="G243" s="10" t="n">
        <x:v>0.46755543909884273</x:v>
      </x:c>
      <x:c r="H243" s="11" t="n">
        <x:v>1</x:v>
      </x:c>
      <x:c r="I243" s="2" t="n">
        <x:v>0</x:v>
      </x:c>
      <x:c r="J243" s="2" t="n">
        <x:v>8</x:v>
      </x:c>
      <x:c r="K243" s="2" t="str">
        <x:v>已达到</x:v>
      </x:c>
      <x:c r="L243" s="10" t="n">
        <x:v>0.536317047074805</x:v>
      </x:c>
      <x:c r="M243" s="10" t="n">
        <x:v>0.5363170470703638</x:v>
      </x:c>
      <x:c r="N243" s="10" t="n">
        <x:v>0.5363170470703638</x:v>
      </x:c>
      <x:c r="O243" s="2" t="n">
        <x:v>248</x:v>
      </x:c>
      <x:c r="P243" s="10" t="n">
        <x:v>0.9999999999734757</x:v>
      </x:c>
      <x:c r="Q243" s="10" t="n">
        <x:v>0.999999999983489</x:v>
      </x:c>
    </x:row>
    <x:row r="244" ht="23" customHeight="1">
      <x:c r="A244" s="2" t="str">
        <x:v>Energy</x:v>
      </x:c>
      <x:c r="B244" s="2" t="n">
        <x:v>48</x:v>
      </x:c>
      <x:c r="C244" s="2" t="str">
        <x:v>Aurora</x:v>
      </x:c>
      <x:c r="D244" s="2" t="n">
        <x:v>2027</x:v>
      </x:c>
      <x:c r="E244" s="10" t="n">
        <x:v>0.4675554391113816</x:v>
      </x:c>
      <x:c r="F244" s="10" t="n">
        <x:v>0.46755543909884273</x:v>
      </x:c>
      <x:c r="G244" s="10" t="n">
        <x:v>0.46755543909884273</x:v>
      </x:c>
      <x:c r="H244" s="11" t="n">
        <x:v>1</x:v>
      </x:c>
      <x:c r="I244" s="2" t="n">
        <x:v>0</x:v>
      </x:c>
      <x:c r="J244" s="2" t="n">
        <x:v>8</x:v>
      </x:c>
      <x:c r="K244" s="2" t="str">
        <x:v>已达到</x:v>
      </x:c>
      <x:c r="L244" s="10" t="n">
        <x:v>0.536317047074805</x:v>
      </x:c>
      <x:c r="M244" s="10" t="n">
        <x:v>0.5363170470703638</x:v>
      </x:c>
      <x:c r="N244" s="10" t="n">
        <x:v>0.5363170470703638</x:v>
      </x:c>
      <x:c r="O244" s="2" t="n">
        <x:v>248</x:v>
      </x:c>
      <x:c r="P244" s="10" t="n">
        <x:v>0.9999999999734757</x:v>
      </x:c>
      <x:c r="Q244" s="10" t="n">
        <x:v>0.999999999983489</x:v>
      </x:c>
    </x:row>
    <x:row r="245" ht="23" customHeight="1">
      <x:c r="A245" s="2" t="str">
        <x:v>Energy</x:v>
      </x:c>
      <x:c r="B245" s="2" t="n">
        <x:v>48</x:v>
      </x:c>
      <x:c r="C245" s="2" t="str">
        <x:v>Aurora</x:v>
      </x:c>
      <x:c r="D245" s="2" t="n">
        <x:v>2028</x:v>
      </x:c>
      <x:c r="E245" s="10" t="n">
        <x:v>0.4675554391113816</x:v>
      </x:c>
      <x:c r="F245" s="10" t="n">
        <x:v>0.46755543909884273</x:v>
      </x:c>
      <x:c r="G245" s="10" t="n">
        <x:v>0.46755543909884273</x:v>
      </x:c>
      <x:c r="H245" s="11" t="n">
        <x:v>1</x:v>
      </x:c>
      <x:c r="I245" s="2" t="n">
        <x:v>0</x:v>
      </x:c>
      <x:c r="J245" s="2" t="n">
        <x:v>8</x:v>
      </x:c>
      <x:c r="K245" s="2" t="str">
        <x:v>已达到</x:v>
      </x:c>
      <x:c r="L245" s="10" t="n">
        <x:v>0.536317047074805</x:v>
      </x:c>
      <x:c r="M245" s="10" t="n">
        <x:v>0.5363170470703638</x:v>
      </x:c>
      <x:c r="N245" s="10" t="n">
        <x:v>0.5363170470703638</x:v>
      </x:c>
      <x:c r="O245" s="2" t="n">
        <x:v>248</x:v>
      </x:c>
      <x:c r="P245" s="10" t="n">
        <x:v>0.9999999999734757</x:v>
      </x:c>
      <x:c r="Q245" s="10" t="n">
        <x:v>0.999999999983489</x:v>
      </x:c>
    </x:row>
    <x:row r="246" ht="23" customHeight="1">
      <x:c r="A246" s="2" t="str">
        <x:v>Environment</x:v>
      </x:c>
      <x:c r="B246" s="2" t="n">
        <x:v>48</x:v>
      </x:c>
      <x:c r="C246" s="2" t="str">
        <x:v>TaTS</x:v>
      </x:c>
      <x:c r="D246" s="2" t="n">
        <x:v>2026</x:v>
      </x:c>
      <x:c r="E246" s="10" t="n">
        <x:v>0.3035071647381012</x:v>
      </x:c>
      <x:c r="F246" s="10" t="n">
        <x:v>0.28288482115519065</x:v>
      </x:c>
      <x:c r="G246" s="10" t="n">
        <x:v>0.28288482115519065</x:v>
      </x:c>
      <x:c r="H246" s="11" t="n">
        <x:v>1</x:v>
      </x:c>
      <x:c r="I246" s="2" t="n">
        <x:v>2</x:v>
      </x:c>
      <x:c r="J246" s="2" t="n">
        <x:v>10</x:v>
      </x:c>
      <x:c r="K246" s="2" t="str">
        <x:v>已达到</x:v>
      </x:c>
      <x:c r="L246" s="10" t="n">
        <x:v>0.4307871740492354</x:v>
      </x:c>
      <x:c r="M246" s="10" t="n">
        <x:v>0.40522460445018527</x:v>
      </x:c>
      <x:c r="N246" s="10" t="n">
        <x:v>0.40522460445018527</x:v>
      </x:c>
      <x:c r="O246" s="2" t="n">
        <x:v>3002</x:v>
      </x:c>
      <x:c r="P246" s="10" t="n">
        <x:v>0.9117290366932922</x:v>
      </x:c>
      <x:c r="Q246" s="10" t="n">
        <x:v>0.9398975414768151</x:v>
      </x:c>
    </x:row>
    <x:row r="247" ht="23" customHeight="1">
      <x:c r="A247" s="2" t="str">
        <x:v>Environment</x:v>
      </x:c>
      <x:c r="B247" s="2" t="n">
        <x:v>48</x:v>
      </x:c>
      <x:c r="C247" s="2" t="str">
        <x:v>TaTS</x:v>
      </x:c>
      <x:c r="D247" s="2" t="n">
        <x:v>2027</x:v>
      </x:c>
      <x:c r="E247" s="10" t="n">
        <x:v>0.3035071647381012</x:v>
      </x:c>
      <x:c r="F247" s="10" t="n">
        <x:v>0.2835212172945773</x:v>
      </x:c>
      <x:c r="G247" s="10" t="n">
        <x:v>0.2835212172945773</x:v>
      </x:c>
      <x:c r="H247" s="11" t="n">
        <x:v>1</x:v>
      </x:c>
      <x:c r="I247" s="2" t="n">
        <x:v>2</x:v>
      </x:c>
      <x:c r="J247" s="2" t="n">
        <x:v>10</x:v>
      </x:c>
      <x:c r="K247" s="2" t="str">
        <x:v>已达到</x:v>
      </x:c>
      <x:c r="L247" s="10" t="n">
        <x:v>0.4307871740492354</x:v>
      </x:c>
      <x:c r="M247" s="10" t="n">
        <x:v>0.4054972694570577</x:v>
      </x:c>
      <x:c r="N247" s="10" t="n">
        <x:v>0.4054972694570577</x:v>
      </x:c>
      <x:c r="O247" s="2" t="n">
        <x:v>3002</x:v>
      </x:c>
      <x:c r="P247" s="10" t="n">
        <x:v>0.9116711128963447</x:v>
      </x:c>
      <x:c r="Q247" s="10" t="n">
        <x:v>0.9402381458172074</x:v>
      </x:c>
    </x:row>
    <x:row r="248" ht="23" customHeight="1">
      <x:c r="A248" s="2" t="str">
        <x:v>Environment</x:v>
      </x:c>
      <x:c r="B248" s="2" t="n">
        <x:v>48</x:v>
      </x:c>
      <x:c r="C248" s="2" t="str">
        <x:v>TaTS</x:v>
      </x:c>
      <x:c r="D248" s="2" t="n">
        <x:v>2028</x:v>
      </x:c>
      <x:c r="E248" s="10" t="n">
        <x:v>0.3035071647381012</x:v>
      </x:c>
      <x:c r="F248" s="10" t="n">
        <x:v>0.28267478798628143</x:v>
      </x:c>
      <x:c r="G248" s="10" t="n">
        <x:v>0.28267478798628143</x:v>
      </x:c>
      <x:c r="H248" s="11" t="n">
        <x:v>1</x:v>
      </x:c>
      <x:c r="I248" s="2" t="n">
        <x:v>2</x:v>
      </x:c>
      <x:c r="J248" s="2" t="n">
        <x:v>10</x:v>
      </x:c>
      <x:c r="K248" s="2" t="str">
        <x:v>已达到</x:v>
      </x:c>
      <x:c r="L248" s="10" t="n">
        <x:v>0.4307871740492354</x:v>
      </x:c>
      <x:c r="M248" s="10" t="n">
        <x:v>0.40502656396605896</x:v>
      </x:c>
      <x:c r="N248" s="10" t="n">
        <x:v>0.40502656396605896</x:v>
      </x:c>
      <x:c r="O248" s="2" t="n">
        <x:v>3002</x:v>
      </x:c>
      <x:c r="P248" s="10" t="n">
        <x:v>0.9119410480760409</x:v>
      </x:c>
      <x:c r="Q248" s="10" t="n">
        <x:v>0.9393919225562709</x:v>
      </x:c>
    </x:row>
    <x:row r="249" ht="23" customHeight="1">
      <x:c r="A249" s="2" t="str">
        <x:v>Environment</x:v>
      </x:c>
      <x:c r="B249" s="2" t="n">
        <x:v>48</x:v>
      </x:c>
      <x:c r="C249" s="2" t="str">
        <x:v>MM-TSFlib</x:v>
      </x:c>
      <x:c r="D249" s="2" t="n">
        <x:v>2026</x:v>
      </x:c>
      <x:c r="E249" s="10" t="n">
        <x:v>0.29596647508290747</x:v>
      </x:c>
      <x:c r="F249" s="10" t="n">
        <x:v>0.27912960555440575</x:v>
      </x:c>
      <x:c r="G249" s="10" t="n">
        <x:v>0.27912960555440575</x:v>
      </x:c>
      <x:c r="H249" s="11" t="n">
        <x:v>1</x:v>
      </x:c>
      <x:c r="I249" s="2" t="n">
        <x:v>2</x:v>
      </x:c>
      <x:c r="J249" s="2" t="n">
        <x:v>10</x:v>
      </x:c>
      <x:c r="K249" s="2" t="str">
        <x:v>已达到</x:v>
      </x:c>
      <x:c r="L249" s="10" t="n">
        <x:v>0.4276555868102547</x:v>
      </x:c>
      <x:c r="M249" s="10" t="n">
        <x:v>0.40165065554747165</x:v>
      </x:c>
      <x:c r="N249" s="10" t="n">
        <x:v>0.40165065554747165</x:v>
      </x:c>
      <x:c r="O249" s="2" t="n">
        <x:v>3002</x:v>
      </x:c>
      <x:c r="P249" s="10" t="n">
        <x:v>0.9179952200461693</x:v>
      </x:c>
      <x:c r="Q249" s="10" t="n">
        <x:v>0.9391540649358475</x:v>
      </x:c>
    </x:row>
    <x:row r="250" ht="23" customHeight="1">
      <x:c r="A250" s="2" t="str">
        <x:v>Environment</x:v>
      </x:c>
      <x:c r="B250" s="2" t="n">
        <x:v>48</x:v>
      </x:c>
      <x:c r="C250" s="2" t="str">
        <x:v>MM-TSFlib</x:v>
      </x:c>
      <x:c r="D250" s="2" t="n">
        <x:v>2027</x:v>
      </x:c>
      <x:c r="E250" s="10" t="n">
        <x:v>0.29596647508290747</x:v>
      </x:c>
      <x:c r="F250" s="10" t="n">
        <x:v>0.2784128428780043</x:v>
      </x:c>
      <x:c r="G250" s="10" t="n">
        <x:v>0.2784128428780043</x:v>
      </x:c>
      <x:c r="H250" s="11" t="n">
        <x:v>1</x:v>
      </x:c>
      <x:c r="I250" s="2" t="n">
        <x:v>2</x:v>
      </x:c>
      <x:c r="J250" s="2" t="n">
        <x:v>10</x:v>
      </x:c>
      <x:c r="K250" s="2" t="str">
        <x:v>已达到</x:v>
      </x:c>
      <x:c r="L250" s="10" t="n">
        <x:v>0.4276555868102547</x:v>
      </x:c>
      <x:c r="M250" s="10" t="n">
        <x:v>0.40082289355060713</x:v>
      </x:c>
      <x:c r="N250" s="10" t="n">
        <x:v>0.40082289355060713</x:v>
      </x:c>
      <x:c r="O250" s="2" t="n">
        <x:v>3002</x:v>
      </x:c>
      <x:c r="P250" s="10" t="n">
        <x:v>0.9146336199866244</x:v>
      </x:c>
      <x:c r="Q250" s="10" t="n">
        <x:v>0.9367353232909602</x:v>
      </x:c>
    </x:row>
    <x:row r="251" ht="23" customHeight="1">
      <x:c r="A251" s="2" t="str">
        <x:v>Environment</x:v>
      </x:c>
      <x:c r="B251" s="2" t="n">
        <x:v>48</x:v>
      </x:c>
      <x:c r="C251" s="2" t="str">
        <x:v>MM-TSFlib</x:v>
      </x:c>
      <x:c r="D251" s="2" t="n">
        <x:v>2028</x:v>
      </x:c>
      <x:c r="E251" s="10" t="n">
        <x:v>0.29596647508290747</x:v>
      </x:c>
      <x:c r="F251" s="10" t="n">
        <x:v>0.2788794692838031</x:v>
      </x:c>
      <x:c r="G251" s="10" t="n">
        <x:v>0.2788794692838031</x:v>
      </x:c>
      <x:c r="H251" s="11" t="n">
        <x:v>1</x:v>
      </x:c>
      <x:c r="I251" s="2" t="n">
        <x:v>2</x:v>
      </x:c>
      <x:c r="J251" s="2" t="n">
        <x:v>10</x:v>
      </x:c>
      <x:c r="K251" s="2" t="str">
        <x:v>已达到</x:v>
      </x:c>
      <x:c r="L251" s="10" t="n">
        <x:v>0.4276555868102547</x:v>
      </x:c>
      <x:c r="M251" s="10" t="n">
        <x:v>0.40148544258645663</x:v>
      </x:c>
      <x:c r="N251" s="10" t="n">
        <x:v>0.40148544258645663</x:v>
      </x:c>
      <x:c r="O251" s="2" t="n">
        <x:v>3002</x:v>
      </x:c>
      <x:c r="P251" s="10" t="n">
        <x:v>0.9183639689951262</x:v>
      </x:c>
      <x:c r="Q251" s="10" t="n">
        <x:v>0.938466063796169</x:v>
      </x:c>
    </x:row>
    <x:row r="252" ht="23" customHeight="1">
      <x:c r="A252" s="2" t="str">
        <x:v>Environment</x:v>
      </x:c>
      <x:c r="B252" s="2" t="n">
        <x:v>48</x:v>
      </x:c>
      <x:c r="C252" s="2" t="str">
        <x:v>SpecTF</x:v>
      </x:c>
      <x:c r="D252" s="2" t="n">
        <x:v>2026</x:v>
      </x:c>
      <x:c r="E252" s="10" t="n">
        <x:v>0.30443698331933344</x:v>
      </x:c>
      <x:c r="F252" s="10" t="n">
        <x:v>0.2969625475947738</x:v>
      </x:c>
      <x:c r="G252" s="10" t="n">
        <x:v>0.2969625475947738</x:v>
      </x:c>
      <x:c r="H252" s="11" t="n">
        <x:v>1</x:v>
      </x:c>
      <x:c r="I252" s="2" t="n">
        <x:v>2</x:v>
      </x:c>
      <x:c r="J252" s="2" t="n">
        <x:v>10</x:v>
      </x:c>
      <x:c r="K252" s="2" t="str">
        <x:v>已达到</x:v>
      </x:c>
      <x:c r="L252" s="10" t="n">
        <x:v>0.40447161256809344</x:v>
      </x:c>
      <x:c r="M252" s="10" t="n">
        <x:v>0.39020949192715987</x:v>
      </x:c>
      <x:c r="N252" s="10" t="n">
        <x:v>0.39020949192715987</x:v>
      </x:c>
      <x:c r="O252" s="2" t="n">
        <x:v>3002</x:v>
      </x:c>
      <x:c r="P252" s="10" t="n">
        <x:v>0.9749188755601297</x:v>
      </x:c>
      <x:c r="Q252" s="10" t="n">
        <x:v>0.9730132400143401</x:v>
      </x:c>
    </x:row>
    <x:row r="253" ht="23" customHeight="1">
      <x:c r="A253" s="2" t="str">
        <x:v>Environment</x:v>
      </x:c>
      <x:c r="B253" s="2" t="n">
        <x:v>48</x:v>
      </x:c>
      <x:c r="C253" s="2" t="str">
        <x:v>SpecTF</x:v>
      </x:c>
      <x:c r="D253" s="2" t="n">
        <x:v>2027</x:v>
      </x:c>
      <x:c r="E253" s="10" t="n">
        <x:v>0.30443698331933344</x:v>
      </x:c>
      <x:c r="F253" s="10" t="n">
        <x:v>0.2979188682037291</x:v>
      </x:c>
      <x:c r="G253" s="10" t="n">
        <x:v>0.2979188682037291</x:v>
      </x:c>
      <x:c r="H253" s="11" t="n">
        <x:v>1</x:v>
      </x:c>
      <x:c r="I253" s="2" t="n">
        <x:v>2</x:v>
      </x:c>
      <x:c r="J253" s="2" t="n">
        <x:v>10</x:v>
      </x:c>
      <x:c r="K253" s="2" t="str">
        <x:v>已达到</x:v>
      </x:c>
      <x:c r="L253" s="10" t="n">
        <x:v>0.40447161256809344</x:v>
      </x:c>
      <x:c r="M253" s="10" t="n">
        <x:v>0.39052179932348996</x:v>
      </x:c>
      <x:c r="N253" s="10" t="n">
        <x:v>0.39052179932348996</x:v>
      </x:c>
      <x:c r="O253" s="2" t="n">
        <x:v>3002</x:v>
      </x:c>
      <x:c r="P253" s="10" t="n">
        <x:v>0.9809322166162825</x:v>
      </x:c>
      <x:c r="Q253" s="10" t="n">
        <x:v>0.9759402483669793</x:v>
      </x:c>
    </x:row>
    <x:row r="254" ht="23" customHeight="1">
      <x:c r="A254" s="2" t="str">
        <x:v>Environment</x:v>
      </x:c>
      <x:c r="B254" s="2" t="n">
        <x:v>48</x:v>
      </x:c>
      <x:c r="C254" s="2" t="str">
        <x:v>SpecTF</x:v>
      </x:c>
      <x:c r="D254" s="2" t="n">
        <x:v>2028</x:v>
      </x:c>
      <x:c r="E254" s="10" t="n">
        <x:v>0.30443698331933344</x:v>
      </x:c>
      <x:c r="F254" s="10" t="n">
        <x:v>0.29646311288215416</x:v>
      </x:c>
      <x:c r="G254" s="10" t="n">
        <x:v>0.29646311288215416</x:v>
      </x:c>
      <x:c r="H254" s="11" t="n">
        <x:v>1</x:v>
      </x:c>
      <x:c r="I254" s="2" t="n">
        <x:v>2</x:v>
      </x:c>
      <x:c r="J254" s="2" t="n">
        <x:v>10</x:v>
      </x:c>
      <x:c r="K254" s="2" t="str">
        <x:v>已达到</x:v>
      </x:c>
      <x:c r="L254" s="10" t="n">
        <x:v>0.40447161256809344</x:v>
      </x:c>
      <x:c r="M254" s="10" t="n">
        <x:v>0.389632616041891</x:v>
      </x:c>
      <x:c r="N254" s="10" t="n">
        <x:v>0.389632616041891</x:v>
      </x:c>
      <x:c r="O254" s="2" t="n">
        <x:v>3002</x:v>
      </x:c>
      <x:c r="P254" s="10" t="n">
        <x:v>0.9791736939616581</x:v>
      </x:c>
      <x:c r="Q254" s="10" t="n">
        <x:v>0.9735089356521311</x:v>
      </x:c>
    </x:row>
    <x:row r="255" ht="23" customHeight="1">
      <x:c r="A255" s="2" t="str">
        <x:v>Environment</x:v>
      </x:c>
      <x:c r="B255" s="2" t="n">
        <x:v>48</x:v>
      </x:c>
      <x:c r="C255" s="2" t="str">
        <x:v>CFA</x:v>
      </x:c>
      <x:c r="D255" s="2" t="n">
        <x:v>2026</x:v>
      </x:c>
      <x:c r="E255" s="10" t="n">
        <x:v>0.31664634101683053</x:v>
      </x:c>
      <x:c r="F255" s="10" t="n">
        <x:v>0.3202645906554268</x:v>
      </x:c>
      <x:c r="G255" s="10" t="n">
        <x:v>0.3169580184063038</x:v>
      </x:c>
      <x:c r="H255" s="11" t="n">
        <x:v>0.5</x:v>
      </x:c>
      <x:c r="I255" s="2" t="n">
        <x:v>2</x:v>
      </x:c>
      <x:c r="J255" s="2" t="n">
        <x:v>10</x:v>
      </x:c>
      <x:c r="K255" s="2" t="str">
        <x:v>已达到</x:v>
      </x:c>
      <x:c r="L255" s="10" t="n">
        <x:v>0.39642162561096983</x:v>
      </x:c>
      <x:c r="M255" s="10" t="n">
        <x:v>0.3885033657865939</x:v>
      </x:c>
      <x:c r="N255" s="10" t="n">
        <x:v>0.39140987466136606</x:v>
      </x:c>
      <x:c r="O255" s="2" t="n">
        <x:v>3002</x:v>
      </x:c>
      <x:c r="P255" s="10" t="n">
        <x:v>0.9981695112978733</x:v>
      </x:c>
      <x:c r="Q255" s="10" t="n">
        <x:v>0.9895255588127861</x:v>
      </x:c>
    </x:row>
    <x:row r="256" ht="23" customHeight="1">
      <x:c r="A256" s="2" t="str">
        <x:v>Environment</x:v>
      </x:c>
      <x:c r="B256" s="2" t="n">
        <x:v>48</x:v>
      </x:c>
      <x:c r="C256" s="2" t="str">
        <x:v>CFA</x:v>
      </x:c>
      <x:c r="D256" s="2" t="n">
        <x:v>2027</x:v>
      </x:c>
      <x:c r="E256" s="10" t="n">
        <x:v>0.31664634101683053</x:v>
      </x:c>
      <x:c r="F256" s="10" t="n">
        <x:v>0.3217683015536803</x:v>
      </x:c>
      <x:c r="G256" s="10" t="n">
        <x:v>0.3165264789812141</x:v>
      </x:c>
      <x:c r="H256" s="11" t="n">
        <x:v>0.25</x:v>
      </x:c>
      <x:c r="I256" s="2" t="n">
        <x:v>2</x:v>
      </x:c>
      <x:c r="J256" s="2" t="n">
        <x:v>10</x:v>
      </x:c>
      <x:c r="K256" s="2" t="str">
        <x:v>已达到</x:v>
      </x:c>
      <x:c r="L256" s="10" t="n">
        <x:v>0.39642162561096983</x:v>
      </x:c>
      <x:c r="M256" s="10" t="n">
        <x:v>0.38887084361456725</x:v>
      </x:c>
      <x:c r="N256" s="10" t="n">
        <x:v>0.3935597869643944</x:v>
      </x:c>
      <x:c r="O256" s="2" t="n">
        <x:v>3002</x:v>
      </x:c>
      <x:c r="P256" s="10" t="n">
        <x:v>0.9989603337117849</x:v>
      </x:c>
      <x:c r="Q256" s="10" t="n">
        <x:v>0.9943542207326029</x:v>
      </x:c>
    </x:row>
    <x:row r="257" ht="23" customHeight="1">
      <x:c r="A257" s="2" t="str">
        <x:v>Environment</x:v>
      </x:c>
      <x:c r="B257" s="2" t="n">
        <x:v>48</x:v>
      </x:c>
      <x:c r="C257" s="2" t="str">
        <x:v>CFA</x:v>
      </x:c>
      <x:c r="D257" s="2" t="n">
        <x:v>2028</x:v>
      </x:c>
      <x:c r="E257" s="10" t="n">
        <x:v>0.31664634101683053</x:v>
      </x:c>
      <x:c r="F257" s="10" t="n">
        <x:v>0.3201851799435135</x:v>
      </x:c>
      <x:c r="G257" s="10" t="n">
        <x:v>0.3169116493669584</x:v>
      </x:c>
      <x:c r="H257" s="11" t="n">
        <x:v>0.5</x:v>
      </x:c>
      <x:c r="I257" s="2" t="n">
        <x:v>2</x:v>
      </x:c>
      <x:c r="J257" s="2" t="n">
        <x:v>10</x:v>
      </x:c>
      <x:c r="K257" s="2" t="str">
        <x:v>已达到</x:v>
      </x:c>
      <x:c r="L257" s="10" t="n">
        <x:v>0.39642162561096983</x:v>
      </x:c>
      <x:c r="M257" s="10" t="n">
        <x:v>0.3879802293366179</x:v>
      </x:c>
      <x:c r="N257" s="10" t="n">
        <x:v>0.3911384598426468</x:v>
      </x:c>
      <x:c r="O257" s="2" t="n">
        <x:v>3002</x:v>
      </x:c>
      <x:c r="P257" s="10" t="n">
        <x:v>0.9993228992492403</x:v>
      </x:c>
      <x:c r="Q257" s="10" t="n">
        <x:v>0.9891302434409808</x:v>
      </x:c>
    </x:row>
    <x:row r="258" ht="23" customHeight="1">
      <x:c r="A258" s="2" t="str">
        <x:v>Environment</x:v>
      </x:c>
      <x:c r="B258" s="2" t="n">
        <x:v>48</x:v>
      </x:c>
      <x:c r="C258" s="2" t="str">
        <x:v>Aurora</x:v>
      </x:c>
      <x:c r="D258" s="2" t="n">
        <x:v>2026</x:v>
      </x:c>
      <x:c r="E258" s="10" t="n">
        <x:v>0.39488863757207215</x:v>
      </x:c>
      <x:c r="F258" s="10" t="n">
        <x:v>0.39329108818400293</x:v>
      </x:c>
      <x:c r="G258" s="10" t="n">
        <x:v>0.39329108818400293</x:v>
      </x:c>
      <x:c r="H258" s="11" t="n">
        <x:v>1</x:v>
      </x:c>
      <x:c r="I258" s="2" t="n">
        <x:v>2</x:v>
      </x:c>
      <x:c r="J258" s="2" t="n">
        <x:v>10</x:v>
      </x:c>
      <x:c r="K258" s="2" t="str">
        <x:v>已达到</x:v>
      </x:c>
      <x:c r="L258" s="10" t="n">
        <x:v>0.4438528716551231</x:v>
      </x:c>
      <x:c r="M258" s="10" t="n">
        <x:v>0.43707163259737</x:v>
      </x:c>
      <x:c r="N258" s="10" t="n">
        <x:v>0.43707163259737</x:v>
      </x:c>
      <x:c r="O258" s="2" t="n">
        <x:v>3002</x:v>
      </x:c>
      <x:c r="P258" s="10" t="n">
        <x:v>0.9834737401211869</x:v>
      </x:c>
      <x:c r="Q258" s="10" t="n">
        <x:v>0.9817263567831139</x:v>
      </x:c>
    </x:row>
    <x:row r="259" ht="23" customHeight="1">
      <x:c r="A259" s="2" t="str">
        <x:v>Environment</x:v>
      </x:c>
      <x:c r="B259" s="2" t="n">
        <x:v>48</x:v>
      </x:c>
      <x:c r="C259" s="2" t="str">
        <x:v>Aurora</x:v>
      </x:c>
      <x:c r="D259" s="2" t="n">
        <x:v>2027</x:v>
      </x:c>
      <x:c r="E259" s="10" t="n">
        <x:v>0.39488863757207215</x:v>
      </x:c>
      <x:c r="F259" s="10" t="n">
        <x:v>0.3945184137876496</x:v>
      </x:c>
      <x:c r="G259" s="10" t="n">
        <x:v>0.3945184137876496</x:v>
      </x:c>
      <x:c r="H259" s="11" t="n">
        <x:v>1</x:v>
      </x:c>
      <x:c r="I259" s="2" t="n">
        <x:v>2</x:v>
      </x:c>
      <x:c r="J259" s="2" t="n">
        <x:v>10</x:v>
      </x:c>
      <x:c r="K259" s="2" t="str">
        <x:v>已达到</x:v>
      </x:c>
      <x:c r="L259" s="10" t="n">
        <x:v>0.4438528716551231</x:v>
      </x:c>
      <x:c r="M259" s="10" t="n">
        <x:v>0.4376971652644088</x:v>
      </x:c>
      <x:c r="N259" s="10" t="n">
        <x:v>0.4376971652644088</x:v>
      </x:c>
      <x:c r="O259" s="2" t="n">
        <x:v>3002</x:v>
      </x:c>
      <x:c r="P259" s="10" t="n">
        <x:v>0.987080337905849</x:v>
      </x:c>
      <x:c r="Q259" s="10" t="n">
        <x:v>0.9834114658510675</x:v>
      </x:c>
    </x:row>
    <x:row r="260" ht="23" customHeight="1">
      <x:c r="A260" s="2" t="str">
        <x:v>Environment</x:v>
      </x:c>
      <x:c r="B260" s="2" t="n">
        <x:v>48</x:v>
      </x:c>
      <x:c r="C260" s="2" t="str">
        <x:v>Aurora</x:v>
      </x:c>
      <x:c r="D260" s="2" t="n">
        <x:v>2028</x:v>
      </x:c>
      <x:c r="E260" s="10" t="n">
        <x:v>0.39488863757207215</x:v>
      </x:c>
      <x:c r="F260" s="10" t="n">
        <x:v>0.39334085582730605</x:v>
      </x:c>
      <x:c r="G260" s="10" t="n">
        <x:v>0.39334085582730605</x:v>
      </x:c>
      <x:c r="H260" s="11" t="n">
        <x:v>1</x:v>
      </x:c>
      <x:c r="I260" s="2" t="n">
        <x:v>2</x:v>
      </x:c>
      <x:c r="J260" s="2" t="n">
        <x:v>10</x:v>
      </x:c>
      <x:c r="K260" s="2" t="str">
        <x:v>已达到</x:v>
      </x:c>
      <x:c r="L260" s="10" t="n">
        <x:v>0.4438528716551231</x:v>
      </x:c>
      <x:c r="M260" s="10" t="n">
        <x:v>0.43681997724351496</x:v>
      </x:c>
      <x:c r="N260" s="10" t="n">
        <x:v>0.43681997724351496</x:v>
      </x:c>
      <x:c r="O260" s="2" t="n">
        <x:v>3002</x:v>
      </x:c>
      <x:c r="P260" s="10" t="n">
        <x:v>0.985582412127048</x:v>
      </x:c>
      <x:c r="Q260" s="10" t="n">
        <x:v>0.9815546542758488</x:v>
      </x:c>
    </x:row>
    <x:row r="261" ht="23" customHeight="1">
      <x:c r="A261" s="2" t="str">
        <x:v>Environment</x:v>
      </x:c>
      <x:c r="B261" s="2" t="n">
        <x:v>96</x:v>
      </x:c>
      <x:c r="C261" s="2" t="str">
        <x:v>TaTS</x:v>
      </x:c>
      <x:c r="D261" s="2" t="n">
        <x:v>2026</x:v>
      </x:c>
      <x:c r="E261" s="10" t="n">
        <x:v>0.29697008480248327</x:v>
      </x:c>
      <x:c r="F261" s="10" t="n">
        <x:v>0.2805682012071426</x:v>
      </x:c>
      <x:c r="G261" s="10" t="n">
        <x:v>0.2805682012071426</x:v>
      </x:c>
      <x:c r="H261" s="11" t="n">
        <x:v>1</x:v>
      </x:c>
      <x:c r="I261" s="2" t="n">
        <x:v>3</x:v>
      </x:c>
      <x:c r="J261" s="2" t="n">
        <x:v>11</x:v>
      </x:c>
      <x:c r="K261" s="2" t="str">
        <x:v>已达到</x:v>
      </x:c>
      <x:c r="L261" s="10" t="n">
        <x:v>0.42227596902034753</x:v>
      </x:c>
      <x:c r="M261" s="10" t="n">
        <x:v>0.4007412234320529</x:v>
      </x:c>
      <x:c r="N261" s="10" t="n">
        <x:v>0.4007412234320529</x:v>
      </x:c>
      <x:c r="O261" s="2" t="n">
        <x:v>2954</x:v>
      </x:c>
      <x:c r="P261" s="10" t="n">
        <x:v>0.928889408671023</x:v>
      </x:c>
      <x:c r="Q261" s="10" t="n">
        <x:v>0.9548221170787277</x:v>
      </x:c>
    </x:row>
    <x:row r="262" ht="23" customHeight="1">
      <x:c r="A262" s="2" t="str">
        <x:v>Environment</x:v>
      </x:c>
      <x:c r="B262" s="2" t="n">
        <x:v>96</x:v>
      </x:c>
      <x:c r="C262" s="2" t="str">
        <x:v>TaTS</x:v>
      </x:c>
      <x:c r="D262" s="2" t="n">
        <x:v>2027</x:v>
      </x:c>
      <x:c r="E262" s="10" t="n">
        <x:v>0.29697008480248327</x:v>
      </x:c>
      <x:c r="F262" s="10" t="n">
        <x:v>0.2866043372298229</x:v>
      </x:c>
      <x:c r="G262" s="10" t="n">
        <x:v>0.2866043372298229</x:v>
      </x:c>
      <x:c r="H262" s="11" t="n">
        <x:v>1</x:v>
      </x:c>
      <x:c r="I262" s="2" t="n">
        <x:v>7</x:v>
      </x:c>
      <x:c r="J262" s="2" t="n">
        <x:v>15</x:v>
      </x:c>
      <x:c r="K262" s="2" t="str">
        <x:v>已达到</x:v>
      </x:c>
      <x:c r="L262" s="10" t="n">
        <x:v>0.42227596902034753</x:v>
      </x:c>
      <x:c r="M262" s="10" t="n">
        <x:v>0.39846129815476317</x:v>
      </x:c>
      <x:c r="N262" s="10" t="n">
        <x:v>0.39846129815476317</x:v>
      </x:c>
      <x:c r="O262" s="2" t="n">
        <x:v>2954</x:v>
      </x:c>
      <x:c r="P262" s="10" t="n">
        <x:v>0.9203573277495758</x:v>
      </x:c>
      <x:c r="Q262" s="10" t="n">
        <x:v>0.9545150022858641</x:v>
      </x:c>
    </x:row>
    <x:row r="263" ht="23" customHeight="1">
      <x:c r="A263" s="2" t="str">
        <x:v>Environment</x:v>
      </x:c>
      <x:c r="B263" s="2" t="n">
        <x:v>96</x:v>
      </x:c>
      <x:c r="C263" s="2" t="str">
        <x:v>TaTS</x:v>
      </x:c>
      <x:c r="D263" s="2" t="n">
        <x:v>2028</x:v>
      </x:c>
      <x:c r="E263" s="10" t="n">
        <x:v>0.29697008480248327</x:v>
      </x:c>
      <x:c r="F263" s="10" t="n">
        <x:v>0.27903468913907714</x:v>
      </x:c>
      <x:c r="G263" s="10" t="n">
        <x:v>0.27903468913907714</x:v>
      </x:c>
      <x:c r="H263" s="11" t="n">
        <x:v>1</x:v>
      </x:c>
      <x:c r="I263" s="2" t="n">
        <x:v>2</x:v>
      </x:c>
      <x:c r="J263" s="2" t="n">
        <x:v>10</x:v>
      </x:c>
      <x:c r="K263" s="2" t="str">
        <x:v>已达到</x:v>
      </x:c>
      <x:c r="L263" s="10" t="n">
        <x:v>0.42227596902034753</x:v>
      </x:c>
      <x:c r="M263" s="10" t="n">
        <x:v>0.39943376347032006</x:v>
      </x:c>
      <x:c r="N263" s="10" t="n">
        <x:v>0.39943376347032006</x:v>
      </x:c>
      <x:c r="O263" s="2" t="n">
        <x:v>2954</x:v>
      </x:c>
      <x:c r="P263" s="10" t="n">
        <x:v>0.9178299518122128</x:v>
      </x:c>
      <x:c r="Q263" s="10" t="n">
        <x:v>0.9456635248859528</x:v>
      </x:c>
    </x:row>
    <x:row r="264" ht="23" customHeight="1">
      <x:c r="A264" s="2" t="str">
        <x:v>Environment</x:v>
      </x:c>
      <x:c r="B264" s="2" t="n">
        <x:v>96</x:v>
      </x:c>
      <x:c r="C264" s="2" t="str">
        <x:v>MM-TSFlib</x:v>
      </x:c>
      <x:c r="D264" s="2" t="n">
        <x:v>2026</x:v>
      </x:c>
      <x:c r="E264" s="10" t="n">
        <x:v>0.3455599921922928</x:v>
      </x:c>
      <x:c r="F264" s="10" t="n">
        <x:v>0.3135986369589848</x:v>
      </x:c>
      <x:c r="G264" s="10" t="n">
        <x:v>0.3135986369589848</x:v>
      </x:c>
      <x:c r="H264" s="11" t="n">
        <x:v>1</x:v>
      </x:c>
      <x:c r="I264" s="2" t="n">
        <x:v>3</x:v>
      </x:c>
      <x:c r="J264" s="2" t="n">
        <x:v>11</x:v>
      </x:c>
      <x:c r="K264" s="2" t="str">
        <x:v>已达到</x:v>
      </x:c>
      <x:c r="L264" s="10" t="n">
        <x:v>0.46330808294714176</x:v>
      </x:c>
      <x:c r="M264" s="10" t="n">
        <x:v>0.43142342735686984</x:v>
      </x:c>
      <x:c r="N264" s="10" t="n">
        <x:v>0.43142342735686984</x:v>
      </x:c>
      <x:c r="O264" s="2" t="n">
        <x:v>2954</x:v>
      </x:c>
      <x:c r="P264" s="10" t="n">
        <x:v>0.9055723317601593</x:v>
      </x:c>
      <x:c r="Q264" s="10" t="n">
        <x:v>0.9444411242283891</x:v>
      </x:c>
    </x:row>
    <x:row r="265" ht="23" customHeight="1">
      <x:c r="A265" s="2" t="str">
        <x:v>Environment</x:v>
      </x:c>
      <x:c r="B265" s="2" t="n">
        <x:v>96</x:v>
      </x:c>
      <x:c r="C265" s="2" t="str">
        <x:v>MM-TSFlib</x:v>
      </x:c>
      <x:c r="D265" s="2" t="n">
        <x:v>2027</x:v>
      </x:c>
      <x:c r="E265" s="10" t="n">
        <x:v>0.3455599921922928</x:v>
      </x:c>
      <x:c r="F265" s="10" t="n">
        <x:v>0.3107361159002276</x:v>
      </x:c>
      <x:c r="G265" s="10" t="n">
        <x:v>0.3107361159002276</x:v>
      </x:c>
      <x:c r="H265" s="11" t="n">
        <x:v>1</x:v>
      </x:c>
      <x:c r="I265" s="2" t="n">
        <x:v>7</x:v>
      </x:c>
      <x:c r="J265" s="2" t="n">
        <x:v>15</x:v>
      </x:c>
      <x:c r="K265" s="2" t="str">
        <x:v>已达到</x:v>
      </x:c>
      <x:c r="L265" s="10" t="n">
        <x:v>0.46330808294714176</x:v>
      </x:c>
      <x:c r="M265" s="10" t="n">
        <x:v>0.4221380622609137</x:v>
      </x:c>
      <x:c r="N265" s="10" t="n">
        <x:v>0.4221380622609137</x:v>
      </x:c>
      <x:c r="O265" s="2" t="n">
        <x:v>2954</x:v>
      </x:c>
      <x:c r="P265" s="10" t="n">
        <x:v>0.8869784106246051</x:v>
      </x:c>
      <x:c r="Q265" s="10" t="n">
        <x:v>0.9523320415665703</x:v>
      </x:c>
    </x:row>
    <x:row r="266" ht="23" customHeight="1">
      <x:c r="A266" s="2" t="str">
        <x:v>Environment</x:v>
      </x:c>
      <x:c r="B266" s="2" t="n">
        <x:v>96</x:v>
      </x:c>
      <x:c r="C266" s="2" t="str">
        <x:v>MM-TSFlib</x:v>
      </x:c>
      <x:c r="D266" s="2" t="n">
        <x:v>2028</x:v>
      </x:c>
      <x:c r="E266" s="10" t="n">
        <x:v>0.3455599921922928</x:v>
      </x:c>
      <x:c r="F266" s="10" t="n">
        <x:v>0.3137337903400372</x:v>
      </x:c>
      <x:c r="G266" s="10" t="n">
        <x:v>0.3137337903400372</x:v>
      </x:c>
      <x:c r="H266" s="11" t="n">
        <x:v>1</x:v>
      </x:c>
      <x:c r="I266" s="2" t="n">
        <x:v>2</x:v>
      </x:c>
      <x:c r="J266" s="2" t="n">
        <x:v>10</x:v>
      </x:c>
      <x:c r="K266" s="2" t="str">
        <x:v>已达到</x:v>
      </x:c>
      <x:c r="L266" s="10" t="n">
        <x:v>0.46330808294714176</x:v>
      </x:c>
      <x:c r="M266" s="10" t="n">
        <x:v>0.4313976011937642</x:v>
      </x:c>
      <x:c r="N266" s="10" t="n">
        <x:v>0.4313976011937642</x:v>
      </x:c>
      <x:c r="O266" s="2" t="n">
        <x:v>2954</x:v>
      </x:c>
      <x:c r="P266" s="10" t="n">
        <x:v>0.9009584587493633</x:v>
      </x:c>
      <x:c r="Q266" s="10" t="n">
        <x:v>0.937545960879449</x:v>
      </x:c>
    </x:row>
    <x:row r="267" ht="23" customHeight="1">
      <x:c r="A267" s="2" t="str">
        <x:v>Environment</x:v>
      </x:c>
      <x:c r="B267" s="2" t="n">
        <x:v>96</x:v>
      </x:c>
      <x:c r="C267" s="2" t="str">
        <x:v>SpecTF</x:v>
      </x:c>
      <x:c r="D267" s="2" t="n">
        <x:v>2026</x:v>
      </x:c>
      <x:c r="E267" s="10" t="n">
        <x:v>0.3294876408245237</x:v>
      </x:c>
      <x:c r="F267" s="10" t="n">
        <x:v>0.3392693518956604</x:v>
      </x:c>
      <x:c r="G267" s="10" t="n">
        <x:v>0.3294876408245237</x:v>
      </x:c>
      <x:c r="H267" s="11" t="n">
        <x:v>0</x:v>
      </x:c>
      <x:c r="I267" s="2" t="n">
        <x:v>3</x:v>
      </x:c>
      <x:c r="J267" s="2" t="n">
        <x:v>11</x:v>
      </x:c>
      <x:c r="K267" s="2" t="str">
        <x:v>已达到</x:v>
      </x:c>
      <x:c r="L267" s="10" t="n">
        <x:v>0.41301379467768784</x:v>
      </x:c>
      <x:c r="M267" s="10" t="n">
        <x:v>0.41772318730527663</x:v>
      </x:c>
      <x:c r="N267" s="10" t="n">
        <x:v>0.41301379467768784</x:v>
      </x:c>
      <x:c r="O267" s="2" t="n">
        <x:v>2954</x:v>
      </x:c>
      <x:c r="P267" s="10" t="n">
        <x:v>1</x:v>
      </x:c>
      <x:c r="Q267" s="10" t="n">
        <x:v>1</x:v>
      </x:c>
    </x:row>
    <x:row r="268" ht="23" customHeight="1">
      <x:c r="A268" s="2" t="str">
        <x:v>Environment</x:v>
      </x:c>
      <x:c r="B268" s="2" t="n">
        <x:v>96</x:v>
      </x:c>
      <x:c r="C268" s="2" t="str">
        <x:v>SpecTF</x:v>
      </x:c>
      <x:c r="D268" s="2" t="n">
        <x:v>2027</x:v>
      </x:c>
      <x:c r="E268" s="10" t="n">
        <x:v>0.3294876408245237</x:v>
      </x:c>
      <x:c r="F268" s="10" t="n">
        <x:v>0.3381682687901138</x:v>
      </x:c>
      <x:c r="G268" s="10" t="n">
        <x:v>0.32642206386599154</x:v>
      </x:c>
      <x:c r="H268" s="11" t="n">
        <x:v>0.5</x:v>
      </x:c>
      <x:c r="I268" s="2" t="n">
        <x:v>7</x:v>
      </x:c>
      <x:c r="J268" s="2" t="n">
        <x:v>15</x:v>
      </x:c>
      <x:c r="K268" s="2" t="str">
        <x:v>已达到</x:v>
      </x:c>
      <x:c r="L268" s="10" t="n">
        <x:v>0.41301379467768784</x:v>
      </x:c>
      <x:c r="M268" s="10" t="n">
        <x:v>0.41301263602492444</x:v>
      </x:c>
      <x:c r="N268" s="10" t="n">
        <x:v>0.4074276176004662</x:v>
      </x:c>
      <x:c r="O268" s="2" t="n">
        <x:v>2954</x:v>
      </x:c>
      <x:c r="P268" s="10" t="n">
        <x:v>0.9748340484758162</x:v>
      </x:c>
      <x:c r="Q268" s="10" t="n">
        <x:v>0.9779641057666841</x:v>
      </x:c>
    </x:row>
    <x:row r="269" ht="23" customHeight="1">
      <x:c r="A269" s="2" t="str">
        <x:v>Environment</x:v>
      </x:c>
      <x:c r="B269" s="2" t="n">
        <x:v>96</x:v>
      </x:c>
      <x:c r="C269" s="2" t="str">
        <x:v>SpecTF</x:v>
      </x:c>
      <x:c r="D269" s="2" t="n">
        <x:v>2028</x:v>
      </x:c>
      <x:c r="E269" s="10" t="n">
        <x:v>0.3294876408245237</x:v>
      </x:c>
      <x:c r="F269" s="10" t="n">
        <x:v>0.3424280260451175</x:v>
      </x:c>
      <x:c r="G269" s="10" t="n">
        <x:v>0.3294876408245237</x:v>
      </x:c>
      <x:c r="H269" s="11" t="n">
        <x:v>0</x:v>
      </x:c>
      <x:c r="I269" s="2" t="n">
        <x:v>2</x:v>
      </x:c>
      <x:c r="J269" s="2" t="n">
        <x:v>10</x:v>
      </x:c>
      <x:c r="K269" s="2" t="str">
        <x:v>已达到</x:v>
      </x:c>
      <x:c r="L269" s="10" t="n">
        <x:v>0.41301379467768784</x:v>
      </x:c>
      <x:c r="M269" s="10" t="n">
        <x:v>0.4199238436950287</x:v>
      </x:c>
      <x:c r="N269" s="10" t="n">
        <x:v>0.41301379467768784</x:v>
      </x:c>
      <x:c r="O269" s="2" t="n">
        <x:v>2954</x:v>
      </x:c>
      <x:c r="P269" s="10" t="n">
        <x:v>1</x:v>
      </x:c>
      <x:c r="Q269" s="10" t="n">
        <x:v>1</x:v>
      </x:c>
    </x:row>
    <x:row r="270" ht="23" customHeight="1">
      <x:c r="A270" s="2" t="str">
        <x:v>Environment</x:v>
      </x:c>
      <x:c r="B270" s="2" t="n">
        <x:v>96</x:v>
      </x:c>
      <x:c r="C270" s="2" t="str">
        <x:v>CFA</x:v>
      </x:c>
      <x:c r="D270" s="2" t="n">
        <x:v>2026</x:v>
      </x:c>
      <x:c r="E270" s="10" t="n">
        <x:v>0.35261779682305505</x:v>
      </x:c>
      <x:c r="F270" s="10" t="n">
        <x:v>0.35993568267178794</x:v>
      </x:c>
      <x:c r="G270" s="10" t="n">
        <x:v>0.35709812623510795</x:v>
      </x:c>
      <x:c r="H270" s="11" t="n">
        <x:v>0.75</x:v>
      </x:c>
      <x:c r="I270" s="2" t="n">
        <x:v>3</x:v>
      </x:c>
      <x:c r="J270" s="2" t="n">
        <x:v>11</x:v>
      </x:c>
      <x:c r="K270" s="2" t="str">
        <x:v>已达到</x:v>
      </x:c>
      <x:c r="L270" s="10" t="n">
        <x:v>0.4128519849329427</x:v>
      </x:c>
      <x:c r="M270" s="10" t="n">
        <x:v>0.4129821819136082</x:v>
      </x:c>
      <x:c r="N270" s="10" t="n">
        <x:v>0.4121644135759698</x:v>
      </x:c>
      <x:c r="O270" s="2" t="n">
        <x:v>2954</x:v>
      </x:c>
      <x:c r="P270" s="10" t="n">
        <x:v>0.9950769382529117</x:v>
      </x:c>
      <x:c r="Q270" s="10" t="n">
        <x:v>0.9914824834412475</x:v>
      </x:c>
    </x:row>
    <x:row r="271" ht="23" customHeight="1">
      <x:c r="A271" s="2" t="str">
        <x:v>Environment</x:v>
      </x:c>
      <x:c r="B271" s="2" t="n">
        <x:v>96</x:v>
      </x:c>
      <x:c r="C271" s="2" t="str">
        <x:v>CFA</x:v>
      </x:c>
      <x:c r="D271" s="2" t="n">
        <x:v>2027</x:v>
      </x:c>
      <x:c r="E271" s="10" t="n">
        <x:v>0.35261779682305505</x:v>
      </x:c>
      <x:c r="F271" s="10" t="n">
        <x:v>0.37806762583879105</x:v>
      </x:c>
      <x:c r="G271" s="10" t="n">
        <x:v>0.3588920886489866</x:v>
      </x:c>
      <x:c r="H271" s="11" t="n">
        <x:v>0.5</x:v>
      </x:c>
      <x:c r="I271" s="2" t="n">
        <x:v>7</x:v>
      </x:c>
      <x:c r="J271" s="2" t="n">
        <x:v>15</x:v>
      </x:c>
      <x:c r="K271" s="2" t="str">
        <x:v>已达到</x:v>
      </x:c>
      <x:c r="L271" s="10" t="n">
        <x:v>0.4128519849329427</x:v>
      </x:c>
      <x:c r="M271" s="10" t="n">
        <x:v>0.42506661518502964</x:v>
      </x:c>
      <x:c r="N271" s="10" t="n">
        <x:v>0.413898560972394</x:v>
      </x:c>
      <x:c r="O271" s="2" t="n">
        <x:v>2954</x:v>
      </x:c>
      <x:c r="P271" s="10" t="n">
        <x:v>0.9945121672869951</x:v>
      </x:c>
      <x:c r="Q271" s="10" t="n">
        <x:v>0.9919661282221551</x:v>
      </x:c>
    </x:row>
    <x:row r="272" ht="23" customHeight="1">
      <x:c r="A272" s="2" t="str">
        <x:v>Environment</x:v>
      </x:c>
      <x:c r="B272" s="2" t="n">
        <x:v>96</x:v>
      </x:c>
      <x:c r="C272" s="2" t="str">
        <x:v>CFA</x:v>
      </x:c>
      <x:c r="D272" s="2" t="n">
        <x:v>2028</x:v>
      </x:c>
      <x:c r="E272" s="10" t="n">
        <x:v>0.35261779682305505</x:v>
      </x:c>
      <x:c r="F272" s="10" t="n">
        <x:v>0.3610832207526799</x:v>
      </x:c>
      <x:c r="G272" s="10" t="n">
        <x:v>0.35781836748690415</x:v>
      </x:c>
      <x:c r="H272" s="11" t="n">
        <x:v>0.75</x:v>
      </x:c>
      <x:c r="I272" s="2" t="n">
        <x:v>2</x:v>
      </x:c>
      <x:c r="J272" s="2" t="n">
        <x:v>10</x:v>
      </x:c>
      <x:c r="K272" s="2" t="str">
        <x:v>已达到</x:v>
      </x:c>
      <x:c r="L272" s="10" t="n">
        <x:v>0.4128519849329427</x:v>
      </x:c>
      <x:c r="M272" s="10" t="n">
        <x:v>0.41234232213243477</x:v>
      </x:c>
      <x:c r="N272" s="10" t="n">
        <x:v>0.41154841937257797</x:v>
      </x:c>
      <x:c r="O272" s="2" t="n">
        <x:v>2954</x:v>
      </x:c>
      <x:c r="P272" s="10" t="n">
        <x:v>0.9972277808814805</x:v>
      </x:c>
      <x:c r="Q272" s="10" t="n">
        <x:v>0.9889970664058894</x:v>
      </x:c>
    </x:row>
    <x:row r="273" ht="23" customHeight="1">
      <x:c r="A273" s="2" t="str">
        <x:v>Environment</x:v>
      </x:c>
      <x:c r="B273" s="2" t="n">
        <x:v>96</x:v>
      </x:c>
      <x:c r="C273" s="2" t="str">
        <x:v>Aurora</x:v>
      </x:c>
      <x:c r="D273" s="2" t="n">
        <x:v>2026</x:v>
      </x:c>
      <x:c r="E273" s="10" t="n">
        <x:v>0.43624974417127504</x:v>
      </x:c>
      <x:c r="F273" s="10" t="n">
        <x:v>0.43208358041655825</x:v>
      </x:c>
      <x:c r="G273" s="10" t="n">
        <x:v>0.43208358041655825</x:v>
      </x:c>
      <x:c r="H273" s="11" t="n">
        <x:v>1</x:v>
      </x:c>
      <x:c r="I273" s="2" t="n">
        <x:v>3</x:v>
      </x:c>
      <x:c r="J273" s="2" t="n">
        <x:v>11</x:v>
      </x:c>
      <x:c r="K273" s="2" t="str">
        <x:v>已达到</x:v>
      </x:c>
      <x:c r="L273" s="10" t="n">
        <x:v>0.4676209816556689</x:v>
      </x:c>
      <x:c r="M273" s="10" t="n">
        <x:v>0.4619755445233993</x:v>
      </x:c>
      <x:c r="N273" s="10" t="n">
        <x:v>0.4619755445233993</x:v>
      </x:c>
      <x:c r="O273" s="2" t="n">
        <x:v>2954</x:v>
      </x:c>
      <x:c r="P273" s="10" t="n">
        <x:v>0.9885985098137348</x:v>
      </x:c>
      <x:c r="Q273" s="10" t="n">
        <x:v>0.9907541497515807</x:v>
      </x:c>
    </x:row>
    <x:row r="274" ht="23" customHeight="1">
      <x:c r="A274" s="2" t="str">
        <x:v>Environment</x:v>
      </x:c>
      <x:c r="B274" s="2" t="n">
        <x:v>96</x:v>
      </x:c>
      <x:c r="C274" s="2" t="str">
        <x:v>Aurora</x:v>
      </x:c>
      <x:c r="D274" s="2" t="n">
        <x:v>2027</x:v>
      </x:c>
      <x:c r="E274" s="10" t="n">
        <x:v>0.43624974417127504</x:v>
      </x:c>
      <x:c r="F274" s="10" t="n">
        <x:v>0.45261070802191977</x:v>
      </x:c>
      <x:c r="G274" s="10" t="n">
        <x:v>0.43624974417127504</x:v>
      </x:c>
      <x:c r="H274" s="11" t="n">
        <x:v>0</x:v>
      </x:c>
      <x:c r="I274" s="2" t="n">
        <x:v>7</x:v>
      </x:c>
      <x:c r="J274" s="2" t="n">
        <x:v>15</x:v>
      </x:c>
      <x:c r="K274" s="2" t="str">
        <x:v>已达到</x:v>
      </x:c>
      <x:c r="L274" s="10" t="n">
        <x:v>0.4676209816556689</x:v>
      </x:c>
      <x:c r="M274" s="10" t="n">
        <x:v>0.4728455380827983</x:v>
      </x:c>
      <x:c r="N274" s="10" t="n">
        <x:v>0.4676209816556689</x:v>
      </x:c>
      <x:c r="O274" s="2" t="n">
        <x:v>2954</x:v>
      </x:c>
      <x:c r="P274" s="10" t="n">
        <x:v>1</x:v>
      </x:c>
      <x:c r="Q274" s="10" t="n">
        <x:v>1</x:v>
      </x:c>
    </x:row>
    <x:row r="275" ht="23" customHeight="1">
      <x:c r="A275" s="2" t="str">
        <x:v>Environment</x:v>
      </x:c>
      <x:c r="B275" s="2" t="n">
        <x:v>96</x:v>
      </x:c>
      <x:c r="C275" s="2" t="str">
        <x:v>Aurora</x:v>
      </x:c>
      <x:c r="D275" s="2" t="n">
        <x:v>2028</x:v>
      </x:c>
      <x:c r="E275" s="10" t="n">
        <x:v>0.43624974417127504</x:v>
      </x:c>
      <x:c r="F275" s="10" t="n">
        <x:v>0.4302997497552365</x:v>
      </x:c>
      <x:c r="G275" s="10" t="n">
        <x:v>0.4302997497552365</x:v>
      </x:c>
      <x:c r="H275" s="11" t="n">
        <x:v>1</x:v>
      </x:c>
      <x:c r="I275" s="2" t="n">
        <x:v>2</x:v>
      </x:c>
      <x:c r="J275" s="2" t="n">
        <x:v>10</x:v>
      </x:c>
      <x:c r="K275" s="2" t="str">
        <x:v>已达到</x:v>
      </x:c>
      <x:c r="L275" s="10" t="n">
        <x:v>0.4676209816556689</x:v>
      </x:c>
      <x:c r="M275" s="10" t="n">
        <x:v>0.46007886831509404</x:v>
      </x:c>
      <x:c r="N275" s="10" t="n">
        <x:v>0.46007886831509404</x:v>
      </x:c>
      <x:c r="O275" s="2" t="n">
        <x:v>2954</x:v>
      </x:c>
      <x:c r="P275" s="10" t="n">
        <x:v>0.98082933088019</x:v>
      </x:c>
      <x:c r="Q275" s="10" t="n">
        <x:v>0.9833615741773258</x:v>
      </x:c>
    </x:row>
    <x:row r="276" ht="23" customHeight="1">
      <x:c r="A276" s="2" t="str">
        <x:v>Environment</x:v>
      </x:c>
      <x:c r="B276" s="2" t="n">
        <x:v>192</x:v>
      </x:c>
      <x:c r="C276" s="2" t="str">
        <x:v>TaTS</x:v>
      </x:c>
      <x:c r="D276" s="2" t="n">
        <x:v>2026</x:v>
      </x:c>
      <x:c r="E276" s="10" t="n">
        <x:v>0.2819047584851864</x:v>
      </x:c>
      <x:c r="F276" s="10" t="n">
        <x:v>0.26364558567847485</x:v>
      </x:c>
      <x:c r="G276" s="10" t="n">
        <x:v>0.26364558567847485</x:v>
      </x:c>
      <x:c r="H276" s="11" t="n">
        <x:v>1</x:v>
      </x:c>
      <x:c r="I276" s="2" t="n">
        <x:v>5</x:v>
      </x:c>
      <x:c r="J276" s="2" t="n">
        <x:v>13</x:v>
      </x:c>
      <x:c r="K276" s="2" t="str">
        <x:v>已达到</x:v>
      </x:c>
      <x:c r="L276" s="10" t="n">
        <x:v>0.4112357700426708</x:v>
      </x:c>
      <x:c r="M276" s="10" t="n">
        <x:v>0.38843480241719813</x:v>
      </x:c>
      <x:c r="N276" s="10" t="n">
        <x:v>0.38843480241719813</x:v>
      </x:c>
      <x:c r="O276" s="2" t="n">
        <x:v>2858</x:v>
      </x:c>
      <x:c r="P276" s="10" t="n">
        <x:v>0.9100326351888228</x:v>
      </x:c>
      <x:c r="Q276" s="10" t="n">
        <x:v>0.9496721025591318</x:v>
      </x:c>
    </x:row>
    <x:row r="277" ht="23" customHeight="1">
      <x:c r="A277" s="2" t="str">
        <x:v>Environment</x:v>
      </x:c>
      <x:c r="B277" s="2" t="n">
        <x:v>192</x:v>
      </x:c>
      <x:c r="C277" s="2" t="str">
        <x:v>TaTS</x:v>
      </x:c>
      <x:c r="D277" s="2" t="n">
        <x:v>2027</x:v>
      </x:c>
      <x:c r="E277" s="10" t="n">
        <x:v>0.2819047584851864</x:v>
      </x:c>
      <x:c r="F277" s="10" t="n">
        <x:v>0.2634287747412411</x:v>
      </x:c>
      <x:c r="G277" s="10" t="n">
        <x:v>0.2634287747412411</x:v>
      </x:c>
      <x:c r="H277" s="11" t="n">
        <x:v>1</x:v>
      </x:c>
      <x:c r="I277" s="2" t="n">
        <x:v>6</x:v>
      </x:c>
      <x:c r="J277" s="2" t="n">
        <x:v>14</x:v>
      </x:c>
      <x:c r="K277" s="2" t="str">
        <x:v>已达到</x:v>
      </x:c>
      <x:c r="L277" s="10" t="n">
        <x:v>0.4112357700426708</x:v>
      </x:c>
      <x:c r="M277" s="10" t="n">
        <x:v>0.3851177922148785</x:v>
      </x:c>
      <x:c r="N277" s="10" t="n">
        <x:v>0.3851177922148785</x:v>
      </x:c>
      <x:c r="O277" s="2" t="n">
        <x:v>2858</x:v>
      </x:c>
      <x:c r="P277" s="10" t="n">
        <x:v>0.9059384130160684</x:v>
      </x:c>
      <x:c r="Q277" s="10" t="n">
        <x:v>0.9473045288179969</x:v>
      </x:c>
    </x:row>
    <x:row r="278" ht="23" customHeight="1">
      <x:c r="A278" s="2" t="str">
        <x:v>Environment</x:v>
      </x:c>
      <x:c r="B278" s="2" t="n">
        <x:v>192</x:v>
      </x:c>
      <x:c r="C278" s="2" t="str">
        <x:v>TaTS</x:v>
      </x:c>
      <x:c r="D278" s="2" t="n">
        <x:v>2028</x:v>
      </x:c>
      <x:c r="E278" s="10" t="n">
        <x:v>0.2819047584851864</x:v>
      </x:c>
      <x:c r="F278" s="10" t="n">
        <x:v>0.28240224951747</x:v>
      </x:c>
      <x:c r="G278" s="10" t="n">
        <x:v>0.27601009724467107</x:v>
      </x:c>
      <x:c r="H278" s="11" t="n">
        <x:v>0.75</x:v>
      </x:c>
      <x:c r="I278" s="2" t="n">
        <x:v>8</x:v>
      </x:c>
      <x:c r="J278" s="2" t="n">
        <x:v>16</x:v>
      </x:c>
      <x:c r="K278" s="2" t="str">
        <x:v>已达到</x:v>
      </x:c>
      <x:c r="L278" s="10" t="n">
        <x:v>0.4112357700426708</x:v>
      </x:c>
      <x:c r="M278" s="10" t="n">
        <x:v>0.4074175803061482</x:v>
      </x:c>
      <x:c r="N278" s="10" t="n">
        <x:v>0.40388096808945134</x:v>
      </x:c>
      <x:c r="O278" s="2" t="n">
        <x:v>2858</x:v>
      </x:c>
      <x:c r="P278" s="10" t="n">
        <x:v>0.9483136704169424</x:v>
      </x:c>
      <x:c r="Q278" s="10" t="n">
        <x:v>0.9815633718257442</x:v>
      </x:c>
    </x:row>
    <x:row r="279" ht="23" customHeight="1">
      <x:c r="A279" s="2" t="str">
        <x:v>Environment</x:v>
      </x:c>
      <x:c r="B279" s="2" t="n">
        <x:v>192</x:v>
      </x:c>
      <x:c r="C279" s="2" t="str">
        <x:v>MM-TSFlib</x:v>
      </x:c>
      <x:c r="D279" s="2" t="n">
        <x:v>2026</x:v>
      </x:c>
      <x:c r="E279" s="10" t="n">
        <x:v>0.424233536785341</x:v>
      </x:c>
      <x:c r="F279" s="10" t="n">
        <x:v>0.36492510667752526</x:v>
      </x:c>
      <x:c r="G279" s="10" t="n">
        <x:v>0.36492510667752526</x:v>
      </x:c>
      <x:c r="H279" s="11" t="n">
        <x:v>1</x:v>
      </x:c>
      <x:c r="I279" s="2" t="n">
        <x:v>5</x:v>
      </x:c>
      <x:c r="J279" s="2" t="n">
        <x:v>13</x:v>
      </x:c>
      <x:c r="K279" s="2" t="str">
        <x:v>已达到</x:v>
      </x:c>
      <x:c r="L279" s="10" t="n">
        <x:v>0.5187985242389241</x:v>
      </x:c>
      <x:c r="M279" s="10" t="n">
        <x:v>0.4731238546907473</x:v>
      </x:c>
      <x:c r="N279" s="10" t="n">
        <x:v>0.4731238546907473</x:v>
      </x:c>
      <x:c r="O279" s="2" t="n">
        <x:v>2858</x:v>
      </x:c>
      <x:c r="P279" s="10" t="n">
        <x:v>0.8648348216240762</x:v>
      </x:c>
      <x:c r="Q279" s="10" t="n">
        <x:v>0.9298684800909965</x:v>
      </x:c>
    </x:row>
    <x:row r="280" ht="23" customHeight="1">
      <x:c r="A280" s="2" t="str">
        <x:v>Environment</x:v>
      </x:c>
      <x:c r="B280" s="2" t="n">
        <x:v>192</x:v>
      </x:c>
      <x:c r="C280" s="2" t="str">
        <x:v>MM-TSFlib</x:v>
      </x:c>
      <x:c r="D280" s="2" t="n">
        <x:v>2027</x:v>
      </x:c>
      <x:c r="E280" s="10" t="n">
        <x:v>0.424233536785341</x:v>
      </x:c>
      <x:c r="F280" s="10" t="n">
        <x:v>0.36100915960544694</x:v>
      </x:c>
      <x:c r="G280" s="10" t="n">
        <x:v>0.36100915960544694</x:v>
      </x:c>
      <x:c r="H280" s="11" t="n">
        <x:v>1</x:v>
      </x:c>
      <x:c r="I280" s="2" t="n">
        <x:v>6</x:v>
      </x:c>
      <x:c r="J280" s="2" t="n">
        <x:v>14</x:v>
      </x:c>
      <x:c r="K280" s="2" t="str">
        <x:v>已达到</x:v>
      </x:c>
      <x:c r="L280" s="10" t="n">
        <x:v>0.5187985242389241</x:v>
      </x:c>
      <x:c r="M280" s="10" t="n">
        <x:v>0.4668437597344936</x:v>
      </x:c>
      <x:c r="N280" s="10" t="n">
        <x:v>0.4668437597344936</x:v>
      </x:c>
      <x:c r="O280" s="2" t="n">
        <x:v>2858</x:v>
      </x:c>
      <x:c r="P280" s="10" t="n">
        <x:v>0.8554488708114796</x:v>
      </x:c>
      <x:c r="Q280" s="10" t="n">
        <x:v>0.9228489894640701</x:v>
      </x:c>
    </x:row>
    <x:row r="281" ht="23" customHeight="1">
      <x:c r="A281" s="2" t="str">
        <x:v>Environment</x:v>
      </x:c>
      <x:c r="B281" s="2" t="n">
        <x:v>192</x:v>
      </x:c>
      <x:c r="C281" s="2" t="str">
        <x:v>MM-TSFlib</x:v>
      </x:c>
      <x:c r="D281" s="2" t="n">
        <x:v>2028</x:v>
      </x:c>
      <x:c r="E281" s="10" t="n">
        <x:v>0.424233536785341</x:v>
      </x:c>
      <x:c r="F281" s="10" t="n">
        <x:v>0.3823577142365823</x:v>
      </x:c>
      <x:c r="G281" s="10" t="n">
        <x:v>0.3823577142365823</x:v>
      </x:c>
      <x:c r="H281" s="11" t="n">
        <x:v>1</x:v>
      </x:c>
      <x:c r="I281" s="2" t="n">
        <x:v>8</x:v>
      </x:c>
      <x:c r="J281" s="2" t="n">
        <x:v>16</x:v>
      </x:c>
      <x:c r="K281" s="2" t="str">
        <x:v>已达到</x:v>
      </x:c>
      <x:c r="L281" s="10" t="n">
        <x:v>0.5187985242389241</x:v>
      </x:c>
      <x:c r="M281" s="10" t="n">
        <x:v>0.48927719909981726</x:v>
      </x:c>
      <x:c r="N281" s="10" t="n">
        <x:v>0.48927719909981726</x:v>
      </x:c>
      <x:c r="O281" s="2" t="n">
        <x:v>2858</x:v>
      </x:c>
      <x:c r="P281" s="10" t="n">
        <x:v>0.8731003692798249</x:v>
      </x:c>
      <x:c r="Q281" s="10" t="n">
        <x:v>0.9488200946712951</x:v>
      </x:c>
    </x:row>
    <x:row r="282" ht="23" customHeight="1">
      <x:c r="A282" s="2" t="str">
        <x:v>Environment</x:v>
      </x:c>
      <x:c r="B282" s="2" t="n">
        <x:v>192</x:v>
      </x:c>
      <x:c r="C282" s="2" t="str">
        <x:v>SpecTF</x:v>
      </x:c>
      <x:c r="D282" s="2" t="n">
        <x:v>2026</x:v>
      </x:c>
      <x:c r="E282" s="10" t="n">
        <x:v>0.3021611736934637</x:v>
      </x:c>
      <x:c r="F282" s="10" t="n">
        <x:v>0.2897245157671545</x:v>
      </x:c>
      <x:c r="G282" s="10" t="n">
        <x:v>0.2897245157671545</x:v>
      </x:c>
      <x:c r="H282" s="11" t="n">
        <x:v>1</x:v>
      </x:c>
      <x:c r="I282" s="2" t="n">
        <x:v>5</x:v>
      </x:c>
      <x:c r="J282" s="2" t="n">
        <x:v>13</x:v>
      </x:c>
      <x:c r="K282" s="2" t="str">
        <x:v>已达到</x:v>
      </x:c>
      <x:c r="L282" s="10" t="n">
        <x:v>0.4118383073853191</x:v>
      </x:c>
      <x:c r="M282" s="10" t="n">
        <x:v>0.39403454445534236</x:v>
      </x:c>
      <x:c r="N282" s="10" t="n">
        <x:v>0.39403454445534236</x:v>
      </x:c>
      <x:c r="O282" s="2" t="n">
        <x:v>2858</x:v>
      </x:c>
      <x:c r="P282" s="10" t="n">
        <x:v>0.8995823227181128</x:v>
      </x:c>
      <x:c r="Q282" s="10" t="n">
        <x:v>0.9368770022489217</x:v>
      </x:c>
    </x:row>
    <x:row r="283" ht="23" customHeight="1">
      <x:c r="A283" s="2" t="str">
        <x:v>Environment</x:v>
      </x:c>
      <x:c r="B283" s="2" t="n">
        <x:v>192</x:v>
      </x:c>
      <x:c r="C283" s="2" t="str">
        <x:v>SpecTF</x:v>
      </x:c>
      <x:c r="D283" s="2" t="n">
        <x:v>2027</x:v>
      </x:c>
      <x:c r="E283" s="10" t="n">
        <x:v>0.3021611736934637</x:v>
      </x:c>
      <x:c r="F283" s="10" t="n">
        <x:v>0.2974910326059679</x:v>
      </x:c>
      <x:c r="G283" s="10" t="n">
        <x:v>0.2974910326059679</x:v>
      </x:c>
      <x:c r="H283" s="11" t="n">
        <x:v>1</x:v>
      </x:c>
      <x:c r="I283" s="2" t="n">
        <x:v>6</x:v>
      </x:c>
      <x:c r="J283" s="2" t="n">
        <x:v>14</x:v>
      </x:c>
      <x:c r="K283" s="2" t="str">
        <x:v>已达到</x:v>
      </x:c>
      <x:c r="L283" s="10" t="n">
        <x:v>0.4118383073853191</x:v>
      </x:c>
      <x:c r="M283" s="10" t="n">
        <x:v>0.39835741329627766</x:v>
      </x:c>
      <x:c r="N283" s="10" t="n">
        <x:v>0.39835741329627766</x:v>
      </x:c>
      <x:c r="O283" s="2" t="n">
        <x:v>2858</x:v>
      </x:c>
      <x:c r="P283" s="10" t="n">
        <x:v>0.9113332763465625</x:v>
      </x:c>
      <x:c r="Q283" s="10" t="n">
        <x:v>0.9440227244574955</x:v>
      </x:c>
    </x:row>
    <x:row r="284" ht="23" customHeight="1">
      <x:c r="A284" s="2" t="str">
        <x:v>Environment</x:v>
      </x:c>
      <x:c r="B284" s="2" t="n">
        <x:v>192</x:v>
      </x:c>
      <x:c r="C284" s="2" t="str">
        <x:v>SpecTF</x:v>
      </x:c>
      <x:c r="D284" s="2" t="n">
        <x:v>2028</x:v>
      </x:c>
      <x:c r="E284" s="10" t="n">
        <x:v>0.3021611736934637</x:v>
      </x:c>
      <x:c r="F284" s="10" t="n">
        <x:v>0.29673888649472513</x:v>
      </x:c>
      <x:c r="G284" s="10" t="n">
        <x:v>0.29673888649472513</x:v>
      </x:c>
      <x:c r="H284" s="11" t="n">
        <x:v>1</x:v>
      </x:c>
      <x:c r="I284" s="2" t="n">
        <x:v>8</x:v>
      </x:c>
      <x:c r="J284" s="2" t="n">
        <x:v>16</x:v>
      </x:c>
      <x:c r="K284" s="2" t="str">
        <x:v>已达到</x:v>
      </x:c>
      <x:c r="L284" s="10" t="n">
        <x:v>0.4118383073853191</x:v>
      </x:c>
      <x:c r="M284" s="10" t="n">
        <x:v>0.4014786492477593</x:v>
      </x:c>
      <x:c r="N284" s="10" t="n">
        <x:v>0.4014786492477593</x:v>
      </x:c>
      <x:c r="O284" s="2" t="n">
        <x:v>2858</x:v>
      </x:c>
      <x:c r="P284" s="10" t="n">
        <x:v>0.8656600996626171</x:v>
      </x:c>
      <x:c r="Q284" s="10" t="n">
        <x:v>0.9162266781034248</x:v>
      </x:c>
    </x:row>
    <x:row r="285" ht="23" customHeight="1">
      <x:c r="A285" s="2" t="str">
        <x:v>Environment</x:v>
      </x:c>
      <x:c r="B285" s="2" t="n">
        <x:v>192</x:v>
      </x:c>
      <x:c r="C285" s="2" t="str">
        <x:v>CFA</x:v>
      </x:c>
      <x:c r="D285" s="2" t="n">
        <x:v>2026</x:v>
      </x:c>
      <x:c r="E285" s="10" t="n">
        <x:v>0.35717743889884385</x:v>
      </x:c>
      <x:c r="F285" s="10" t="n">
        <x:v>0.35229473833594116</x:v>
      </x:c>
      <x:c r="G285" s="10" t="n">
        <x:v>0.35262232209275046</x:v>
      </x:c>
      <x:c r="H285" s="11" t="n">
        <x:v>0.75</x:v>
      </x:c>
      <x:c r="I285" s="2" t="n">
        <x:v>5</x:v>
      </x:c>
      <x:c r="J285" s="2" t="n">
        <x:v>13</x:v>
      </x:c>
      <x:c r="K285" s="2" t="str">
        <x:v>已达到</x:v>
      </x:c>
      <x:c r="L285" s="10" t="n">
        <x:v>0.41298422695429216</x:v>
      </x:c>
      <x:c r="M285" s="10" t="n">
        <x:v>0.4112018348816151</x:v>
      </x:c>
      <x:c r="N285" s="10" t="n">
        <x:v>0.4109089691884</x:v>
      </x:c>
      <x:c r="O285" s="2" t="n">
        <x:v>2858</x:v>
      </x:c>
      <x:c r="P285" s="10" t="n">
        <x:v>0.9885388771113941</x:v>
      </x:c>
      <x:c r="Q285" s="10" t="n">
        <x:v>0.9977275590454283</x:v>
      </x:c>
    </x:row>
    <x:row r="286" ht="23" customHeight="1">
      <x:c r="A286" s="2" t="str">
        <x:v>Environment</x:v>
      </x:c>
      <x:c r="B286" s="2" t="n">
        <x:v>192</x:v>
      </x:c>
      <x:c r="C286" s="2" t="str">
        <x:v>CFA</x:v>
      </x:c>
      <x:c r="D286" s="2" t="n">
        <x:v>2027</x:v>
      </x:c>
      <x:c r="E286" s="10" t="n">
        <x:v>0.35717743889884385</x:v>
      </x:c>
      <x:c r="F286" s="10" t="n">
        <x:v>0.3608351102513501</x:v>
      </x:c>
      <x:c r="G286" s="10" t="n">
        <x:v>0.3568377730877652</x:v>
      </x:c>
      <x:c r="H286" s="11" t="n">
        <x:v>0.25</x:v>
      </x:c>
      <x:c r="I286" s="2" t="n">
        <x:v>6</x:v>
      </x:c>
      <x:c r="J286" s="2" t="n">
        <x:v>14</x:v>
      </x:c>
      <x:c r="K286" s="2" t="str">
        <x:v>已达到</x:v>
      </x:c>
      <x:c r="L286" s="10" t="n">
        <x:v>0.41298422695429216</x:v>
      </x:c>
      <x:c r="M286" s="10" t="n">
        <x:v>0.4138307621111371</x:v>
      </x:c>
      <x:c r="N286" s="10" t="n">
        <x:v>0.4122782920026617</x:v>
      </x:c>
      <x:c r="O286" s="2" t="n">
        <x:v>2858</x:v>
      </x:c>
      <x:c r="P286" s="10" t="n">
        <x:v>0.9988321606263519</x:v>
      </x:c>
      <x:c r="Q286" s="10" t="n">
        <x:v>0.9990498017623463</x:v>
      </x:c>
    </x:row>
    <x:row r="287" ht="23" customHeight="1">
      <x:c r="A287" s="2" t="str">
        <x:v>Environment</x:v>
      </x:c>
      <x:c r="B287" s="2" t="n">
        <x:v>192</x:v>
      </x:c>
      <x:c r="C287" s="2" t="str">
        <x:v>CFA</x:v>
      </x:c>
      <x:c r="D287" s="2" t="n">
        <x:v>2028</x:v>
      </x:c>
      <x:c r="E287" s="10" t="n">
        <x:v>0.35717743889884385</x:v>
      </x:c>
      <x:c r="F287" s="10" t="n">
        <x:v>0.3618494820464599</x:v>
      </x:c>
      <x:c r="G287" s="10" t="n">
        <x:v>0.3531785992474301</x:v>
      </x:c>
      <x:c r="H287" s="11" t="n">
        <x:v>0.25</x:v>
      </x:c>
      <x:c r="I287" s="2" t="n">
        <x:v>8</x:v>
      </x:c>
      <x:c r="J287" s="2" t="n">
        <x:v>16</x:v>
      </x:c>
      <x:c r="K287" s="2" t="str">
        <x:v>已达到</x:v>
      </x:c>
      <x:c r="L287" s="10" t="n">
        <x:v>0.41298422695429216</x:v>
      </x:c>
      <x:c r="M287" s="10" t="n">
        <x:v>0.42599994269072394</x:v>
      </x:c>
      <x:c r="N287" s="10" t="n">
        <x:v>0.41228527164246875</x:v>
      </x:c>
      <x:c r="O287" s="2" t="n">
        <x:v>2858</x:v>
      </x:c>
      <x:c r="P287" s="10" t="n">
        <x:v>0.9858195083049344</x:v>
      </x:c>
      <x:c r="Q287" s="10" t="n">
        <x:v>0.9975572649100771</x:v>
      </x:c>
    </x:row>
    <x:row r="288" ht="23" customHeight="1">
      <x:c r="A288" s="2" t="str">
        <x:v>Environment</x:v>
      </x:c>
      <x:c r="B288" s="2" t="n">
        <x:v>192</x:v>
      </x:c>
      <x:c r="C288" s="2" t="str">
        <x:v>Aurora</x:v>
      </x:c>
      <x:c r="D288" s="2" t="n">
        <x:v>2026</x:v>
      </x:c>
      <x:c r="E288" s="10" t="n">
        <x:v>0.4248413094029132</x:v>
      </x:c>
      <x:c r="F288" s="10" t="n">
        <x:v>0.42849369300022033</x:v>
      </x:c>
      <x:c r="G288" s="10" t="n">
        <x:v>0.4248413094029132</x:v>
      </x:c>
      <x:c r="H288" s="11" t="n">
        <x:v>0</x:v>
      </x:c>
      <x:c r="I288" s="2" t="n">
        <x:v>5</x:v>
      </x:c>
      <x:c r="J288" s="2" t="n">
        <x:v>13</x:v>
      </x:c>
      <x:c r="K288" s="2" t="str">
        <x:v>已达到</x:v>
      </x:c>
      <x:c r="L288" s="10" t="n">
        <x:v>0.46477970030512444</x:v>
      </x:c>
      <x:c r="M288" s="10" t="n">
        <x:v>0.46760094905477284</x:v>
      </x:c>
      <x:c r="N288" s="10" t="n">
        <x:v>0.46477970030512444</x:v>
      </x:c>
      <x:c r="O288" s="2" t="n">
        <x:v>2858</x:v>
      </x:c>
      <x:c r="P288" s="10" t="n">
        <x:v>1</x:v>
      </x:c>
      <x:c r="Q288" s="10" t="n">
        <x:v>1</x:v>
      </x:c>
    </x:row>
    <x:row r="289" ht="23" customHeight="1">
      <x:c r="A289" s="2" t="str">
        <x:v>Environment</x:v>
      </x:c>
      <x:c r="B289" s="2" t="n">
        <x:v>192</x:v>
      </x:c>
      <x:c r="C289" s="2" t="str">
        <x:v>Aurora</x:v>
      </x:c>
      <x:c r="D289" s="2" t="n">
        <x:v>2027</x:v>
      </x:c>
      <x:c r="E289" s="10" t="n">
        <x:v>0.4248413094029132</x:v>
      </x:c>
      <x:c r="F289" s="10" t="n">
        <x:v>0.4270504437573323</x:v>
      </x:c>
      <x:c r="G289" s="10" t="n">
        <x:v>0.42334405810891845</x:v>
      </x:c>
      <x:c r="H289" s="11" t="n">
        <x:v>0.25</x:v>
      </x:c>
      <x:c r="I289" s="2" t="n">
        <x:v>6</x:v>
      </x:c>
      <x:c r="J289" s="2" t="n">
        <x:v>14</x:v>
      </x:c>
      <x:c r="K289" s="2" t="str">
        <x:v>已达到</x:v>
      </x:c>
      <x:c r="L289" s="10" t="n">
        <x:v>0.46477970030512444</x:v>
      </x:c>
      <x:c r="M289" s="10" t="n">
        <x:v>0.4639888163600944</x:v>
      </x:c>
      <x:c r="N289" s="10" t="n">
        <x:v>0.4631715615429924</x:v>
      </x:c>
      <x:c r="O289" s="2" t="n">
        <x:v>2858</x:v>
      </x:c>
      <x:c r="P289" s="10" t="n">
        <x:v>0.999637879549217</x:v>
      </x:c>
      <x:c r="Q289" s="10" t="n">
        <x:v>0.9991191509021389</x:v>
      </x:c>
    </x:row>
    <x:row r="290" ht="23" customHeight="1">
      <x:c r="A290" s="2" t="str">
        <x:v>Environment</x:v>
      </x:c>
      <x:c r="B290" s="2" t="n">
        <x:v>192</x:v>
      </x:c>
      <x:c r="C290" s="2" t="str">
        <x:v>Aurora</x:v>
      </x:c>
      <x:c r="D290" s="2" t="n">
        <x:v>2028</x:v>
      </x:c>
      <x:c r="E290" s="10" t="n">
        <x:v>0.4248413094029132</x:v>
      </x:c>
      <x:c r="F290" s="10" t="n">
        <x:v>0.44495195517962877</x:v>
      </x:c>
      <x:c r="G290" s="10" t="n">
        <x:v>0.4248413094029132</x:v>
      </x:c>
      <x:c r="H290" s="11" t="n">
        <x:v>0</x:v>
      </x:c>
      <x:c r="I290" s="2" t="n">
        <x:v>8</x:v>
      </x:c>
      <x:c r="J290" s="2" t="n">
        <x:v>16</x:v>
      </x:c>
      <x:c r="K290" s="2" t="str">
        <x:v>已达到</x:v>
      </x:c>
      <x:c r="L290" s="10" t="n">
        <x:v>0.46477970030512444</x:v>
      </x:c>
      <x:c r="M290" s="10" t="n">
        <x:v>0.47857606525628554</x:v>
      </x:c>
      <x:c r="N290" s="10" t="n">
        <x:v>0.46477970030512444</x:v>
      </x:c>
      <x:c r="O290" s="2" t="n">
        <x:v>2858</x:v>
      </x:c>
      <x:c r="P290" s="10" t="n">
        <x:v>1</x:v>
      </x:c>
      <x:c r="Q290" s="10" t="n">
        <x:v>1</x:v>
      </x:c>
    </x:row>
    <x:row r="291" ht="23" customHeight="1">
      <x:c r="A291" s="2" t="str">
        <x:v>Environment</x:v>
      </x:c>
      <x:c r="B291" s="2" t="n">
        <x:v>336</x:v>
      </x:c>
      <x:c r="C291" s="2" t="str">
        <x:v>TaTS</x:v>
      </x:c>
      <x:c r="D291" s="2" t="n">
        <x:v>2026</x:v>
      </x:c>
      <x:c r="E291" s="10" t="n">
        <x:v>0.3033101027995199</x:v>
      </x:c>
      <x:c r="F291" s="10" t="n">
        <x:v>0.2829380154842996</x:v>
      </x:c>
      <x:c r="G291" s="10" t="n">
        <x:v>0.2829380154842996</x:v>
      </x:c>
      <x:c r="H291" s="11" t="n">
        <x:v>1</x:v>
      </x:c>
      <x:c r="I291" s="2" t="n">
        <x:v>10</x:v>
      </x:c>
      <x:c r="J291" s="2" t="n">
        <x:v>18</x:v>
      </x:c>
      <x:c r="K291" s="2" t="str">
        <x:v>已达到</x:v>
      </x:c>
      <x:c r="L291" s="10" t="n">
        <x:v>0.4324199708525749</x:v>
      </x:c>
      <x:c r="M291" s="10" t="n">
        <x:v>0.4124020798638512</x:v>
      </x:c>
      <x:c r="N291" s="10" t="n">
        <x:v>0.4124020798638512</x:v>
      </x:c>
      <x:c r="O291" s="2" t="n">
        <x:v>2714</x:v>
      </x:c>
      <x:c r="P291" s="10" t="n">
        <x:v>0.8758655401534955</x:v>
      </x:c>
      <x:c r="Q291" s="10" t="n">
        <x:v>0.9315515699413199</x:v>
      </x:c>
    </x:row>
    <x:row r="292" ht="23" customHeight="1">
      <x:c r="A292" s="2" t="str">
        <x:v>Environment</x:v>
      </x:c>
      <x:c r="B292" s="2" t="n">
        <x:v>336</x:v>
      </x:c>
      <x:c r="C292" s="2" t="str">
        <x:v>TaTS</x:v>
      </x:c>
      <x:c r="D292" s="2" t="n">
        <x:v>2027</x:v>
      </x:c>
      <x:c r="E292" s="10" t="n">
        <x:v>0.3033101027995199</x:v>
      </x:c>
      <x:c r="F292" s="10" t="n">
        <x:v>0.28817416623031467</x:v>
      </x:c>
      <x:c r="G292" s="10" t="n">
        <x:v>0.28817416623031467</x:v>
      </x:c>
      <x:c r="H292" s="11" t="n">
        <x:v>1</x:v>
      </x:c>
      <x:c r="I292" s="2" t="n">
        <x:v>13</x:v>
      </x:c>
      <x:c r="J292" s="2" t="n">
        <x:v>21</x:v>
      </x:c>
      <x:c r="K292" s="2" t="str">
        <x:v>已达到</x:v>
      </x:c>
      <x:c r="L292" s="10" t="n">
        <x:v>0.4324199708525749</x:v>
      </x:c>
      <x:c r="M292" s="10" t="n">
        <x:v>0.41345281854631644</x:v>
      </x:c>
      <x:c r="N292" s="10" t="n">
        <x:v>0.41345281854631644</x:v>
      </x:c>
      <x:c r="O292" s="2" t="n">
        <x:v>2714</x:v>
      </x:c>
      <x:c r="P292" s="10" t="n">
        <x:v>0.8914075705363849</x:v>
      </x:c>
      <x:c r="Q292" s="10" t="n">
        <x:v>0.9385034690214342</x:v>
      </x:c>
    </x:row>
    <x:row r="293" ht="23" customHeight="1">
      <x:c r="A293" s="2" t="str">
        <x:v>Environment</x:v>
      </x:c>
      <x:c r="B293" s="2" t="n">
        <x:v>336</x:v>
      </x:c>
      <x:c r="C293" s="2" t="str">
        <x:v>TaTS</x:v>
      </x:c>
      <x:c r="D293" s="2" t="n">
        <x:v>2028</x:v>
      </x:c>
      <x:c r="E293" s="10" t="n">
        <x:v>0.3033101027995199</x:v>
      </x:c>
      <x:c r="F293" s="10" t="n">
        <x:v>0.2756468464652299</x:v>
      </x:c>
      <x:c r="G293" s="10" t="n">
        <x:v>0.2756468464652299</x:v>
      </x:c>
      <x:c r="H293" s="11" t="n">
        <x:v>1</x:v>
      </x:c>
      <x:c r="I293" s="2" t="n">
        <x:v>11</x:v>
      </x:c>
      <x:c r="J293" s="2" t="n">
        <x:v>19</x:v>
      </x:c>
      <x:c r="K293" s="2" t="str">
        <x:v>已达到</x:v>
      </x:c>
      <x:c r="L293" s="10" t="n">
        <x:v>0.4324199708525749</x:v>
      </x:c>
      <x:c r="M293" s="10" t="n">
        <x:v>0.40383394785269366</x:v>
      </x:c>
      <x:c r="N293" s="10" t="n">
        <x:v>0.40383394785269366</x:v>
      </x:c>
      <x:c r="O293" s="2" t="n">
        <x:v>2714</x:v>
      </x:c>
      <x:c r="P293" s="10" t="n">
        <x:v>0.8510646183638505</x:v>
      </x:c>
      <x:c r="Q293" s="10" t="n">
        <x:v>0.9110752835681045</x:v>
      </x:c>
    </x:row>
    <x:row r="294" ht="23" customHeight="1">
      <x:c r="A294" s="2" t="str">
        <x:v>Environment</x:v>
      </x:c>
      <x:c r="B294" s="2" t="n">
        <x:v>336</x:v>
      </x:c>
      <x:c r="C294" s="2" t="str">
        <x:v>MM-TSFlib</x:v>
      </x:c>
      <x:c r="D294" s="2" t="n">
        <x:v>2026</x:v>
      </x:c>
      <x:c r="E294" s="10" t="n">
        <x:v>0.4371093961378358</x:v>
      </x:c>
      <x:c r="F294" s="10" t="n">
        <x:v>0.38792568989035037</x:v>
      </x:c>
      <x:c r="G294" s="10" t="n">
        <x:v>0.38792568989035037</x:v>
      </x:c>
      <x:c r="H294" s="11" t="n">
        <x:v>1</x:v>
      </x:c>
      <x:c r="I294" s="2" t="n">
        <x:v>10</x:v>
      </x:c>
      <x:c r="J294" s="2" t="n">
        <x:v>18</x:v>
      </x:c>
      <x:c r="K294" s="2" t="str">
        <x:v>已达到</x:v>
      </x:c>
      <x:c r="L294" s="10" t="n">
        <x:v>0.5207986573842119</x:v>
      </x:c>
      <x:c r="M294" s="10" t="n">
        <x:v>0.4851971544966738</x:v>
      </x:c>
      <x:c r="N294" s="10" t="n">
        <x:v>0.4851971544966738</x:v>
      </x:c>
      <x:c r="O294" s="2" t="n">
        <x:v>2714</x:v>
      </x:c>
      <x:c r="P294" s="10" t="n">
        <x:v>0.883184035337934</x:v>
      </x:c>
      <x:c r="Q294" s="10" t="n">
        <x:v>0.9381162108765642</x:v>
      </x:c>
    </x:row>
    <x:row r="295" ht="23" customHeight="1">
      <x:c r="A295" s="2" t="str">
        <x:v>Environment</x:v>
      </x:c>
      <x:c r="B295" s="2" t="n">
        <x:v>336</x:v>
      </x:c>
      <x:c r="C295" s="2" t="str">
        <x:v>MM-TSFlib</x:v>
      </x:c>
      <x:c r="D295" s="2" t="n">
        <x:v>2027</x:v>
      </x:c>
      <x:c r="E295" s="10" t="n">
        <x:v>0.4371093961378358</x:v>
      </x:c>
      <x:c r="F295" s="10" t="n">
        <x:v>0.3814334127361245</x:v>
      </x:c>
      <x:c r="G295" s="10" t="n">
        <x:v>0.3814334127361245</x:v>
      </x:c>
      <x:c r="H295" s="11" t="n">
        <x:v>1</x:v>
      </x:c>
      <x:c r="I295" s="2" t="n">
        <x:v>13</x:v>
      </x:c>
      <x:c r="J295" s="2" t="n">
        <x:v>21</x:v>
      </x:c>
      <x:c r="K295" s="2" t="str">
        <x:v>已达到</x:v>
      </x:c>
      <x:c r="L295" s="10" t="n">
        <x:v>0.5207986573842119</x:v>
      </x:c>
      <x:c r="M295" s="10" t="n">
        <x:v>0.4770084077999302</x:v>
      </x:c>
      <x:c r="N295" s="10" t="n">
        <x:v>0.4770084077999302</x:v>
      </x:c>
      <x:c r="O295" s="2" t="n">
        <x:v>2714</x:v>
      </x:c>
      <x:c r="P295" s="10" t="n">
        <x:v>0.8727744871209842</x:v>
      </x:c>
      <x:c r="Q295" s="10" t="n">
        <x:v>0.9287977015116388</x:v>
      </x:c>
    </x:row>
    <x:row r="296" ht="23" customHeight="1">
      <x:c r="A296" s="2" t="str">
        <x:v>Environment</x:v>
      </x:c>
      <x:c r="B296" s="2" t="n">
        <x:v>336</x:v>
      </x:c>
      <x:c r="C296" s="2" t="str">
        <x:v>MM-TSFlib</x:v>
      </x:c>
      <x:c r="D296" s="2" t="n">
        <x:v>2028</x:v>
      </x:c>
      <x:c r="E296" s="10" t="n">
        <x:v>0.4371093961378358</x:v>
      </x:c>
      <x:c r="F296" s="10" t="n">
        <x:v>0.37668563353992784</x:v>
      </x:c>
      <x:c r="G296" s="10" t="n">
        <x:v>0.37668563353992784</x:v>
      </x:c>
      <x:c r="H296" s="11" t="n">
        <x:v>1</x:v>
      </x:c>
      <x:c r="I296" s="2" t="n">
        <x:v>11</x:v>
      </x:c>
      <x:c r="J296" s="2" t="n">
        <x:v>19</x:v>
      </x:c>
      <x:c r="K296" s="2" t="str">
        <x:v>已达到</x:v>
      </x:c>
      <x:c r="L296" s="10" t="n">
        <x:v>0.5207986573842119</x:v>
      </x:c>
      <x:c r="M296" s="10" t="n">
        <x:v>0.4747346117795455</x:v>
      </x:c>
      <x:c r="N296" s="10" t="n">
        <x:v>0.4747346117795455</x:v>
      </x:c>
      <x:c r="O296" s="2" t="n">
        <x:v>2714</x:v>
      </x:c>
      <x:c r="P296" s="10" t="n">
        <x:v>0.8622713249267308</x:v>
      </x:c>
      <x:c r="Q296" s="10" t="n">
        <x:v>0.9217897108845371</x:v>
      </x:c>
    </x:row>
    <x:row r="297" ht="23" customHeight="1">
      <x:c r="A297" s="2" t="str">
        <x:v>Environment</x:v>
      </x:c>
      <x:c r="B297" s="2" t="n">
        <x:v>336</x:v>
      </x:c>
      <x:c r="C297" s="2" t="str">
        <x:v>SpecTF</x:v>
      </x:c>
      <x:c r="D297" s="2" t="n">
        <x:v>2026</x:v>
      </x:c>
      <x:c r="E297" s="10" t="n">
        <x:v>0.3039387794760956</x:v>
      </x:c>
      <x:c r="F297" s="10" t="n">
        <x:v>0.30164840917011837</x:v>
      </x:c>
      <x:c r="G297" s="10" t="n">
        <x:v>0.30164840917011837</x:v>
      </x:c>
      <x:c r="H297" s="11" t="n">
        <x:v>1</x:v>
      </x:c>
      <x:c r="I297" s="2" t="n">
        <x:v>10</x:v>
      </x:c>
      <x:c r="J297" s="2" t="n">
        <x:v>18</x:v>
      </x:c>
      <x:c r="K297" s="2" t="str">
        <x:v>已达到</x:v>
      </x:c>
      <x:c r="L297" s="10" t="n">
        <x:v>0.4100298751343203</x:v>
      </x:c>
      <x:c r="M297" s="10" t="n">
        <x:v>0.4028126310724085</x:v>
      </x:c>
      <x:c r="N297" s="10" t="n">
        <x:v>0.4028126310724085</x:v>
      </x:c>
      <x:c r="O297" s="2" t="n">
        <x:v>2714</x:v>
      </x:c>
      <x:c r="P297" s="10" t="n">
        <x:v>0.9106885803632861</x:v>
      </x:c>
      <x:c r="Q297" s="10" t="n">
        <x:v>0.9450689153302664</x:v>
      </x:c>
    </x:row>
    <x:row r="298" ht="23" customHeight="1">
      <x:c r="A298" s="2" t="str">
        <x:v>Environment</x:v>
      </x:c>
      <x:c r="B298" s="2" t="n">
        <x:v>336</x:v>
      </x:c>
      <x:c r="C298" s="2" t="str">
        <x:v>SpecTF</x:v>
      </x:c>
      <x:c r="D298" s="2" t="n">
        <x:v>2027</x:v>
      </x:c>
      <x:c r="E298" s="10" t="n">
        <x:v>0.3039387794760956</x:v>
      </x:c>
      <x:c r="F298" s="10" t="n">
        <x:v>0.3092504398072991</x:v>
      </x:c>
      <x:c r="G298" s="10" t="n">
        <x:v>0.3092504398072991</x:v>
      </x:c>
      <x:c r="H298" s="11" t="n">
        <x:v>1</x:v>
      </x:c>
      <x:c r="I298" s="2" t="n">
        <x:v>13</x:v>
      </x:c>
      <x:c r="J298" s="2" t="n">
        <x:v>21</x:v>
      </x:c>
      <x:c r="K298" s="2" t="str">
        <x:v>已达到</x:v>
      </x:c>
      <x:c r="L298" s="10" t="n">
        <x:v>0.4100298751343203</x:v>
      </x:c>
      <x:c r="M298" s="10" t="n">
        <x:v>0.40775457751493394</x:v>
      </x:c>
      <x:c r="N298" s="10" t="n">
        <x:v>0.40775457751493394</x:v>
      </x:c>
      <x:c r="O298" s="2" t="n">
        <x:v>2714</x:v>
      </x:c>
      <x:c r="P298" s="10" t="n">
        <x:v>0.9272940694751418</x:v>
      </x:c>
      <x:c r="Q298" s="10" t="n">
        <x:v>0.9548249957753685</x:v>
      </x:c>
    </x:row>
    <x:row r="299" ht="23" customHeight="1">
      <x:c r="A299" s="2" t="str">
        <x:v>Environment</x:v>
      </x:c>
      <x:c r="B299" s="2" t="n">
        <x:v>336</x:v>
      </x:c>
      <x:c r="C299" s="2" t="str">
        <x:v>SpecTF</x:v>
      </x:c>
      <x:c r="D299" s="2" t="n">
        <x:v>2028</x:v>
      </x:c>
      <x:c r="E299" s="10" t="n">
        <x:v>0.3039387794760956</x:v>
      </x:c>
      <x:c r="F299" s="10" t="n">
        <x:v>0.3007033277626842</x:v>
      </x:c>
      <x:c r="G299" s="10" t="n">
        <x:v>0.3007033277626842</x:v>
      </x:c>
      <x:c r="H299" s="11" t="n">
        <x:v>1</x:v>
      </x:c>
      <x:c r="I299" s="2" t="n">
        <x:v>11</x:v>
      </x:c>
      <x:c r="J299" s="2" t="n">
        <x:v>19</x:v>
      </x:c>
      <x:c r="K299" s="2" t="str">
        <x:v>已达到</x:v>
      </x:c>
      <x:c r="L299" s="10" t="n">
        <x:v>0.4100298751343203</x:v>
      </x:c>
      <x:c r="M299" s="10" t="n">
        <x:v>0.3989112569633262</x:v>
      </x:c>
      <x:c r="N299" s="10" t="n">
        <x:v>0.3989112569633262</x:v>
      </x:c>
      <x:c r="O299" s="2" t="n">
        <x:v>2714</x:v>
      </x:c>
      <x:c r="P299" s="10" t="n">
        <x:v>0.9028575374757596</x:v>
      </x:c>
      <x:c r="Q299" s="10" t="n">
        <x:v>0.9318529675592903</x:v>
      </x:c>
    </x:row>
    <x:row r="300" ht="23" customHeight="1">
      <x:c r="A300" s="2" t="str">
        <x:v>Environment</x:v>
      </x:c>
      <x:c r="B300" s="2" t="n">
        <x:v>336</x:v>
      </x:c>
      <x:c r="C300" s="2" t="str">
        <x:v>CFA</x:v>
      </x:c>
      <x:c r="D300" s="2" t="n">
        <x:v>2026</x:v>
      </x:c>
      <x:c r="E300" s="10" t="n">
        <x:v>0.34801837631476107</x:v>
      </x:c>
      <x:c r="F300" s="10" t="n">
        <x:v>0.35462686286076445</x:v>
      </x:c>
      <x:c r="G300" s="10" t="n">
        <x:v>0.3471385753643275</x:v>
      </x:c>
      <x:c r="H300" s="11" t="n">
        <x:v>0.25</x:v>
      </x:c>
      <x:c r="I300" s="2" t="n">
        <x:v>10</x:v>
      </x:c>
      <x:c r="J300" s="2" t="n">
        <x:v>18</x:v>
      </x:c>
      <x:c r="K300" s="2" t="str">
        <x:v>已达到</x:v>
      </x:c>
      <x:c r="L300" s="10" t="n">
        <x:v>0.4114714629534046</x:v>
      </x:c>
      <x:c r="M300" s="10" t="n">
        <x:v>0.42397706038659627</x:v>
      </x:c>
      <x:c r="N300" s="10" t="n">
        <x:v>0.41269318348901185</x:v>
      </x:c>
      <x:c r="O300" s="2" t="n">
        <x:v>2714</x:v>
      </x:c>
      <x:c r="P300" s="10" t="n">
        <x:v>0.9916436304066814</x:v>
      </x:c>
      <x:c r="Q300" s="10" t="n">
        <x:v>0.9990553690612375</x:v>
      </x:c>
    </x:row>
    <x:row r="301" ht="23" customHeight="1">
      <x:c r="A301" s="2" t="str">
        <x:v>Environment</x:v>
      </x:c>
      <x:c r="B301" s="2" t="n">
        <x:v>336</x:v>
      </x:c>
      <x:c r="C301" s="2" t="str">
        <x:v>CFA</x:v>
      </x:c>
      <x:c r="D301" s="2" t="n">
        <x:v>2027</x:v>
      </x:c>
      <x:c r="E301" s="10" t="n">
        <x:v>0.34801837631476107</x:v>
      </x:c>
      <x:c r="F301" s="10" t="n">
        <x:v>0.36555141243541234</x:v>
      </x:c>
      <x:c r="G301" s="10" t="n">
        <x:v>0.34801837631476107</x:v>
      </x:c>
      <x:c r="H301" s="11" t="n">
        <x:v>0</x:v>
      </x:c>
      <x:c r="I301" s="2" t="n">
        <x:v>13</x:v>
      </x:c>
      <x:c r="J301" s="2" t="n">
        <x:v>21</x:v>
      </x:c>
      <x:c r="K301" s="2" t="str">
        <x:v>已达到</x:v>
      </x:c>
      <x:c r="L301" s="10" t="n">
        <x:v>0.4114714629534046</x:v>
      </x:c>
      <x:c r="M301" s="10" t="n">
        <x:v>0.4282254364932199</x:v>
      </x:c>
      <x:c r="N301" s="10" t="n">
        <x:v>0.4114714629534046</x:v>
      </x:c>
      <x:c r="O301" s="2" t="n">
        <x:v>2714</x:v>
      </x:c>
      <x:c r="P301" s="10" t="n">
        <x:v>1</x:v>
      </x:c>
      <x:c r="Q301" s="10" t="n">
        <x:v>1</x:v>
      </x:c>
    </x:row>
    <x:row r="302" ht="23" customHeight="1">
      <x:c r="A302" s="2" t="str">
        <x:v>Environment</x:v>
      </x:c>
      <x:c r="B302" s="2" t="n">
        <x:v>336</x:v>
      </x:c>
      <x:c r="C302" s="2" t="str">
        <x:v>CFA</x:v>
      </x:c>
      <x:c r="D302" s="2" t="n">
        <x:v>2028</x:v>
      </x:c>
      <x:c r="E302" s="10" t="n">
        <x:v>0.34801837631476107</x:v>
      </x:c>
      <x:c r="F302" s="10" t="n">
        <x:v>0.3566348703070161</x:v>
      </x:c>
      <x:c r="G302" s="10" t="n">
        <x:v>0.34769068619306603</x:v>
      </x:c>
      <x:c r="H302" s="11" t="n">
        <x:v>0.25</x:v>
      </x:c>
      <x:c r="I302" s="2" t="n">
        <x:v>11</x:v>
      </x:c>
      <x:c r="J302" s="2" t="n">
        <x:v>19</x:v>
      </x:c>
      <x:c r="K302" s="2" t="str">
        <x:v>已达到</x:v>
      </x:c>
      <x:c r="L302" s="10" t="n">
        <x:v>0.4114714629534046</x:v>
      </x:c>
      <x:c r="M302" s="10" t="n">
        <x:v>0.420497576412567</x:v>
      </x:c>
      <x:c r="N302" s="10" t="n">
        <x:v>0.41177614584886113</x:v>
      </x:c>
      <x:c r="O302" s="2" t="n">
        <x:v>2714</x:v>
      </x:c>
      <x:c r="P302" s="10" t="n">
        <x:v>0.998362647888501</x:v>
      </x:c>
      <x:c r="Q302" s="10" t="n">
        <x:v>0.9997430004506027</x:v>
      </x:c>
    </x:row>
    <x:row r="303" ht="23" customHeight="1">
      <x:c r="A303" s="2" t="str">
        <x:v>Environment</x:v>
      </x:c>
      <x:c r="B303" s="2" t="n">
        <x:v>336</x:v>
      </x:c>
      <x:c r="C303" s="2" t="str">
        <x:v>Aurora</x:v>
      </x:c>
      <x:c r="D303" s="2" t="n">
        <x:v>2026</x:v>
      </x:c>
      <x:c r="E303" s="10" t="n">
        <x:v>0.4190524482224486</x:v>
      </x:c>
      <x:c r="F303" s="10" t="n">
        <x:v>0.43297326926946883</x:v>
      </x:c>
      <x:c r="G303" s="10" t="n">
        <x:v>0.4190524482224486</x:v>
      </x:c>
      <x:c r="H303" s="11" t="n">
        <x:v>0</x:v>
      </x:c>
      <x:c r="I303" s="2" t="n">
        <x:v>10</x:v>
      </x:c>
      <x:c r="J303" s="2" t="n">
        <x:v>18</x:v>
      </x:c>
      <x:c r="K303" s="2" t="str">
        <x:v>已达到</x:v>
      </x:c>
      <x:c r="L303" s="10" t="n">
        <x:v>0.46566729071656165</x:v>
      </x:c>
      <x:c r="M303" s="10" t="n">
        <x:v>0.4756128806229786</x:v>
      </x:c>
      <x:c r="N303" s="10" t="n">
        <x:v>0.46566729071656165</x:v>
      </x:c>
      <x:c r="O303" s="2" t="n">
        <x:v>2714</x:v>
      </x:c>
      <x:c r="P303" s="10" t="n">
        <x:v>1</x:v>
      </x:c>
      <x:c r="Q303" s="10" t="n">
        <x:v>1</x:v>
      </x:c>
    </x:row>
    <x:row r="304" ht="23" customHeight="1">
      <x:c r="A304" s="2" t="str">
        <x:v>Environment</x:v>
      </x:c>
      <x:c r="B304" s="2" t="n">
        <x:v>336</x:v>
      </x:c>
      <x:c r="C304" s="2" t="str">
        <x:v>Aurora</x:v>
      </x:c>
      <x:c r="D304" s="2" t="n">
        <x:v>2027</x:v>
      </x:c>
      <x:c r="E304" s="10" t="n">
        <x:v>0.4190524482224486</x:v>
      </x:c>
      <x:c r="F304" s="10" t="n">
        <x:v>0.43714681312709175</x:v>
      </x:c>
      <x:c r="G304" s="10" t="n">
        <x:v>0.4190524482224486</x:v>
      </x:c>
      <x:c r="H304" s="11" t="n">
        <x:v>0</x:v>
      </x:c>
      <x:c r="I304" s="2" t="n">
        <x:v>13</x:v>
      </x:c>
      <x:c r="J304" s="2" t="n">
        <x:v>21</x:v>
      </x:c>
      <x:c r="K304" s="2" t="str">
        <x:v>已达到</x:v>
      </x:c>
      <x:c r="L304" s="10" t="n">
        <x:v>0.46566729071656165</x:v>
      </x:c>
      <x:c r="M304" s="10" t="n">
        <x:v>0.47469868583081976</x:v>
      </x:c>
      <x:c r="N304" s="10" t="n">
        <x:v>0.46566729071656165</x:v>
      </x:c>
      <x:c r="O304" s="2" t="n">
        <x:v>2714</x:v>
      </x:c>
      <x:c r="P304" s="10" t="n">
        <x:v>1</x:v>
      </x:c>
      <x:c r="Q304" s="10" t="n">
        <x:v>1</x:v>
      </x:c>
    </x:row>
    <x:row r="305" ht="23" customHeight="1">
      <x:c r="A305" s="2" t="str">
        <x:v>Environment</x:v>
      </x:c>
      <x:c r="B305" s="2" t="n">
        <x:v>336</x:v>
      </x:c>
      <x:c r="C305" s="2" t="str">
        <x:v>Aurora</x:v>
      </x:c>
      <x:c r="D305" s="2" t="n">
        <x:v>2028</x:v>
      </x:c>
      <x:c r="E305" s="10" t="n">
        <x:v>0.4190524482224486</x:v>
      </x:c>
      <x:c r="F305" s="10" t="n">
        <x:v>0.4284613634459974</x:v>
      </x:c>
      <x:c r="G305" s="10" t="n">
        <x:v>0.4190524482224486</x:v>
      </x:c>
      <x:c r="H305" s="11" t="n">
        <x:v>0</x:v>
      </x:c>
      <x:c r="I305" s="2" t="n">
        <x:v>11</x:v>
      </x:c>
      <x:c r="J305" s="2" t="n">
        <x:v>19</x:v>
      </x:c>
      <x:c r="K305" s="2" t="str">
        <x:v>已达到</x:v>
      </x:c>
      <x:c r="L305" s="10" t="n">
        <x:v>0.46566729071656165</x:v>
      </x:c>
      <x:c r="M305" s="10" t="n">
        <x:v>0.4697462622425347</x:v>
      </x:c>
      <x:c r="N305" s="10" t="n">
        <x:v>0.46566729071656165</x:v>
      </x:c>
      <x:c r="O305" s="2" t="n">
        <x:v>2714</x:v>
      </x:c>
      <x:c r="P305" s="10" t="n">
        <x:v>1</x:v>
      </x:c>
      <x:c r="Q305" s="10" t="n">
        <x:v>1</x:v>
      </x:c>
    </x:row>
    <x:row r="306" ht="23" customHeight="1">
      <x:c r="A306" s="2" t="str">
        <x:v>Health</x:v>
      </x:c>
      <x:c r="B306" s="2" t="n">
        <x:v>12</x:v>
      </x:c>
      <x:c r="C306" s="2" t="str">
        <x:v>TaTS</x:v>
      </x:c>
      <x:c r="D306" s="2" t="n">
        <x:v>2026</x:v>
      </x:c>
      <x:c r="E306" s="10" t="n">
        <x:v>1.1624856639502126</x:v>
      </x:c>
      <x:c r="F306" s="10" t="n">
        <x:v>1.2594544072128904</x:v>
      </x:c>
      <x:c r="G306" s="10" t="n">
        <x:v>1.172701688693749</x:v>
      </x:c>
      <x:c r="H306" s="11" t="n">
        <x:v>0.5</x:v>
      </x:c>
      <x:c r="I306" s="2" t="n">
        <x:v>66</x:v>
      </x:c>
      <x:c r="J306" s="2" t="n">
        <x:v>74</x:v>
      </x:c>
      <x:c r="K306" s="2" t="str">
        <x:v>已达到</x:v>
      </x:c>
      <x:c r="L306" s="10" t="n">
        <x:v>0.6905360692734764</x:v>
      </x:c>
      <x:c r="M306" s="10" t="n">
        <x:v>0.6983574002161566</x:v>
      </x:c>
      <x:c r="N306" s="10" t="n">
        <x:v>0.6703972653208753</x:v>
      </x:c>
      <x:c r="O306" s="2" t="n">
        <x:v>265</x:v>
      </x:c>
      <x:c r="P306" s="10" t="n">
        <x:v>0.7163025357216937</x:v>
      </x:c>
      <x:c r="Q306" s="10" t="n">
        <x:v>0.7447572527721446</x:v>
      </x:c>
    </x:row>
    <x:row r="307" ht="23" customHeight="1">
      <x:c r="A307" s="2" t="str">
        <x:v>Health</x:v>
      </x:c>
      <x:c r="B307" s="2" t="n">
        <x:v>12</x:v>
      </x:c>
      <x:c r="C307" s="2" t="str">
        <x:v>TaTS</x:v>
      </x:c>
      <x:c r="D307" s="2" t="n">
        <x:v>2027</x:v>
      </x:c>
      <x:c r="E307" s="10" t="n">
        <x:v>1.1624856639502126</x:v>
      </x:c>
      <x:c r="F307" s="10" t="n">
        <x:v>1.2160737476579406</x:v>
      </x:c>
      <x:c r="G307" s="10" t="n">
        <x:v>1.1563476003643876</x:v>
      </x:c>
      <x:c r="H307" s="11" t="n">
        <x:v>0.5</x:v>
      </x:c>
      <x:c r="I307" s="2" t="n">
        <x:v>66</x:v>
      </x:c>
      <x:c r="J307" s="2" t="n">
        <x:v>74</x:v>
      </x:c>
      <x:c r="K307" s="2" t="str">
        <x:v>已达到</x:v>
      </x:c>
      <x:c r="L307" s="10" t="n">
        <x:v>0.6905360692734764</x:v>
      </x:c>
      <x:c r="M307" s="10" t="n">
        <x:v>0.6813574437006297</x:v>
      </x:c>
      <x:c r="N307" s="10" t="n">
        <x:v>0.665011860526416</x:v>
      </x:c>
      <x:c r="O307" s="2" t="n">
        <x:v>265</x:v>
      </x:c>
      <x:c r="P307" s="10" t="n">
        <x:v>0.8884171546895427</x:v>
      </x:c>
      <x:c r="Q307" s="10" t="n">
        <x:v>0.8926383273276766</x:v>
      </x:c>
    </x:row>
    <x:row r="308" ht="23" customHeight="1">
      <x:c r="A308" s="2" t="str">
        <x:v>Health</x:v>
      </x:c>
      <x:c r="B308" s="2" t="n">
        <x:v>12</x:v>
      </x:c>
      <x:c r="C308" s="2" t="str">
        <x:v>TaTS</x:v>
      </x:c>
      <x:c r="D308" s="2" t="n">
        <x:v>2028</x:v>
      </x:c>
      <x:c r="E308" s="10" t="n">
        <x:v>1.1624856639502126</x:v>
      </x:c>
      <x:c r="F308" s="10" t="n">
        <x:v>1.1747744620803422</x:v>
      </x:c>
      <x:c r="G308" s="10" t="n">
        <x:v>1.1624856639502126</x:v>
      </x:c>
      <x:c r="H308" s="11" t="n">
        <x:v>0</x:v>
      </x:c>
      <x:c r="I308" s="2" t="n">
        <x:v>8</x:v>
      </x:c>
      <x:c r="J308" s="2" t="n">
        <x:v>16</x:v>
      </x:c>
      <x:c r="K308" s="2" t="str">
        <x:v>已达到</x:v>
      </x:c>
      <x:c r="L308" s="10" t="n">
        <x:v>0.6905360692734764</x:v>
      </x:c>
      <x:c r="M308" s="10" t="n">
        <x:v>0.6944510073808671</x:v>
      </x:c>
      <x:c r="N308" s="10" t="n">
        <x:v>0.6905360692734764</x:v>
      </x:c>
      <x:c r="O308" s="2" t="n">
        <x:v>265</x:v>
      </x:c>
      <x:c r="P308" s="10" t="n">
        <x:v>1</x:v>
      </x:c>
      <x:c r="Q308" s="10" t="n">
        <x:v>1</x:v>
      </x:c>
    </x:row>
    <x:row r="309" ht="23" customHeight="1">
      <x:c r="A309" s="2" t="str">
        <x:v>Health</x:v>
      </x:c>
      <x:c r="B309" s="2" t="n">
        <x:v>12</x:v>
      </x:c>
      <x:c r="C309" s="2" t="str">
        <x:v>MM-TSFlib</x:v>
      </x:c>
      <x:c r="D309" s="2" t="n">
        <x:v>2026</x:v>
      </x:c>
      <x:c r="E309" s="10" t="n">
        <x:v>1.1136970518834708</x:v>
      </x:c>
      <x:c r="F309" s="10" t="n">
        <x:v>0.9150667814818744</x:v>
      </x:c>
      <x:c r="G309" s="10" t="n">
        <x:v>1.0376479312079983</x:v>
      </x:c>
      <x:c r="H309" s="11" t="n">
        <x:v>0.25</x:v>
      </x:c>
      <x:c r="I309" s="2" t="n">
        <x:v>66</x:v>
      </x:c>
      <x:c r="J309" s="2" t="n">
        <x:v>74</x:v>
      </x:c>
      <x:c r="K309" s="2" t="str">
        <x:v>已达到</x:v>
      </x:c>
      <x:c r="L309" s="10" t="n">
        <x:v>0.7451287619688394</x:v>
      </x:c>
      <x:c r="M309" s="10" t="n">
        <x:v>0.6849527659391894</x:v>
      </x:c>
      <x:c r="N309" s="10" t="n">
        <x:v>0.7173485346048512</x:v>
      </x:c>
      <x:c r="O309" s="2" t="n">
        <x:v>265</x:v>
      </x:c>
      <x:c r="P309" s="10" t="n">
        <x:v>0.8689782040870189</x:v>
      </x:c>
      <x:c r="Q309" s="10" t="n">
        <x:v>0.8977803346957012</x:v>
      </x:c>
    </x:row>
    <x:row r="310" ht="23" customHeight="1">
      <x:c r="A310" s="2" t="str">
        <x:v>Health</x:v>
      </x:c>
      <x:c r="B310" s="2" t="n">
        <x:v>12</x:v>
      </x:c>
      <x:c r="C310" s="2" t="str">
        <x:v>MM-TSFlib</x:v>
      </x:c>
      <x:c r="D310" s="2" t="n">
        <x:v>2027</x:v>
      </x:c>
      <x:c r="E310" s="10" t="n">
        <x:v>1.1136970518834708</x:v>
      </x:c>
      <x:c r="F310" s="10" t="n">
        <x:v>0.8857441258462582</x:v>
      </x:c>
      <x:c r="G310" s="10" t="n">
        <x:v>1.0312152089869113</x:v>
      </x:c>
      <x:c r="H310" s="11" t="n">
        <x:v>0.25</x:v>
      </x:c>
      <x:c r="I310" s="2" t="n">
        <x:v>66</x:v>
      </x:c>
      <x:c r="J310" s="2" t="n">
        <x:v>74</x:v>
      </x:c>
      <x:c r="K310" s="2" t="str">
        <x:v>已达到</x:v>
      </x:c>
      <x:c r="L310" s="10" t="n">
        <x:v>0.7451287619688394</x:v>
      </x:c>
      <x:c r="M310" s="10" t="n">
        <x:v>0.6740171883956023</x:v>
      </x:c>
      <x:c r="N310" s="10" t="n">
        <x:v>0.7145105455084737</x:v>
      </x:c>
      <x:c r="O310" s="2" t="n">
        <x:v>265</x:v>
      </x:c>
      <x:c r="P310" s="10" t="n">
        <x:v>0.8686501995846404</x:v>
      </x:c>
      <x:c r="Q310" s="10" t="n">
        <x:v>0.901553580281842</x:v>
      </x:c>
    </x:row>
    <x:row r="311" ht="23" customHeight="1">
      <x:c r="A311" s="2" t="str">
        <x:v>Health</x:v>
      </x:c>
      <x:c r="B311" s="2" t="n">
        <x:v>12</x:v>
      </x:c>
      <x:c r="C311" s="2" t="str">
        <x:v>MM-TSFlib</x:v>
      </x:c>
      <x:c r="D311" s="2" t="n">
        <x:v>2028</x:v>
      </x:c>
      <x:c r="E311" s="10" t="n">
        <x:v>1.1136970518834708</x:v>
      </x:c>
      <x:c r="F311" s="10" t="n">
        <x:v>1.1016609856150699</x:v>
      </x:c>
      <x:c r="G311" s="10" t="n">
        <x:v>1.1016609856150699</x:v>
      </x:c>
      <x:c r="H311" s="11" t="n">
        <x:v>1</x:v>
      </x:c>
      <x:c r="I311" s="2" t="n">
        <x:v>8</x:v>
      </x:c>
      <x:c r="J311" s="2" t="n">
        <x:v>16</x:v>
      </x:c>
      <x:c r="K311" s="2" t="str">
        <x:v>已达到</x:v>
      </x:c>
      <x:c r="L311" s="10" t="n">
        <x:v>0.7451287619688394</x:v>
      </x:c>
      <x:c r="M311" s="10" t="n">
        <x:v>0.7397928172465558</x:v>
      </x:c>
      <x:c r="N311" s="10" t="n">
        <x:v>0.7397928172465558</x:v>
      </x:c>
      <x:c r="O311" s="2" t="n">
        <x:v>265</x:v>
      </x:c>
      <x:c r="P311" s="10" t="n">
        <x:v>0.8838235289129486</x:v>
      </x:c>
      <x:c r="Q311" s="10" t="n">
        <x:v>0.923184979052611</x:v>
      </x:c>
    </x:row>
    <x:row r="312" ht="23" customHeight="1">
      <x:c r="A312" s="2" t="str">
        <x:v>Health</x:v>
      </x:c>
      <x:c r="B312" s="2" t="n">
        <x:v>12</x:v>
      </x:c>
      <x:c r="C312" s="2" t="str">
        <x:v>SpecTF</x:v>
      </x:c>
      <x:c r="D312" s="2" t="n">
        <x:v>2026</x:v>
      </x:c>
      <x:c r="E312" s="10" t="n">
        <x:v>1.4038450804546994</x:v>
      </x:c>
      <x:c r="F312" s="10" t="n">
        <x:v>1.4777148384545664</x:v>
      </x:c>
      <x:c r="G312" s="10" t="n">
        <x:v>1.4038450804546994</x:v>
      </x:c>
      <x:c r="H312" s="11" t="n">
        <x:v>0</x:v>
      </x:c>
      <x:c r="I312" s="2" t="n">
        <x:v>66</x:v>
      </x:c>
      <x:c r="J312" s="2" t="n">
        <x:v>74</x:v>
      </x:c>
      <x:c r="K312" s="2" t="str">
        <x:v>已达到</x:v>
      </x:c>
      <x:c r="L312" s="10" t="n">
        <x:v>0.7974180852255333</x:v>
      </x:c>
      <x:c r="M312" s="10" t="n">
        <x:v>0.814745902255124</x:v>
      </x:c>
      <x:c r="N312" s="10" t="n">
        <x:v>0.7974180852255333</x:v>
      </x:c>
      <x:c r="O312" s="2" t="n">
        <x:v>265</x:v>
      </x:c>
      <x:c r="P312" s="10" t="n">
        <x:v>1</x:v>
      </x:c>
      <x:c r="Q312" s="10" t="n">
        <x:v>1</x:v>
      </x:c>
    </x:row>
    <x:row r="313" ht="23" customHeight="1">
      <x:c r="A313" s="2" t="str">
        <x:v>Health</x:v>
      </x:c>
      <x:c r="B313" s="2" t="n">
        <x:v>12</x:v>
      </x:c>
      <x:c r="C313" s="2" t="str">
        <x:v>SpecTF</x:v>
      </x:c>
      <x:c r="D313" s="2" t="n">
        <x:v>2027</x:v>
      </x:c>
      <x:c r="E313" s="10" t="n">
        <x:v>1.4038450804546994</x:v>
      </x:c>
      <x:c r="F313" s="10" t="n">
        <x:v>1.4373835434674667</x:v>
      </x:c>
      <x:c r="G313" s="10" t="n">
        <x:v>1.4038450804546994</x:v>
      </x:c>
      <x:c r="H313" s="11" t="n">
        <x:v>0</x:v>
      </x:c>
      <x:c r="I313" s="2" t="n">
        <x:v>66</x:v>
      </x:c>
      <x:c r="J313" s="2" t="n">
        <x:v>74</x:v>
      </x:c>
      <x:c r="K313" s="2" t="str">
        <x:v>已达到</x:v>
      </x:c>
      <x:c r="L313" s="10" t="n">
        <x:v>0.7974180852255333</x:v>
      </x:c>
      <x:c r="M313" s="10" t="n">
        <x:v>0.7975870059896664</x:v>
      </x:c>
      <x:c r="N313" s="10" t="n">
        <x:v>0.7974180852255333</x:v>
      </x:c>
      <x:c r="O313" s="2" t="n">
        <x:v>265</x:v>
      </x:c>
      <x:c r="P313" s="10" t="n">
        <x:v>1</x:v>
      </x:c>
      <x:c r="Q313" s="10" t="n">
        <x:v>1</x:v>
      </x:c>
    </x:row>
    <x:row r="314" ht="23" customHeight="1">
      <x:c r="A314" s="2" t="str">
        <x:v>Health</x:v>
      </x:c>
      <x:c r="B314" s="2" t="n">
        <x:v>12</x:v>
      </x:c>
      <x:c r="C314" s="2" t="str">
        <x:v>SpecTF</x:v>
      </x:c>
      <x:c r="D314" s="2" t="n">
        <x:v>2028</x:v>
      </x:c>
      <x:c r="E314" s="10" t="n">
        <x:v>1.4038450804546994</x:v>
      </x:c>
      <x:c r="F314" s="10" t="n">
        <x:v>1.4039963768675332</x:v>
      </x:c>
      <x:c r="G314" s="10" t="n">
        <x:v>1.4038450804546994</x:v>
      </x:c>
      <x:c r="H314" s="11" t="n">
        <x:v>0</x:v>
      </x:c>
      <x:c r="I314" s="2" t="n">
        <x:v>8</x:v>
      </x:c>
      <x:c r="J314" s="2" t="n">
        <x:v>16</x:v>
      </x:c>
      <x:c r="K314" s="2" t="str">
        <x:v>已达到</x:v>
      </x:c>
      <x:c r="L314" s="10" t="n">
        <x:v>0.7974180852255333</x:v>
      </x:c>
      <x:c r="M314" s="10" t="n">
        <x:v>0.799832921150399</x:v>
      </x:c>
      <x:c r="N314" s="10" t="n">
        <x:v>0.7974180852255333</x:v>
      </x:c>
      <x:c r="O314" s="2" t="n">
        <x:v>265</x:v>
      </x:c>
      <x:c r="P314" s="10" t="n">
        <x:v>1</x:v>
      </x:c>
      <x:c r="Q314" s="10" t="n">
        <x:v>1</x:v>
      </x:c>
    </x:row>
    <x:row r="315" ht="23" customHeight="1">
      <x:c r="A315" s="2" t="str">
        <x:v>Health</x:v>
      </x:c>
      <x:c r="B315" s="2" t="n">
        <x:v>12</x:v>
      </x:c>
      <x:c r="C315" s="2" t="str">
        <x:v>CFA</x:v>
      </x:c>
      <x:c r="D315" s="2" t="n">
        <x:v>2026</x:v>
      </x:c>
      <x:c r="E315" s="10" t="n">
        <x:v>1.2511063849645137</x:v>
      </x:c>
      <x:c r="F315" s="10" t="n">
        <x:v>1.4186069024985368</x:v>
      </x:c>
      <x:c r="G315" s="10" t="n">
        <x:v>1.2511063849645137</x:v>
      </x:c>
      <x:c r="H315" s="11" t="n">
        <x:v>0</x:v>
      </x:c>
      <x:c r="I315" s="2" t="n">
        <x:v>66</x:v>
      </x:c>
      <x:c r="J315" s="2" t="n">
        <x:v>74</x:v>
      </x:c>
      <x:c r="K315" s="2" t="str">
        <x:v>已达到</x:v>
      </x:c>
      <x:c r="L315" s="10" t="n">
        <x:v>0.7273466204651196</x:v>
      </x:c>
      <x:c r="M315" s="10" t="n">
        <x:v>0.7837326964232488</x:v>
      </x:c>
      <x:c r="N315" s="10" t="n">
        <x:v>0.7273466204651196</x:v>
      </x:c>
      <x:c r="O315" s="2" t="n">
        <x:v>265</x:v>
      </x:c>
      <x:c r="P315" s="10" t="n">
        <x:v>1</x:v>
      </x:c>
      <x:c r="Q315" s="10" t="n">
        <x:v>1</x:v>
      </x:c>
    </x:row>
    <x:row r="316" ht="23" customHeight="1">
      <x:c r="A316" s="2" t="str">
        <x:v>Health</x:v>
      </x:c>
      <x:c r="B316" s="2" t="n">
        <x:v>12</x:v>
      </x:c>
      <x:c r="C316" s="2" t="str">
        <x:v>CFA</x:v>
      </x:c>
      <x:c r="D316" s="2" t="n">
        <x:v>2027</x:v>
      </x:c>
      <x:c r="E316" s="10" t="n">
        <x:v>1.2511063849645137</x:v>
      </x:c>
      <x:c r="F316" s="10" t="n">
        <x:v>1.4079670739472399</x:v>
      </x:c>
      <x:c r="G316" s="10" t="n">
        <x:v>1.2511063849645137</x:v>
      </x:c>
      <x:c r="H316" s="11" t="n">
        <x:v>0</x:v>
      </x:c>
      <x:c r="I316" s="2" t="n">
        <x:v>66</x:v>
      </x:c>
      <x:c r="J316" s="2" t="n">
        <x:v>74</x:v>
      </x:c>
      <x:c r="K316" s="2" t="str">
        <x:v>已达到</x:v>
      </x:c>
      <x:c r="L316" s="10" t="n">
        <x:v>0.7273466204651196</x:v>
      </x:c>
      <x:c r="M316" s="10" t="n">
        <x:v>0.7826527480038308</x:v>
      </x:c>
      <x:c r="N316" s="10" t="n">
        <x:v>0.7273466204651196</x:v>
      </x:c>
      <x:c r="O316" s="2" t="n">
        <x:v>265</x:v>
      </x:c>
      <x:c r="P316" s="10" t="n">
        <x:v>1</x:v>
      </x:c>
      <x:c r="Q316" s="10" t="n">
        <x:v>1</x:v>
      </x:c>
    </x:row>
    <x:row r="317" ht="23" customHeight="1">
      <x:c r="A317" s="2" t="str">
        <x:v>Health</x:v>
      </x:c>
      <x:c r="B317" s="2" t="n">
        <x:v>12</x:v>
      </x:c>
      <x:c r="C317" s="2" t="str">
        <x:v>CFA</x:v>
      </x:c>
      <x:c r="D317" s="2" t="n">
        <x:v>2028</x:v>
      </x:c>
      <x:c r="E317" s="10" t="n">
        <x:v>1.2511063849645137</x:v>
      </x:c>
      <x:c r="F317" s="10" t="n">
        <x:v>1.2493559421588771</x:v>
      </x:c>
      <x:c r="G317" s="10" t="n">
        <x:v>1.2511063849645137</x:v>
      </x:c>
      <x:c r="H317" s="11" t="n">
        <x:v>0</x:v>
      </x:c>
      <x:c r="I317" s="2" t="n">
        <x:v>8</x:v>
      </x:c>
      <x:c r="J317" s="2" t="n">
        <x:v>16</x:v>
      </x:c>
      <x:c r="K317" s="2" t="str">
        <x:v>已达到</x:v>
      </x:c>
      <x:c r="L317" s="10" t="n">
        <x:v>0.7273466204651196</x:v>
      </x:c>
      <x:c r="M317" s="10" t="n">
        <x:v>0.7255071739776814</x:v>
      </x:c>
      <x:c r="N317" s="10" t="n">
        <x:v>0.7273466204651196</x:v>
      </x:c>
      <x:c r="O317" s="2" t="n">
        <x:v>265</x:v>
      </x:c>
      <x:c r="P317" s="10" t="n">
        <x:v>1</x:v>
      </x:c>
      <x:c r="Q317" s="10" t="n">
        <x:v>1</x:v>
      </x:c>
    </x:row>
    <x:row r="318" ht="23" customHeight="1">
      <x:c r="A318" s="2" t="str">
        <x:v>Health</x:v>
      </x:c>
      <x:c r="B318" s="2" t="n">
        <x:v>12</x:v>
      </x:c>
      <x:c r="C318" s="2" t="str">
        <x:v>Aurora</x:v>
      </x:c>
      <x:c r="D318" s="2" t="n">
        <x:v>2026</x:v>
      </x:c>
      <x:c r="E318" s="10" t="n">
        <x:v>2.9515839192135953</x:v>
      </x:c>
      <x:c r="F318" s="10" t="n">
        <x:v>2.277614118941168</x:v>
      </x:c>
      <x:c r="G318" s="10" t="n">
        <x:v>2.277614118941168</x:v>
      </x:c>
      <x:c r="H318" s="11" t="n">
        <x:v>1</x:v>
      </x:c>
      <x:c r="I318" s="2" t="n">
        <x:v>66</x:v>
      </x:c>
      <x:c r="J318" s="2" t="n">
        <x:v>74</x:v>
      </x:c>
      <x:c r="K318" s="2" t="str">
        <x:v>已达到</x:v>
      </x:c>
      <x:c r="L318" s="10" t="n">
        <x:v>1.2123253232125963</x:v>
      </x:c>
      <x:c r="M318" s="10" t="n">
        <x:v>1.054736668750603</x:v>
      </x:c>
      <x:c r="N318" s="10" t="n">
        <x:v>1.054736668750603</x:v>
      </x:c>
      <x:c r="O318" s="2" t="n">
        <x:v>265</x:v>
      </x:c>
      <x:c r="P318" s="10" t="n">
        <x:v>0.6717657075929133</x:v>
      </x:c>
      <x:c r="Q318" s="10" t="n">
        <x:v>0.8227358525707038</x:v>
      </x:c>
    </x:row>
    <x:row r="319" ht="23" customHeight="1">
      <x:c r="A319" s="2" t="str">
        <x:v>Health</x:v>
      </x:c>
      <x:c r="B319" s="2" t="n">
        <x:v>12</x:v>
      </x:c>
      <x:c r="C319" s="2" t="str">
        <x:v>Aurora</x:v>
      </x:c>
      <x:c r="D319" s="2" t="n">
        <x:v>2027</x:v>
      </x:c>
      <x:c r="E319" s="10" t="n">
        <x:v>2.9515839192135953</x:v>
      </x:c>
      <x:c r="F319" s="10" t="n">
        <x:v>2.1997346588665176</x:v>
      </x:c>
      <x:c r="G319" s="10" t="n">
        <x:v>2.1997346588665176</x:v>
      </x:c>
      <x:c r="H319" s="11" t="n">
        <x:v>1</x:v>
      </x:c>
      <x:c r="I319" s="2" t="n">
        <x:v>66</x:v>
      </x:c>
      <x:c r="J319" s="2" t="n">
        <x:v>74</x:v>
      </x:c>
      <x:c r="K319" s="2" t="str">
        <x:v>已达到</x:v>
      </x:c>
      <x:c r="L319" s="10" t="n">
        <x:v>1.2123253232125963</x:v>
      </x:c>
      <x:c r="M319" s="10" t="n">
        <x:v>1.0275705485419555</x:v>
      </x:c>
      <x:c r="N319" s="10" t="n">
        <x:v>1.0275705485419555</x:v>
      </x:c>
      <x:c r="O319" s="2" t="n">
        <x:v>265</x:v>
      </x:c>
      <x:c r="P319" s="10" t="n">
        <x:v>0.6137379630653007</x:v>
      </x:c>
      <x:c r="Q319" s="10" t="n">
        <x:v>0.7419089897504503</x:v>
      </x:c>
    </x:row>
    <x:row r="320" ht="23" customHeight="1">
      <x:c r="A320" s="2" t="str">
        <x:v>Health</x:v>
      </x:c>
      <x:c r="B320" s="2" t="n">
        <x:v>12</x:v>
      </x:c>
      <x:c r="C320" s="2" t="str">
        <x:v>Aurora</x:v>
      </x:c>
      <x:c r="D320" s="2" t="n">
        <x:v>2028</x:v>
      </x:c>
      <x:c r="E320" s="10" t="n">
        <x:v>2.9515839192135953</x:v>
      </x:c>
      <x:c r="F320" s="10" t="n">
        <x:v>2.9141022873228555</x:v>
      </x:c>
      <x:c r="G320" s="10" t="n">
        <x:v>2.9141022873228555</x:v>
      </x:c>
      <x:c r="H320" s="11" t="n">
        <x:v>1</x:v>
      </x:c>
      <x:c r="I320" s="2" t="n">
        <x:v>8</x:v>
      </x:c>
      <x:c r="J320" s="2" t="n">
        <x:v>16</x:v>
      </x:c>
      <x:c r="K320" s="2" t="str">
        <x:v>已达到</x:v>
      </x:c>
      <x:c r="L320" s="10" t="n">
        <x:v>1.2123253232125963</x:v>
      </x:c>
      <x:c r="M320" s="10" t="n">
        <x:v>1.1992889609629434</x:v>
      </x:c>
      <x:c r="N320" s="10" t="n">
        <x:v>1.1992889609629434</x:v>
      </x:c>
      <x:c r="O320" s="2" t="n">
        <x:v>265</x:v>
      </x:c>
      <x:c r="P320" s="10" t="n">
        <x:v>0.9912954259398791</x:v>
      </x:c>
      <x:c r="Q320" s="10" t="n">
        <x:v>0.9913577081873287</x:v>
      </x:c>
    </x:row>
    <x:row r="321" ht="23" customHeight="1">
      <x:c r="A321" s="2" t="str">
        <x:v>Health</x:v>
      </x:c>
      <x:c r="B321" s="2" t="n">
        <x:v>24</x:v>
      </x:c>
      <x:c r="C321" s="2" t="str">
        <x:v>TaTS</x:v>
      </x:c>
      <x:c r="D321" s="2" t="n">
        <x:v>2026</x:v>
      </x:c>
      <x:c r="E321" s="10" t="n">
        <x:v>1.9588399705676387</x:v>
      </x:c>
      <x:c r="F321" s="10" t="n">
        <x:v>1.9776458293568784</x:v>
      </x:c>
      <x:c r="G321" s="10" t="n">
        <x:v>1.9588399705676387</x:v>
      </x:c>
      <x:c r="H321" s="11" t="n">
        <x:v>0</x:v>
      </x:c>
      <x:c r="I321" s="2" t="n">
        <x:v>69</x:v>
      </x:c>
      <x:c r="J321" s="2" t="n">
        <x:v>77</x:v>
      </x:c>
      <x:c r="K321" s="2" t="str">
        <x:v>已达到</x:v>
      </x:c>
      <x:c r="L321" s="10" t="n">
        <x:v>0.8594140174078031</x:v>
      </x:c>
      <x:c r="M321" s="10" t="n">
        <x:v>0.9012286075051853</x:v>
      </x:c>
      <x:c r="N321" s="10" t="n">
        <x:v>0.8594140174078031</x:v>
      </x:c>
      <x:c r="O321" s="2" t="n">
        <x:v>253</x:v>
      </x:c>
      <x:c r="P321" s="10" t="n">
        <x:v>1</x:v>
      </x:c>
      <x:c r="Q321" s="10" t="n">
        <x:v>1</x:v>
      </x:c>
    </x:row>
    <x:row r="322" ht="23" customHeight="1">
      <x:c r="A322" s="2" t="str">
        <x:v>Health</x:v>
      </x:c>
      <x:c r="B322" s="2" t="n">
        <x:v>24</x:v>
      </x:c>
      <x:c r="C322" s="2" t="str">
        <x:v>TaTS</x:v>
      </x:c>
      <x:c r="D322" s="2" t="n">
        <x:v>2027</x:v>
      </x:c>
      <x:c r="E322" s="10" t="n">
        <x:v>1.9588399705676387</x:v>
      </x:c>
      <x:c r="F322" s="10" t="n">
        <x:v>1.93732431539593</x:v>
      </x:c>
      <x:c r="G322" s="10" t="n">
        <x:v>1.9588399705676387</x:v>
      </x:c>
      <x:c r="H322" s="11" t="n">
        <x:v>0</x:v>
      </x:c>
      <x:c r="I322" s="2" t="n">
        <x:v>59</x:v>
      </x:c>
      <x:c r="J322" s="2" t="n">
        <x:v>67</x:v>
      </x:c>
      <x:c r="K322" s="2" t="str">
        <x:v>已达到</x:v>
      </x:c>
      <x:c r="L322" s="10" t="n">
        <x:v>0.8594140174078031</x:v>
      </x:c>
      <x:c r="M322" s="10" t="n">
        <x:v>0.8561166656455979</x:v>
      </x:c>
      <x:c r="N322" s="10" t="n">
        <x:v>0.8594140174078031</x:v>
      </x:c>
      <x:c r="O322" s="2" t="n">
        <x:v>253</x:v>
      </x:c>
      <x:c r="P322" s="10" t="n">
        <x:v>1</x:v>
      </x:c>
      <x:c r="Q322" s="10" t="n">
        <x:v>1</x:v>
      </x:c>
    </x:row>
    <x:row r="323" ht="23" customHeight="1">
      <x:c r="A323" s="2" t="str">
        <x:v>Health</x:v>
      </x:c>
      <x:c r="B323" s="2" t="n">
        <x:v>24</x:v>
      </x:c>
      <x:c r="C323" s="2" t="str">
        <x:v>TaTS</x:v>
      </x:c>
      <x:c r="D323" s="2" t="n">
        <x:v>2028</x:v>
      </x:c>
      <x:c r="E323" s="10" t="n">
        <x:v>1.9588399705676387</x:v>
      </x:c>
      <x:c r="F323" s="10" t="n">
        <x:v>1.9406635498699705</x:v>
      </x:c>
      <x:c r="G323" s="10" t="n">
        <x:v>1.9588399705676387</x:v>
      </x:c>
      <x:c r="H323" s="11" t="n">
        <x:v>0</x:v>
      </x:c>
      <x:c r="I323" s="2" t="n">
        <x:v>73</x:v>
      </x:c>
      <x:c r="J323" s="2" t="n">
        <x:v>80</x:v>
      </x:c>
      <x:c r="K323" s="2" t="str">
        <x:v>未达到</x:v>
      </x:c>
      <x:c r="L323" s="10" t="n">
        <x:v>0.8594140174078031</x:v>
      </x:c>
      <x:c r="M323" s="10" t="n">
        <x:v>0.871225019192443</x:v>
      </x:c>
      <x:c r="N323" s="10" t="n">
        <x:v>0.8594140174078031</x:v>
      </x:c>
      <x:c r="O323" s="2" t="n">
        <x:v>253</x:v>
      </x:c>
      <x:c r="P323" s="10" t="n">
        <x:v>1</x:v>
      </x:c>
      <x:c r="Q323" s="10" t="n">
        <x:v>1</x:v>
      </x:c>
    </x:row>
    <x:row r="324" ht="23" customHeight="1">
      <x:c r="A324" s="2" t="str">
        <x:v>Health</x:v>
      </x:c>
      <x:c r="B324" s="2" t="n">
        <x:v>24</x:v>
      </x:c>
      <x:c r="C324" s="2" t="str">
        <x:v>MM-TSFlib</x:v>
      </x:c>
      <x:c r="D324" s="2" t="n">
        <x:v>2026</x:v>
      </x:c>
      <x:c r="E324" s="10" t="n">
        <x:v>1.2781150498056244</x:v>
      </x:c>
      <x:c r="F324" s="10" t="n">
        <x:v>1.1980086872709026</x:v>
      </x:c>
      <x:c r="G324" s="10" t="n">
        <x:v>1.2379626622771318</x:v>
      </x:c>
      <x:c r="H324" s="11" t="n">
        <x:v>0.25</x:v>
      </x:c>
      <x:c r="I324" s="2" t="n">
        <x:v>69</x:v>
      </x:c>
      <x:c r="J324" s="2" t="n">
        <x:v>77</x:v>
      </x:c>
      <x:c r="K324" s="2" t="str">
        <x:v>已达到</x:v>
      </x:c>
      <x:c r="L324" s="10" t="n">
        <x:v>0.7995671803353506</x:v>
      </x:c>
      <x:c r="M324" s="10" t="n">
        <x:v>0.8016897784654247</x:v>
      </x:c>
      <x:c r="N324" s="10" t="n">
        <x:v>0.7890392966807531</x:v>
      </x:c>
      <x:c r="O324" s="2" t="n">
        <x:v>253</x:v>
      </x:c>
      <x:c r="P324" s="10" t="n">
        <x:v>0.9260346142258655</x:v>
      </x:c>
      <x:c r="Q324" s="10" t="n">
        <x:v>0.9968715731227379</x:v>
      </x:c>
    </x:row>
    <x:row r="325" ht="23" customHeight="1">
      <x:c r="A325" s="2" t="str">
        <x:v>Health</x:v>
      </x:c>
      <x:c r="B325" s="2" t="n">
        <x:v>24</x:v>
      </x:c>
      <x:c r="C325" s="2" t="str">
        <x:v>MM-TSFlib</x:v>
      </x:c>
      <x:c r="D325" s="2" t="n">
        <x:v>2027</x:v>
      </x:c>
      <x:c r="E325" s="10" t="n">
        <x:v>1.2781150498056244</x:v>
      </x:c>
      <x:c r="F325" s="10" t="n">
        <x:v>1.1798097493149038</x:v>
      </x:c>
      <x:c r="G325" s="10" t="n">
        <x:v>1.2134328929519693</x:v>
      </x:c>
      <x:c r="H325" s="11" t="n">
        <x:v>0.5</x:v>
      </x:c>
      <x:c r="I325" s="2" t="n">
        <x:v>59</x:v>
      </x:c>
      <x:c r="J325" s="2" t="n">
        <x:v>67</x:v>
      </x:c>
      <x:c r="K325" s="2" t="str">
        <x:v>已达到</x:v>
      </x:c>
      <x:c r="L325" s="10" t="n">
        <x:v>0.7995671803353506</x:v>
      </x:c>
      <x:c r="M325" s="10" t="n">
        <x:v>0.7773995320355266</x:v>
      </x:c>
      <x:c r="N325" s="10" t="n">
        <x:v>0.7808138565342496</x:v>
      </x:c>
      <x:c r="O325" s="2" t="n">
        <x:v>253</x:v>
      </x:c>
      <x:c r="P325" s="10" t="n">
        <x:v>0.8687321608784427</x:v>
      </x:c>
      <x:c r="Q325" s="10" t="n">
        <x:v>0.9904194102061958</x:v>
      </x:c>
    </x:row>
    <x:row r="326" ht="23" customHeight="1">
      <x:c r="A326" s="2" t="str">
        <x:v>Health</x:v>
      </x:c>
      <x:c r="B326" s="2" t="n">
        <x:v>24</x:v>
      </x:c>
      <x:c r="C326" s="2" t="str">
        <x:v>MM-TSFlib</x:v>
      </x:c>
      <x:c r="D326" s="2" t="n">
        <x:v>2028</x:v>
      </x:c>
      <x:c r="E326" s="10" t="n">
        <x:v>1.2781150498056244</x:v>
      </x:c>
      <x:c r="F326" s="10" t="n">
        <x:v>1.199132912988762</x:v>
      </x:c>
      <x:c r="G326" s="10" t="n">
        <x:v>1.2126281554825906</x:v>
      </x:c>
      <x:c r="H326" s="11" t="n">
        <x:v>0.5</x:v>
      </x:c>
      <x:c r="I326" s="2" t="n">
        <x:v>73</x:v>
      </x:c>
      <x:c r="J326" s="2" t="n">
        <x:v>80</x:v>
      </x:c>
      <x:c r="K326" s="2" t="str">
        <x:v>未达到</x:v>
      </x:c>
      <x:c r="L326" s="10" t="n">
        <x:v>0.7995671803353506</x:v>
      </x:c>
      <x:c r="M326" s="10" t="n">
        <x:v>0.7946321220544503</x:v>
      </x:c>
      <x:c r="N326" s="10" t="n">
        <x:v>0.7827005827119602</x:v>
      </x:c>
      <x:c r="O326" s="2" t="n">
        <x:v>253</x:v>
      </x:c>
      <x:c r="P326" s="10" t="n">
        <x:v>0.8733971934216652</x:v>
      </x:c>
      <x:c r="Q326" s="10" t="n">
        <x:v>0.962324154586241</x:v>
      </x:c>
    </x:row>
    <x:row r="327" ht="23" customHeight="1">
      <x:c r="A327" s="2" t="str">
        <x:v>Health</x:v>
      </x:c>
      <x:c r="B327" s="2" t="n">
        <x:v>24</x:v>
      </x:c>
      <x:c r="C327" s="2" t="str">
        <x:v>SpecTF</x:v>
      </x:c>
      <x:c r="D327" s="2" t="n">
        <x:v>2026</x:v>
      </x:c>
      <x:c r="E327" s="10" t="n">
        <x:v>1.8081685181614635</x:v>
      </x:c>
      <x:c r="F327" s="10" t="n">
        <x:v>1.9162610660107098</x:v>
      </x:c>
      <x:c r="G327" s="10" t="n">
        <x:v>1.8081685181614635</x:v>
      </x:c>
      <x:c r="H327" s="11" t="n">
        <x:v>0</x:v>
      </x:c>
      <x:c r="I327" s="2" t="n">
        <x:v>69</x:v>
      </x:c>
      <x:c r="J327" s="2" t="n">
        <x:v>77</x:v>
      </x:c>
      <x:c r="K327" s="2" t="str">
        <x:v>已达到</x:v>
      </x:c>
      <x:c r="L327" s="10" t="n">
        <x:v>0.91779143712086</x:v>
      </x:c>
      <x:c r="M327" s="10" t="n">
        <x:v>0.9579109641128384</x:v>
      </x:c>
      <x:c r="N327" s="10" t="n">
        <x:v>0.91779143712086</x:v>
      </x:c>
      <x:c r="O327" s="2" t="n">
        <x:v>253</x:v>
      </x:c>
      <x:c r="P327" s="10" t="n">
        <x:v>1</x:v>
      </x:c>
      <x:c r="Q327" s="10" t="n">
        <x:v>1</x:v>
      </x:c>
    </x:row>
    <x:row r="328" ht="23" customHeight="1">
      <x:c r="A328" s="2" t="str">
        <x:v>Health</x:v>
      </x:c>
      <x:c r="B328" s="2" t="n">
        <x:v>24</x:v>
      </x:c>
      <x:c r="C328" s="2" t="str">
        <x:v>SpecTF</x:v>
      </x:c>
      <x:c r="D328" s="2" t="n">
        <x:v>2027</x:v>
      </x:c>
      <x:c r="E328" s="10" t="n">
        <x:v>1.8081685181614635</x:v>
      </x:c>
      <x:c r="F328" s="10" t="n">
        <x:v>1.774491151138678</x:v>
      </x:c>
      <x:c r="G328" s="10" t="n">
        <x:v>1.7902747695368064</x:v>
      </x:c>
      <x:c r="H328" s="11" t="n">
        <x:v>0.25</x:v>
      </x:c>
      <x:c r="I328" s="2" t="n">
        <x:v>59</x:v>
      </x:c>
      <x:c r="J328" s="2" t="n">
        <x:v>67</x:v>
      </x:c>
      <x:c r="K328" s="2" t="str">
        <x:v>已达到</x:v>
      </x:c>
      <x:c r="L328" s="10" t="n">
        <x:v>0.91779143712086</x:v>
      </x:c>
      <x:c r="M328" s="10" t="n">
        <x:v>0.8949175974387431</x:v>
      </x:c>
      <x:c r="N328" s="10" t="n">
        <x:v>0.9083553443624708</x:v>
      </x:c>
      <x:c r="O328" s="2" t="n">
        <x:v>253</x:v>
      </x:c>
      <x:c r="P328" s="10" t="n">
        <x:v>0.9554520256059662</x:v>
      </x:c>
      <x:c r="Q328" s="10" t="n">
        <x:v>0.9963431811181568</x:v>
      </x:c>
    </x:row>
    <x:row r="329" ht="23" customHeight="1">
      <x:c r="A329" s="2" t="str">
        <x:v>Health</x:v>
      </x:c>
      <x:c r="B329" s="2" t="n">
        <x:v>24</x:v>
      </x:c>
      <x:c r="C329" s="2" t="str">
        <x:v>SpecTF</x:v>
      </x:c>
      <x:c r="D329" s="2" t="n">
        <x:v>2028</x:v>
      </x:c>
      <x:c r="E329" s="10" t="n">
        <x:v>1.8081685181614635</x:v>
      </x:c>
      <x:c r="F329" s="10" t="n">
        <x:v>1.8330212119127902</x:v>
      </x:c>
      <x:c r="G329" s="10" t="n">
        <x:v>1.8081685181614635</x:v>
      </x:c>
      <x:c r="H329" s="11" t="n">
        <x:v>0</x:v>
      </x:c>
      <x:c r="I329" s="2" t="n">
        <x:v>73</x:v>
      </x:c>
      <x:c r="J329" s="2" t="n">
        <x:v>80</x:v>
      </x:c>
      <x:c r="K329" s="2" t="str">
        <x:v>未达到</x:v>
      </x:c>
      <x:c r="L329" s="10" t="n">
        <x:v>0.91779143712086</x:v>
      </x:c>
      <x:c r="M329" s="10" t="n">
        <x:v>0.922093726936495</x:v>
      </x:c>
      <x:c r="N329" s="10" t="n">
        <x:v>0.91779143712086</x:v>
      </x:c>
      <x:c r="O329" s="2" t="n">
        <x:v>253</x:v>
      </x:c>
      <x:c r="P329" s="10" t="n">
        <x:v>1</x:v>
      </x:c>
      <x:c r="Q329" s="10" t="n">
        <x:v>1</x:v>
      </x:c>
    </x:row>
    <x:row r="330" ht="23" customHeight="1">
      <x:c r="A330" s="2" t="str">
        <x:v>Health</x:v>
      </x:c>
      <x:c r="B330" s="2" t="n">
        <x:v>24</x:v>
      </x:c>
      <x:c r="C330" s="2" t="str">
        <x:v>CFA</x:v>
      </x:c>
      <x:c r="D330" s="2" t="n">
        <x:v>2026</x:v>
      </x:c>
      <x:c r="E330" s="10" t="n">
        <x:v>2.2477706654605583</x:v>
      </x:c>
      <x:c r="F330" s="10" t="n">
        <x:v>2.3603468862695114</x:v>
      </x:c>
      <x:c r="G330" s="10" t="n">
        <x:v>2.2477706654605583</x:v>
      </x:c>
      <x:c r="H330" s="11" t="n">
        <x:v>0</x:v>
      </x:c>
      <x:c r="I330" s="2" t="n">
        <x:v>69</x:v>
      </x:c>
      <x:c r="J330" s="2" t="n">
        <x:v>77</x:v>
      </x:c>
      <x:c r="K330" s="2" t="str">
        <x:v>已达到</x:v>
      </x:c>
      <x:c r="L330" s="10" t="n">
        <x:v>0.9273627421712928</x:v>
      </x:c>
      <x:c r="M330" s="10" t="n">
        <x:v>0.9954099227726172</x:v>
      </x:c>
      <x:c r="N330" s="10" t="n">
        <x:v>0.9273627421712928</x:v>
      </x:c>
      <x:c r="O330" s="2" t="n">
        <x:v>253</x:v>
      </x:c>
      <x:c r="P330" s="10" t="n">
        <x:v>1</x:v>
      </x:c>
      <x:c r="Q330" s="10" t="n">
        <x:v>1</x:v>
      </x:c>
    </x:row>
    <x:row r="331" ht="23" customHeight="1">
      <x:c r="A331" s="2" t="str">
        <x:v>Health</x:v>
      </x:c>
      <x:c r="B331" s="2" t="n">
        <x:v>24</x:v>
      </x:c>
      <x:c r="C331" s="2" t="str">
        <x:v>CFA</x:v>
      </x:c>
      <x:c r="D331" s="2" t="n">
        <x:v>2027</x:v>
      </x:c>
      <x:c r="E331" s="10" t="n">
        <x:v>2.2477706654605583</x:v>
      </x:c>
      <x:c r="F331" s="10" t="n">
        <x:v>2.2331427999320854</x:v>
      </x:c>
      <x:c r="G331" s="10" t="n">
        <x:v>2.235188771251759</x:v>
      </x:c>
      <x:c r="H331" s="11" t="n">
        <x:v>0.25</x:v>
      </x:c>
      <x:c r="I331" s="2" t="n">
        <x:v>59</x:v>
      </x:c>
      <x:c r="J331" s="2" t="n">
        <x:v>67</x:v>
      </x:c>
      <x:c r="K331" s="2" t="str">
        <x:v>已达到</x:v>
      </x:c>
      <x:c r="L331" s="10" t="n">
        <x:v>0.9273627421712928</x:v>
      </x:c>
      <x:c r="M331" s="10" t="n">
        <x:v>0.9245713767882265</x:v>
      </x:c>
      <x:c r="N331" s="10" t="n">
        <x:v>0.9233624583357164</x:v>
      </x:c>
      <x:c r="O331" s="2" t="n">
        <x:v>253</x:v>
      </x:c>
      <x:c r="P331" s="10" t="n">
        <x:v>0.973354986122506</x:v>
      </x:c>
      <x:c r="Q331" s="10" t="n">
        <x:v>0.9895893870417278</x:v>
      </x:c>
    </x:row>
    <x:row r="332" ht="23" customHeight="1">
      <x:c r="A332" s="2" t="str">
        <x:v>Health</x:v>
      </x:c>
      <x:c r="B332" s="2" t="n">
        <x:v>24</x:v>
      </x:c>
      <x:c r="C332" s="2" t="str">
        <x:v>CFA</x:v>
      </x:c>
      <x:c r="D332" s="2" t="n">
        <x:v>2028</x:v>
      </x:c>
      <x:c r="E332" s="10" t="n">
        <x:v>2.2477706654605583</x:v>
      </x:c>
      <x:c r="F332" s="10" t="n">
        <x:v>2.186002171812307</x:v>
      </x:c>
      <x:c r="G332" s="10" t="n">
        <x:v>2.195030187511353</x:v>
      </x:c>
      <x:c r="H332" s="11" t="n">
        <x:v>0.5</x:v>
      </x:c>
      <x:c r="I332" s="2" t="n">
        <x:v>73</x:v>
      </x:c>
      <x:c r="J332" s="2" t="n">
        <x:v>80</x:v>
      </x:c>
      <x:c r="K332" s="2" t="str">
        <x:v>未达到</x:v>
      </x:c>
      <x:c r="L332" s="10" t="n">
        <x:v>0.9273627421712928</x:v>
      </x:c>
      <x:c r="M332" s="10" t="n">
        <x:v>0.9438751470426654</x:v>
      </x:c>
      <x:c r="N332" s="10" t="n">
        <x:v>0.9291451345334221</x:v>
      </x:c>
      <x:c r="O332" s="2" t="n">
        <x:v>253</x:v>
      </x:c>
      <x:c r="P332" s="10" t="n">
        <x:v>0.9091269232999415</x:v>
      </x:c>
      <x:c r="Q332" s="10" t="n">
        <x:v>0.9668098135257194</x:v>
      </x:c>
    </x:row>
    <x:row r="333" ht="23" customHeight="1">
      <x:c r="A333" s="2" t="str">
        <x:v>Health</x:v>
      </x:c>
      <x:c r="B333" s="2" t="n">
        <x:v>24</x:v>
      </x:c>
      <x:c r="C333" s="2" t="str">
        <x:v>Aurora</x:v>
      </x:c>
      <x:c r="D333" s="2" t="n">
        <x:v>2026</x:v>
      </x:c>
      <x:c r="E333" s="10" t="n">
        <x:v>3.68080986261969</x:v>
      </x:c>
      <x:c r="F333" s="10" t="n">
        <x:v>3.216271956302968</x:v>
      </x:c>
      <x:c r="G333" s="10" t="n">
        <x:v>3.216271956302968</x:v>
      </x:c>
      <x:c r="H333" s="11" t="n">
        <x:v>1</x:v>
      </x:c>
      <x:c r="I333" s="2" t="n">
        <x:v>69</x:v>
      </x:c>
      <x:c r="J333" s="2" t="n">
        <x:v>77</x:v>
      </x:c>
      <x:c r="K333" s="2" t="str">
        <x:v>已达到</x:v>
      </x:c>
      <x:c r="L333" s="10" t="n">
        <x:v>1.3722074656193801</x:v>
      </x:c>
      <x:c r="M333" s="10" t="n">
        <x:v>1.2610089453840365</x:v>
      </x:c>
      <x:c r="N333" s="10" t="n">
        <x:v>1.2610089453840365</x:v>
      </x:c>
      <x:c r="O333" s="2" t="n">
        <x:v>253</x:v>
      </x:c>
      <x:c r="P333" s="10" t="n">
        <x:v>0.6473232196139509</x:v>
      </x:c>
      <x:c r="Q333" s="10" t="n">
        <x:v>0.78260450063426</x:v>
      </x:c>
    </x:row>
    <x:row r="334" ht="23" customHeight="1">
      <x:c r="A334" s="2" t="str">
        <x:v>Health</x:v>
      </x:c>
      <x:c r="B334" s="2" t="n">
        <x:v>24</x:v>
      </x:c>
      <x:c r="C334" s="2" t="str">
        <x:v>Aurora</x:v>
      </x:c>
      <x:c r="D334" s="2" t="n">
        <x:v>2027</x:v>
      </x:c>
      <x:c r="E334" s="10" t="n">
        <x:v>3.68080986261969</x:v>
      </x:c>
      <x:c r="F334" s="10" t="n">
        <x:v>2.999659339168725</x:v>
      </x:c>
      <x:c r="G334" s="10" t="n">
        <x:v>2.999659339168725</x:v>
      </x:c>
      <x:c r="H334" s="11" t="n">
        <x:v>1</x:v>
      </x:c>
      <x:c r="I334" s="2" t="n">
        <x:v>59</x:v>
      </x:c>
      <x:c r="J334" s="2" t="n">
        <x:v>67</x:v>
      </x:c>
      <x:c r="K334" s="2" t="str">
        <x:v>已达到</x:v>
      </x:c>
      <x:c r="L334" s="10" t="n">
        <x:v>1.3722074656193801</x:v>
      </x:c>
      <x:c r="M334" s="10" t="n">
        <x:v>1.2260079511497524</x:v>
      </x:c>
      <x:c r="N334" s="10" t="n">
        <x:v>1.2260079511497524</x:v>
      </x:c>
      <x:c r="O334" s="2" t="n">
        <x:v>253</x:v>
      </x:c>
      <x:c r="P334" s="10" t="n">
        <x:v>0.6956080998668308</x:v>
      </x:c>
      <x:c r="Q334" s="10" t="n">
        <x:v>0.8355154072107498</x:v>
      </x:c>
    </x:row>
    <x:row r="335" ht="23" customHeight="1">
      <x:c r="A335" s="2" t="str">
        <x:v>Health</x:v>
      </x:c>
      <x:c r="B335" s="2" t="n">
        <x:v>24</x:v>
      </x:c>
      <x:c r="C335" s="2" t="str">
        <x:v>Aurora</x:v>
      </x:c>
      <x:c r="D335" s="2" t="n">
        <x:v>2028</x:v>
      </x:c>
      <x:c r="E335" s="10" t="n">
        <x:v>3.68080986261969</x:v>
      </x:c>
      <x:c r="F335" s="10" t="n">
        <x:v>2.8557691102725133</x:v>
      </x:c>
      <x:c r="G335" s="10" t="n">
        <x:v>2.8557691102725133</x:v>
      </x:c>
      <x:c r="H335" s="11" t="n">
        <x:v>1</x:v>
      </x:c>
      <x:c r="I335" s="2" t="n">
        <x:v>73</x:v>
      </x:c>
      <x:c r="J335" s="2" t="n">
        <x:v>80</x:v>
      </x:c>
      <x:c r="K335" s="2" t="str">
        <x:v>未达到</x:v>
      </x:c>
      <x:c r="L335" s="10" t="n">
        <x:v>1.3722074656193801</x:v>
      </x:c>
      <x:c r="M335" s="10" t="n">
        <x:v>1.1935448305506131</x:v>
      </x:c>
      <x:c r="N335" s="10" t="n">
        <x:v>1.1935448305506131</x:v>
      </x:c>
      <x:c r="O335" s="2" t="n">
        <x:v>253</x:v>
      </x:c>
      <x:c r="P335" s="10" t="n">
        <x:v>0.6268256603819569</x:v>
      </x:c>
      <x:c r="Q335" s="10" t="n">
        <x:v>0.7394068269067735</x:v>
      </x:c>
    </x:row>
    <x:row r="336" ht="23" customHeight="1">
      <x:c r="A336" s="2" t="str">
        <x:v>Health</x:v>
      </x:c>
      <x:c r="B336" s="2" t="n">
        <x:v>36</x:v>
      </x:c>
      <x:c r="C336" s="2" t="str">
        <x:v>TaTS</x:v>
      </x:c>
      <x:c r="D336" s="2" t="n">
        <x:v>2026</x:v>
      </x:c>
      <x:c r="E336" s="10" t="n">
        <x:v>2.6637995198269984</x:v>
      </x:c>
      <x:c r="F336" s="10" t="n">
        <x:v>2.6984774972370817</x:v>
      </x:c>
      <x:c r="G336" s="10" t="n">
        <x:v>2.6984774972370817</x:v>
      </x:c>
      <x:c r="H336" s="11" t="n">
        <x:v>1</x:v>
      </x:c>
      <x:c r="I336" s="2" t="n">
        <x:v>10</x:v>
      </x:c>
      <x:c r="J336" s="2" t="n">
        <x:v>18</x:v>
      </x:c>
      <x:c r="K336" s="2" t="str">
        <x:v>已达到</x:v>
      </x:c>
      <x:c r="L336" s="10" t="n">
        <x:v>0.9724688034767643</x:v>
      </x:c>
      <x:c r="M336" s="10" t="n">
        <x:v>0.9641453868749487</x:v>
      </x:c>
      <x:c r="N336" s="10" t="n">
        <x:v>0.9641453868749487</x:v>
      </x:c>
      <x:c r="O336" s="2" t="n">
        <x:v>241</x:v>
      </x:c>
      <x:c r="P336" s="10" t="n">
        <x:v>0.9849159142447202</x:v>
      </x:c>
      <x:c r="Q336" s="10" t="n">
        <x:v>0.9676990898111347</x:v>
      </x:c>
    </x:row>
    <x:row r="337" ht="23" customHeight="1">
      <x:c r="A337" s="2" t="str">
        <x:v>Health</x:v>
      </x:c>
      <x:c r="B337" s="2" t="n">
        <x:v>36</x:v>
      </x:c>
      <x:c r="C337" s="2" t="str">
        <x:v>TaTS</x:v>
      </x:c>
      <x:c r="D337" s="2" t="n">
        <x:v>2027</x:v>
      </x:c>
      <x:c r="E337" s="10" t="n">
        <x:v>2.6637995198269984</x:v>
      </x:c>
      <x:c r="F337" s="10" t="n">
        <x:v>2.689540422843763</x:v>
      </x:c>
      <x:c r="G337" s="10" t="n">
        <x:v>2.689540422843763</x:v>
      </x:c>
      <x:c r="H337" s="11" t="n">
        <x:v>1</x:v>
      </x:c>
      <x:c r="I337" s="2" t="n">
        <x:v>12</x:v>
      </x:c>
      <x:c r="J337" s="2" t="n">
        <x:v>20</x:v>
      </x:c>
      <x:c r="K337" s="2" t="str">
        <x:v>已达到</x:v>
      </x:c>
      <x:c r="L337" s="10" t="n">
        <x:v>0.9724688034767643</x:v>
      </x:c>
      <x:c r="M337" s="10" t="n">
        <x:v>0.9689327681331128</x:v>
      </x:c>
      <x:c r="N337" s="10" t="n">
        <x:v>0.9689327681331128</x:v>
      </x:c>
      <x:c r="O337" s="2" t="n">
        <x:v>241</x:v>
      </x:c>
      <x:c r="P337" s="10" t="n">
        <x:v>0.9870920415219716</x:v>
      </x:c>
      <x:c r="Q337" s="10" t="n">
        <x:v>0.9727601873988594</x:v>
      </x:c>
    </x:row>
    <x:row r="338" ht="23" customHeight="1">
      <x:c r="A338" s="2" t="str">
        <x:v>Health</x:v>
      </x:c>
      <x:c r="B338" s="2" t="n">
        <x:v>36</x:v>
      </x:c>
      <x:c r="C338" s="2" t="str">
        <x:v>TaTS</x:v>
      </x:c>
      <x:c r="D338" s="2" t="n">
        <x:v>2028</x:v>
      </x:c>
      <x:c r="E338" s="10" t="n">
        <x:v>2.6637995198269984</x:v>
      </x:c>
      <x:c r="F338" s="10" t="n">
        <x:v>2.7227425583916083</x:v>
      </x:c>
      <x:c r="G338" s="10" t="n">
        <x:v>2.7227425583916083</x:v>
      </x:c>
      <x:c r="H338" s="11" t="n">
        <x:v>1</x:v>
      </x:c>
      <x:c r="I338" s="2" t="n">
        <x:v>13</x:v>
      </x:c>
      <x:c r="J338" s="2" t="n">
        <x:v>21</x:v>
      </x:c>
      <x:c r="K338" s="2" t="str">
        <x:v>已达到</x:v>
      </x:c>
      <x:c r="L338" s="10" t="n">
        <x:v>0.9724688034767643</x:v>
      </x:c>
      <x:c r="M338" s="10" t="n">
        <x:v>0.9728142864549587</x:v>
      </x:c>
      <x:c r="N338" s="10" t="n">
        <x:v>0.9728142864549587</x:v>
      </x:c>
      <x:c r="O338" s="2" t="n">
        <x:v>241</x:v>
      </x:c>
      <x:c r="P338" s="10" t="n">
        <x:v>0.989315270067166</x:v>
      </x:c>
      <x:c r="Q338" s="10" t="n">
        <x:v>0.972435878703305</x:v>
      </x:c>
    </x:row>
    <x:row r="339" ht="23" customHeight="1">
      <x:c r="A339" s="2" t="str">
        <x:v>Health</x:v>
      </x:c>
      <x:c r="B339" s="2" t="n">
        <x:v>36</x:v>
      </x:c>
      <x:c r="C339" s="2" t="str">
        <x:v>MM-TSFlib</x:v>
      </x:c>
      <x:c r="D339" s="2" t="n">
        <x:v>2026</x:v>
      </x:c>
      <x:c r="E339" s="10" t="n">
        <x:v>1.3416884662270774</x:v>
      </x:c>
      <x:c r="F339" s="10" t="n">
        <x:v>1.3217775462747874</x:v>
      </x:c>
      <x:c r="G339" s="10" t="n">
        <x:v>1.3416884662270774</x:v>
      </x:c>
      <x:c r="H339" s="11" t="n">
        <x:v>0</x:v>
      </x:c>
      <x:c r="I339" s="2" t="n">
        <x:v>10</x:v>
      </x:c>
      <x:c r="J339" s="2" t="n">
        <x:v>18</x:v>
      </x:c>
      <x:c r="K339" s="2" t="str">
        <x:v>已达到</x:v>
      </x:c>
      <x:c r="L339" s="10" t="n">
        <x:v>0.7957999698718254</x:v>
      </x:c>
      <x:c r="M339" s="10" t="n">
        <x:v>0.8108438072186582</x:v>
      </x:c>
      <x:c r="N339" s="10" t="n">
        <x:v>0.7957999698718254</x:v>
      </x:c>
      <x:c r="O339" s="2" t="n">
        <x:v>241</x:v>
      </x:c>
      <x:c r="P339" s="10" t="n">
        <x:v>1</x:v>
      </x:c>
      <x:c r="Q339" s="10" t="n">
        <x:v>1</x:v>
      </x:c>
    </x:row>
    <x:row r="340" ht="23" customHeight="1">
      <x:c r="A340" s="2" t="str">
        <x:v>Health</x:v>
      </x:c>
      <x:c r="B340" s="2" t="n">
        <x:v>36</x:v>
      </x:c>
      <x:c r="C340" s="2" t="str">
        <x:v>MM-TSFlib</x:v>
      </x:c>
      <x:c r="D340" s="2" t="n">
        <x:v>2027</x:v>
      </x:c>
      <x:c r="E340" s="10" t="n">
        <x:v>1.3416884662270774</x:v>
      </x:c>
      <x:c r="F340" s="10" t="n">
        <x:v>1.3157062051301518</x:v>
      </x:c>
      <x:c r="G340" s="10" t="n">
        <x:v>1.3416884662270774</x:v>
      </x:c>
      <x:c r="H340" s="11" t="n">
        <x:v>0</x:v>
      </x:c>
      <x:c r="I340" s="2" t="n">
        <x:v>12</x:v>
      </x:c>
      <x:c r="J340" s="2" t="n">
        <x:v>20</x:v>
      </x:c>
      <x:c r="K340" s="2" t="str">
        <x:v>已达到</x:v>
      </x:c>
      <x:c r="L340" s="10" t="n">
        <x:v>0.7957999698718254</x:v>
      </x:c>
      <x:c r="M340" s="10" t="n">
        <x:v>0.8005837948810786</x:v>
      </x:c>
      <x:c r="N340" s="10" t="n">
        <x:v>0.7957999698718254</x:v>
      </x:c>
      <x:c r="O340" s="2" t="n">
        <x:v>241</x:v>
      </x:c>
      <x:c r="P340" s="10" t="n">
        <x:v>1</x:v>
      </x:c>
      <x:c r="Q340" s="10" t="n">
        <x:v>1</x:v>
      </x:c>
    </x:row>
    <x:row r="341" ht="23" customHeight="1">
      <x:c r="A341" s="2" t="str">
        <x:v>Health</x:v>
      </x:c>
      <x:c r="B341" s="2" t="n">
        <x:v>36</x:v>
      </x:c>
      <x:c r="C341" s="2" t="str">
        <x:v>MM-TSFlib</x:v>
      </x:c>
      <x:c r="D341" s="2" t="n">
        <x:v>2028</x:v>
      </x:c>
      <x:c r="E341" s="10" t="n">
        <x:v>1.3416884662270774</x:v>
      </x:c>
      <x:c r="F341" s="10" t="n">
        <x:v>1.3160561368145138</x:v>
      </x:c>
      <x:c r="G341" s="10" t="n">
        <x:v>1.3416884662270774</x:v>
      </x:c>
      <x:c r="H341" s="11" t="n">
        <x:v>0</x:v>
      </x:c>
      <x:c r="I341" s="2" t="n">
        <x:v>13</x:v>
      </x:c>
      <x:c r="J341" s="2" t="n">
        <x:v>21</x:v>
      </x:c>
      <x:c r="K341" s="2" t="str">
        <x:v>已达到</x:v>
      </x:c>
      <x:c r="L341" s="10" t="n">
        <x:v>0.7957999698718254</x:v>
      </x:c>
      <x:c r="M341" s="10" t="n">
        <x:v>0.809857948000849</x:v>
      </x:c>
      <x:c r="N341" s="10" t="n">
        <x:v>0.7957999698718254</x:v>
      </x:c>
      <x:c r="O341" s="2" t="n">
        <x:v>241</x:v>
      </x:c>
      <x:c r="P341" s="10" t="n">
        <x:v>1</x:v>
      </x:c>
      <x:c r="Q341" s="10" t="n">
        <x:v>1</x:v>
      </x:c>
    </x:row>
    <x:row r="342" ht="23" customHeight="1">
      <x:c r="A342" s="2" t="str">
        <x:v>Health</x:v>
      </x:c>
      <x:c r="B342" s="2" t="n">
        <x:v>36</x:v>
      </x:c>
      <x:c r="C342" s="2" t="str">
        <x:v>SpecTF</x:v>
      </x:c>
      <x:c r="D342" s="2" t="n">
        <x:v>2026</x:v>
      </x:c>
      <x:c r="E342" s="10" t="n">
        <x:v>1.9760118218181606</x:v>
      </x:c>
      <x:c r="F342" s="10" t="n">
        <x:v>2.0092821314972964</x:v>
      </x:c>
      <x:c r="G342" s="10" t="n">
        <x:v>1.9760118218181606</x:v>
      </x:c>
      <x:c r="H342" s="11" t="n">
        <x:v>0</x:v>
      </x:c>
      <x:c r="I342" s="2" t="n">
        <x:v>10</x:v>
      </x:c>
      <x:c r="J342" s="2" t="n">
        <x:v>18</x:v>
      </x:c>
      <x:c r="K342" s="2" t="str">
        <x:v>已达到</x:v>
      </x:c>
      <x:c r="L342" s="10" t="n">
        <x:v>0.9709013853879775</x:v>
      </x:c>
      <x:c r="M342" s="10" t="n">
        <x:v>0.9832859052818034</x:v>
      </x:c>
      <x:c r="N342" s="10" t="n">
        <x:v>0.9709013853879775</x:v>
      </x:c>
      <x:c r="O342" s="2" t="n">
        <x:v>241</x:v>
      </x:c>
      <x:c r="P342" s="10" t="n">
        <x:v>1</x:v>
      </x:c>
      <x:c r="Q342" s="10" t="n">
        <x:v>1</x:v>
      </x:c>
    </x:row>
    <x:row r="343" ht="23" customHeight="1">
      <x:c r="A343" s="2" t="str">
        <x:v>Health</x:v>
      </x:c>
      <x:c r="B343" s="2" t="n">
        <x:v>36</x:v>
      </x:c>
      <x:c r="C343" s="2" t="str">
        <x:v>SpecTF</x:v>
      </x:c>
      <x:c r="D343" s="2" t="n">
        <x:v>2027</x:v>
      </x:c>
      <x:c r="E343" s="10" t="n">
        <x:v>1.9760118218181606</x:v>
      </x:c>
      <x:c r="F343" s="10" t="n">
        <x:v>1.9937862993500077</x:v>
      </x:c>
      <x:c r="G343" s="10" t="n">
        <x:v>1.9760118218181606</x:v>
      </x:c>
      <x:c r="H343" s="11" t="n">
        <x:v>0</x:v>
      </x:c>
      <x:c r="I343" s="2" t="n">
        <x:v>12</x:v>
      </x:c>
      <x:c r="J343" s="2" t="n">
        <x:v>20</x:v>
      </x:c>
      <x:c r="K343" s="2" t="str">
        <x:v>已达到</x:v>
      </x:c>
      <x:c r="L343" s="10" t="n">
        <x:v>0.9709013853879775</x:v>
      </x:c>
      <x:c r="M343" s="10" t="n">
        <x:v>0.9783048765155529</x:v>
      </x:c>
      <x:c r="N343" s="10" t="n">
        <x:v>0.9709013853879775</x:v>
      </x:c>
      <x:c r="O343" s="2" t="n">
        <x:v>241</x:v>
      </x:c>
      <x:c r="P343" s="10" t="n">
        <x:v>1</x:v>
      </x:c>
      <x:c r="Q343" s="10" t="n">
        <x:v>1</x:v>
      </x:c>
    </x:row>
    <x:row r="344" ht="23" customHeight="1">
      <x:c r="A344" s="2" t="str">
        <x:v>Health</x:v>
      </x:c>
      <x:c r="B344" s="2" t="n">
        <x:v>36</x:v>
      </x:c>
      <x:c r="C344" s="2" t="str">
        <x:v>SpecTF</x:v>
      </x:c>
      <x:c r="D344" s="2" t="n">
        <x:v>2028</x:v>
      </x:c>
      <x:c r="E344" s="10" t="n">
        <x:v>1.9760118218181606</x:v>
      </x:c>
      <x:c r="F344" s="10" t="n">
        <x:v>2.0100160353788175</x:v>
      </x:c>
      <x:c r="G344" s="10" t="n">
        <x:v>1.9760118218181606</x:v>
      </x:c>
      <x:c r="H344" s="11" t="n">
        <x:v>0</x:v>
      </x:c>
      <x:c r="I344" s="2" t="n">
        <x:v>13</x:v>
      </x:c>
      <x:c r="J344" s="2" t="n">
        <x:v>21</x:v>
      </x:c>
      <x:c r="K344" s="2" t="str">
        <x:v>已达到</x:v>
      </x:c>
      <x:c r="L344" s="10" t="n">
        <x:v>0.9709013853879775</x:v>
      </x:c>
      <x:c r="M344" s="10" t="n">
        <x:v>0.9839989892130855</x:v>
      </x:c>
      <x:c r="N344" s="10" t="n">
        <x:v>0.9709013853879775</x:v>
      </x:c>
      <x:c r="O344" s="2" t="n">
        <x:v>241</x:v>
      </x:c>
      <x:c r="P344" s="10" t="n">
        <x:v>1</x:v>
      </x:c>
      <x:c r="Q344" s="10" t="n">
        <x:v>1</x:v>
      </x:c>
    </x:row>
    <x:row r="345" ht="23" customHeight="1">
      <x:c r="A345" s="2" t="str">
        <x:v>Health</x:v>
      </x:c>
      <x:c r="B345" s="2" t="n">
        <x:v>36</x:v>
      </x:c>
      <x:c r="C345" s="2" t="str">
        <x:v>CFA</x:v>
      </x:c>
      <x:c r="D345" s="2" t="n">
        <x:v>2026</x:v>
      </x:c>
      <x:c r="E345" s="10" t="n">
        <x:v>3.2615469383600995</x:v>
      </x:c>
      <x:c r="F345" s="10" t="n">
        <x:v>3.3322999388330716</x:v>
      </x:c>
      <x:c r="G345" s="10" t="n">
        <x:v>3.2615469383600995</x:v>
      </x:c>
      <x:c r="H345" s="11" t="n">
        <x:v>0</x:v>
      </x:c>
      <x:c r="I345" s="2" t="n">
        <x:v>10</x:v>
      </x:c>
      <x:c r="J345" s="2" t="n">
        <x:v>18</x:v>
      </x:c>
      <x:c r="K345" s="2" t="str">
        <x:v>已达到</x:v>
      </x:c>
      <x:c r="L345" s="10" t="n">
        <x:v>1.0605147466558817</x:v>
      </x:c>
      <x:c r="M345" s="10" t="n">
        <x:v>1.0751169526309092</x:v>
      </x:c>
      <x:c r="N345" s="10" t="n">
        <x:v>1.0605147466558817</x:v>
      </x:c>
      <x:c r="O345" s="2" t="n">
        <x:v>241</x:v>
      </x:c>
      <x:c r="P345" s="10" t="n">
        <x:v>1</x:v>
      </x:c>
      <x:c r="Q345" s="10" t="n">
        <x:v>1</x:v>
      </x:c>
    </x:row>
    <x:row r="346" ht="23" customHeight="1">
      <x:c r="A346" s="2" t="str">
        <x:v>Health</x:v>
      </x:c>
      <x:c r="B346" s="2" t="n">
        <x:v>36</x:v>
      </x:c>
      <x:c r="C346" s="2" t="str">
        <x:v>CFA</x:v>
      </x:c>
      <x:c r="D346" s="2" t="n">
        <x:v>2027</x:v>
      </x:c>
      <x:c r="E346" s="10" t="n">
        <x:v>3.2615469383600995</x:v>
      </x:c>
      <x:c r="F346" s="10" t="n">
        <x:v>3.310248342975017</x:v>
      </x:c>
      <x:c r="G346" s="10" t="n">
        <x:v>3.2615469383600995</x:v>
      </x:c>
      <x:c r="H346" s="11" t="n">
        <x:v>0</x:v>
      </x:c>
      <x:c r="I346" s="2" t="n">
        <x:v>12</x:v>
      </x:c>
      <x:c r="J346" s="2" t="n">
        <x:v>20</x:v>
      </x:c>
      <x:c r="K346" s="2" t="str">
        <x:v>已达到</x:v>
      </x:c>
      <x:c r="L346" s="10" t="n">
        <x:v>1.0605147466558817</x:v>
      </x:c>
      <x:c r="M346" s="10" t="n">
        <x:v>1.0688856081319116</x:v>
      </x:c>
      <x:c r="N346" s="10" t="n">
        <x:v>1.0605147466558817</x:v>
      </x:c>
      <x:c r="O346" s="2" t="n">
        <x:v>241</x:v>
      </x:c>
      <x:c r="P346" s="10" t="n">
        <x:v>1</x:v>
      </x:c>
      <x:c r="Q346" s="10" t="n">
        <x:v>1</x:v>
      </x:c>
    </x:row>
    <x:row r="347" ht="23" customHeight="1">
      <x:c r="A347" s="2" t="str">
        <x:v>Health</x:v>
      </x:c>
      <x:c r="B347" s="2" t="n">
        <x:v>36</x:v>
      </x:c>
      <x:c r="C347" s="2" t="str">
        <x:v>CFA</x:v>
      </x:c>
      <x:c r="D347" s="2" t="n">
        <x:v>2028</x:v>
      </x:c>
      <x:c r="E347" s="10" t="n">
        <x:v>3.2615469383600995</x:v>
      </x:c>
      <x:c r="F347" s="10" t="n">
        <x:v>3.3567033690565387</x:v>
      </x:c>
      <x:c r="G347" s="10" t="n">
        <x:v>3.2615469383600995</x:v>
      </x:c>
      <x:c r="H347" s="11" t="n">
        <x:v>0</x:v>
      </x:c>
      <x:c r="I347" s="2" t="n">
        <x:v>13</x:v>
      </x:c>
      <x:c r="J347" s="2" t="n">
        <x:v>21</x:v>
      </x:c>
      <x:c r="K347" s="2" t="str">
        <x:v>已达到</x:v>
      </x:c>
      <x:c r="L347" s="10" t="n">
        <x:v>1.0605147466558817</x:v>
      </x:c>
      <x:c r="M347" s="10" t="n">
        <x:v>1.0789208965609736</x:v>
      </x:c>
      <x:c r="N347" s="10" t="n">
        <x:v>1.0605147466558817</x:v>
      </x:c>
      <x:c r="O347" s="2" t="n">
        <x:v>241</x:v>
      </x:c>
      <x:c r="P347" s="10" t="n">
        <x:v>1</x:v>
      </x:c>
      <x:c r="Q347" s="10" t="n">
        <x:v>1</x:v>
      </x:c>
    </x:row>
    <x:row r="348" ht="23" customHeight="1">
      <x:c r="A348" s="2" t="str">
        <x:v>Health</x:v>
      </x:c>
      <x:c r="B348" s="2" t="n">
        <x:v>36</x:v>
      </x:c>
      <x:c r="C348" s="2" t="str">
        <x:v>Aurora</x:v>
      </x:c>
      <x:c r="D348" s="2" t="n">
        <x:v>2026</x:v>
      </x:c>
      <x:c r="E348" s="10" t="n">
        <x:v>3.2140425584838486</x:v>
      </x:c>
      <x:c r="F348" s="10" t="n">
        <x:v>3.2436249452303465</x:v>
      </x:c>
      <x:c r="G348" s="10" t="n">
        <x:v>3.2140425584838486</x:v>
      </x:c>
      <x:c r="H348" s="11" t="n">
        <x:v>0</x:v>
      </x:c>
      <x:c r="I348" s="2" t="n">
        <x:v>10</x:v>
      </x:c>
      <x:c r="J348" s="2" t="n">
        <x:v>18</x:v>
      </x:c>
      <x:c r="K348" s="2" t="str">
        <x:v>已达到</x:v>
      </x:c>
      <x:c r="L348" s="10" t="n">
        <x:v>1.2744120766422784</x:v>
      </x:c>
      <x:c r="M348" s="10" t="n">
        <x:v>1.2837584154841315</x:v>
      </x:c>
      <x:c r="N348" s="10" t="n">
        <x:v>1.2744120766422784</x:v>
      </x:c>
      <x:c r="O348" s="2" t="n">
        <x:v>241</x:v>
      </x:c>
      <x:c r="P348" s="10" t="n">
        <x:v>1</x:v>
      </x:c>
      <x:c r="Q348" s="10" t="n">
        <x:v>1</x:v>
      </x:c>
    </x:row>
    <x:row r="349" ht="23" customHeight="1">
      <x:c r="A349" s="2" t="str">
        <x:v>Health</x:v>
      </x:c>
      <x:c r="B349" s="2" t="n">
        <x:v>36</x:v>
      </x:c>
      <x:c r="C349" s="2" t="str">
        <x:v>Aurora</x:v>
      </x:c>
      <x:c r="D349" s="2" t="n">
        <x:v>2027</x:v>
      </x:c>
      <x:c r="E349" s="10" t="n">
        <x:v>3.2140425584838486</x:v>
      </x:c>
      <x:c r="F349" s="10" t="n">
        <x:v>3.227327228181244</x:v>
      </x:c>
      <x:c r="G349" s="10" t="n">
        <x:v>3.2140425584838486</x:v>
      </x:c>
      <x:c r="H349" s="11" t="n">
        <x:v>0</x:v>
      </x:c>
      <x:c r="I349" s="2" t="n">
        <x:v>12</x:v>
      </x:c>
      <x:c r="J349" s="2" t="n">
        <x:v>20</x:v>
      </x:c>
      <x:c r="K349" s="2" t="str">
        <x:v>已达到</x:v>
      </x:c>
      <x:c r="L349" s="10" t="n">
        <x:v>1.2744120766422784</x:v>
      </x:c>
      <x:c r="M349" s="10" t="n">
        <x:v>1.2767082836876749</x:v>
      </x:c>
      <x:c r="N349" s="10" t="n">
        <x:v>1.2744120766422784</x:v>
      </x:c>
      <x:c r="O349" s="2" t="n">
        <x:v>241</x:v>
      </x:c>
      <x:c r="P349" s="10" t="n">
        <x:v>1</x:v>
      </x:c>
      <x:c r="Q349" s="10" t="n">
        <x:v>1</x:v>
      </x:c>
    </x:row>
    <x:row r="350" ht="23" customHeight="1">
      <x:c r="A350" s="2" t="str">
        <x:v>Health</x:v>
      </x:c>
      <x:c r="B350" s="2" t="n">
        <x:v>36</x:v>
      </x:c>
      <x:c r="C350" s="2" t="str">
        <x:v>Aurora</x:v>
      </x:c>
      <x:c r="D350" s="2" t="n">
        <x:v>2028</x:v>
      </x:c>
      <x:c r="E350" s="10" t="n">
        <x:v>3.2140425584838486</x:v>
      </x:c>
      <x:c r="F350" s="10" t="n">
        <x:v>3.252044033720513</x:v>
      </x:c>
      <x:c r="G350" s="10" t="n">
        <x:v>3.2140425584838486</x:v>
      </x:c>
      <x:c r="H350" s="11" t="n">
        <x:v>0</x:v>
      </x:c>
      <x:c r="I350" s="2" t="n">
        <x:v>13</x:v>
      </x:c>
      <x:c r="J350" s="2" t="n">
        <x:v>21</x:v>
      </x:c>
      <x:c r="K350" s="2" t="str">
        <x:v>已达到</x:v>
      </x:c>
      <x:c r="L350" s="10" t="n">
        <x:v>1.2744120766422784</x:v>
      </x:c>
      <x:c r="M350" s="10" t="n">
        <x:v>1.2820098843054295</x:v>
      </x:c>
      <x:c r="N350" s="10" t="n">
        <x:v>1.2744120766422784</x:v>
      </x:c>
      <x:c r="O350" s="2" t="n">
        <x:v>241</x:v>
      </x:c>
      <x:c r="P350" s="10" t="n">
        <x:v>1</x:v>
      </x:c>
      <x:c r="Q350" s="10" t="n">
        <x:v>1</x:v>
      </x:c>
    </x:row>
    <x:row r="351" ht="23" customHeight="1">
      <x:c r="A351" s="2" t="str">
        <x:v>Health</x:v>
      </x:c>
      <x:c r="B351" s="2" t="n">
        <x:v>48</x:v>
      </x:c>
      <x:c r="C351" s="2" t="str">
        <x:v>TaTS</x:v>
      </x:c>
      <x:c r="D351" s="2" t="n">
        <x:v>2026</x:v>
      </x:c>
      <x:c r="E351" s="10" t="n">
        <x:v>2.4391529485784003</x:v>
      </x:c>
      <x:c r="F351" s="10" t="n">
        <x:v>2.4740117803238775</x:v>
      </x:c>
      <x:c r="G351" s="10" t="n">
        <x:v>2.4294478035409868</x:v>
      </x:c>
      <x:c r="H351" s="11" t="n">
        <x:v>0.25</x:v>
      </x:c>
      <x:c r="I351" s="2" t="n">
        <x:v>38</x:v>
      </x:c>
      <x:c r="J351" s="2" t="n">
        <x:v>46</x:v>
      </x:c>
      <x:c r="K351" s="2" t="str">
        <x:v>已达到</x:v>
      </x:c>
      <x:c r="L351" s="10" t="n">
        <x:v>0.9848521591679822</x:v>
      </x:c>
      <x:c r="M351" s="10" t="n">
        <x:v>0.9634521735405618</x:v>
      </x:c>
      <x:c r="N351" s="10" t="n">
        <x:v>0.9712232773270727</x:v>
      </x:c>
      <x:c r="O351" s="2" t="n">
        <x:v>229</x:v>
      </x:c>
      <x:c r="P351" s="10" t="n">
        <x:v>0.9928600906682892</x:v>
      </x:c>
      <x:c r="Q351" s="10" t="n">
        <x:v>0.9798169499979256</x:v>
      </x:c>
    </x:row>
    <x:row r="352" ht="23" customHeight="1">
      <x:c r="A352" s="2" t="str">
        <x:v>Health</x:v>
      </x:c>
      <x:c r="B352" s="2" t="n">
        <x:v>48</x:v>
      </x:c>
      <x:c r="C352" s="2" t="str">
        <x:v>TaTS</x:v>
      </x:c>
      <x:c r="D352" s="2" t="n">
        <x:v>2027</x:v>
      </x:c>
      <x:c r="E352" s="10" t="n">
        <x:v>2.4391529485784003</x:v>
      </x:c>
      <x:c r="F352" s="10" t="n">
        <x:v>2.4391529485089607</x:v>
      </x:c>
      <x:c r="G352" s="10" t="n">
        <x:v>2.4391529485784003</x:v>
      </x:c>
      <x:c r="H352" s="11" t="n">
        <x:v>0</x:v>
      </x:c>
      <x:c r="I352" s="2" t="n">
        <x:v>0</x:v>
      </x:c>
      <x:c r="J352" s="2" t="n">
        <x:v>8</x:v>
      </x:c>
      <x:c r="K352" s="2" t="str">
        <x:v>已达到</x:v>
      </x:c>
      <x:c r="L352" s="10" t="n">
        <x:v>0.9848521591679822</x:v>
      </x:c>
      <x:c r="M352" s="10" t="n">
        <x:v>0.9848521591043903</x:v>
      </x:c>
      <x:c r="N352" s="10" t="n">
        <x:v>0.9848521591679822</x:v>
      </x:c>
      <x:c r="O352" s="2" t="n">
        <x:v>229</x:v>
      </x:c>
      <x:c r="P352" s="10" t="n">
        <x:v>1</x:v>
      </x:c>
      <x:c r="Q352" s="10" t="n">
        <x:v>1</x:v>
      </x:c>
    </x:row>
    <x:row r="353" ht="23" customHeight="1">
      <x:c r="A353" s="2" t="str">
        <x:v>Health</x:v>
      </x:c>
      <x:c r="B353" s="2" t="n">
        <x:v>48</x:v>
      </x:c>
      <x:c r="C353" s="2" t="str">
        <x:v>TaTS</x:v>
      </x:c>
      <x:c r="D353" s="2" t="n">
        <x:v>2028</x:v>
      </x:c>
      <x:c r="E353" s="10" t="n">
        <x:v>2.4391529485784003</x:v>
      </x:c>
      <x:c r="F353" s="10" t="n">
        <x:v>2.4384975347546196</x:v>
      </x:c>
      <x:c r="G353" s="10" t="n">
        <x:v>2.4384975347546196</x:v>
      </x:c>
      <x:c r="H353" s="11" t="n">
        <x:v>1</x:v>
      </x:c>
      <x:c r="I353" s="2" t="n">
        <x:v>1</x:v>
      </x:c>
      <x:c r="J353" s="2" t="n">
        <x:v>9</x:v>
      </x:c>
      <x:c r="K353" s="2" t="str">
        <x:v>已达到</x:v>
      </x:c>
      <x:c r="L353" s="10" t="n">
        <x:v>0.9848521591679822</x:v>
      </x:c>
      <x:c r="M353" s="10" t="n">
        <x:v>0.9842761385399705</x:v>
      </x:c>
      <x:c r="N353" s="10" t="n">
        <x:v>0.9842761385399705</x:v>
      </x:c>
      <x:c r="O353" s="2" t="n">
        <x:v>229</x:v>
      </x:c>
      <x:c r="P353" s="10" t="n">
        <x:v>0.9999702352188158</x:v>
      </x:c>
      <x:c r="Q353" s="10" t="n">
        <x:v>0.9985481181762903</x:v>
      </x:c>
    </x:row>
    <x:row r="354" ht="23" customHeight="1">
      <x:c r="A354" s="2" t="str">
        <x:v>Health</x:v>
      </x:c>
      <x:c r="B354" s="2" t="n">
        <x:v>48</x:v>
      </x:c>
      <x:c r="C354" s="2" t="str">
        <x:v>MM-TSFlib</x:v>
      </x:c>
      <x:c r="D354" s="2" t="n">
        <x:v>2026</x:v>
      </x:c>
      <x:c r="E354" s="10" t="n">
        <x:v>1.5206820696563101</x:v>
      </x:c>
      <x:c r="F354" s="10" t="n">
        <x:v>1.3755376989743706</x:v>
      </x:c>
      <x:c r="G354" s="10" t="n">
        <x:v>1.4208555366446782</x:v>
      </x:c>
      <x:c r="H354" s="11" t="n">
        <x:v>0.5</x:v>
      </x:c>
      <x:c r="I354" s="2" t="n">
        <x:v>38</x:v>
      </x:c>
      <x:c r="J354" s="2" t="n">
        <x:v>46</x:v>
      </x:c>
      <x:c r="K354" s="2" t="str">
        <x:v>已达到</x:v>
      </x:c>
      <x:c r="L354" s="10" t="n">
        <x:v>0.8628716780061357</x:v>
      </x:c>
      <x:c r="M354" s="10" t="n">
        <x:v>0.8374459613982521</x:v>
      </x:c>
      <x:c r="N354" s="10" t="n">
        <x:v>0.8324610105871654</x:v>
      </x:c>
      <x:c r="O354" s="2" t="n">
        <x:v>229</x:v>
      </x:c>
      <x:c r="P354" s="10" t="n">
        <x:v>0.9737079854974507</x:v>
      </x:c>
      <x:c r="Q354" s="10" t="n">
        <x:v>0.9835824110219576</x:v>
      </x:c>
    </x:row>
    <x:row r="355" ht="23" customHeight="1">
      <x:c r="A355" s="2" t="str">
        <x:v>Health</x:v>
      </x:c>
      <x:c r="B355" s="2" t="n">
        <x:v>48</x:v>
      </x:c>
      <x:c r="C355" s="2" t="str">
        <x:v>MM-TSFlib</x:v>
      </x:c>
      <x:c r="D355" s="2" t="n">
        <x:v>2027</x:v>
      </x:c>
      <x:c r="E355" s="10" t="n">
        <x:v>1.5206820696563101</x:v>
      </x:c>
      <x:c r="F355" s="10" t="n">
        <x:v>1.5206820695504868</x:v>
      </x:c>
      <x:c r="G355" s="10" t="n">
        <x:v>1.5206820695504868</x:v>
      </x:c>
      <x:c r="H355" s="11" t="n">
        <x:v>1</x:v>
      </x:c>
      <x:c r="I355" s="2" t="n">
        <x:v>0</x:v>
      </x:c>
      <x:c r="J355" s="2" t="n">
        <x:v>8</x:v>
      </x:c>
      <x:c r="K355" s="2" t="str">
        <x:v>已达到</x:v>
      </x:c>
      <x:c r="L355" s="10" t="n">
        <x:v>0.8628716780061357</x:v>
      </x:c>
      <x:c r="M355" s="10" t="n">
        <x:v>0.8628716779242064</x:v>
      </x:c>
      <x:c r="N355" s="10" t="n">
        <x:v>0.8628716779242064</x:v>
      </x:c>
      <x:c r="O355" s="2" t="n">
        <x:v>229</x:v>
      </x:c>
      <x:c r="P355" s="10" t="n">
        <x:v>0.9999999999074265</x:v>
      </x:c>
      <x:c r="Q355" s="10" t="n">
        <x:v>0.9999999999057728</x:v>
      </x:c>
    </x:row>
    <x:row r="356" ht="23" customHeight="1">
      <x:c r="A356" s="2" t="str">
        <x:v>Health</x:v>
      </x:c>
      <x:c r="B356" s="2" t="n">
        <x:v>48</x:v>
      </x:c>
      <x:c r="C356" s="2" t="str">
        <x:v>MM-TSFlib</x:v>
      </x:c>
      <x:c r="D356" s="2" t="n">
        <x:v>2028</x:v>
      </x:c>
      <x:c r="E356" s="10" t="n">
        <x:v>1.5206820696563101</x:v>
      </x:c>
      <x:c r="F356" s="10" t="n">
        <x:v>1.5179919267703716</x:v>
      </x:c>
      <x:c r="G356" s="10" t="n">
        <x:v>1.5206820696563101</x:v>
      </x:c>
      <x:c r="H356" s="11" t="n">
        <x:v>0</x:v>
      </x:c>
      <x:c r="I356" s="2" t="n">
        <x:v>1</x:v>
      </x:c>
      <x:c r="J356" s="2" t="n">
        <x:v>9</x:v>
      </x:c>
      <x:c r="K356" s="2" t="str">
        <x:v>已达到</x:v>
      </x:c>
      <x:c r="L356" s="10" t="n">
        <x:v>0.8628716780061357</x:v>
      </x:c>
      <x:c r="M356" s="10" t="n">
        <x:v>0.862056389372347</x:v>
      </x:c>
      <x:c r="N356" s="10" t="n">
        <x:v>0.8628716780061357</x:v>
      </x:c>
      <x:c r="O356" s="2" t="n">
        <x:v>229</x:v>
      </x:c>
      <x:c r="P356" s="10" t="n">
        <x:v>1</x:v>
      </x:c>
      <x:c r="Q356" s="10" t="n">
        <x:v>1</x:v>
      </x:c>
    </x:row>
    <x:row r="357" ht="23" customHeight="1">
      <x:c r="A357" s="2" t="str">
        <x:v>Health</x:v>
      </x:c>
      <x:c r="B357" s="2" t="n">
        <x:v>48</x:v>
      </x:c>
      <x:c r="C357" s="2" t="str">
        <x:v>SpecTF</x:v>
      </x:c>
      <x:c r="D357" s="2" t="n">
        <x:v>2026</x:v>
      </x:c>
      <x:c r="E357" s="10" t="n">
        <x:v>1.8182009804632495</x:v>
      </x:c>
      <x:c r="F357" s="10" t="n">
        <x:v>2.0020639356435943</x:v>
      </x:c>
      <x:c r="G357" s="10" t="n">
        <x:v>1.8182009804632495</x:v>
      </x:c>
      <x:c r="H357" s="11" t="n">
        <x:v>0</x:v>
      </x:c>
      <x:c r="I357" s="2" t="n">
        <x:v>38</x:v>
      </x:c>
      <x:c r="J357" s="2" t="n">
        <x:v>46</x:v>
      </x:c>
      <x:c r="K357" s="2" t="str">
        <x:v>已达到</x:v>
      </x:c>
      <x:c r="L357" s="10" t="n">
        <x:v>0.9114058267188971</x:v>
      </x:c>
      <x:c r="M357" s="10" t="n">
        <x:v>0.9607804759562927</x:v>
      </x:c>
      <x:c r="N357" s="10" t="n">
        <x:v>0.9114058267188971</x:v>
      </x:c>
      <x:c r="O357" s="2" t="n">
        <x:v>229</x:v>
      </x:c>
      <x:c r="P357" s="10" t="n">
        <x:v>1</x:v>
      </x:c>
      <x:c r="Q357" s="10" t="n">
        <x:v>1</x:v>
      </x:c>
    </x:row>
    <x:row r="358" ht="23" customHeight="1">
      <x:c r="A358" s="2" t="str">
        <x:v>Health</x:v>
      </x:c>
      <x:c r="B358" s="2" t="n">
        <x:v>48</x:v>
      </x:c>
      <x:c r="C358" s="2" t="str">
        <x:v>SpecTF</x:v>
      </x:c>
      <x:c r="D358" s="2" t="n">
        <x:v>2027</x:v>
      </x:c>
      <x:c r="E358" s="10" t="n">
        <x:v>1.8182009804632495</x:v>
      </x:c>
      <x:c r="F358" s="10" t="n">
        <x:v>1.8182009804299586</x:v>
      </x:c>
      <x:c r="G358" s="10" t="n">
        <x:v>1.818200980457099</x:v>
      </x:c>
      <x:c r="H358" s="11" t="n">
        <x:v>0.25</x:v>
      </x:c>
      <x:c r="I358" s="2" t="n">
        <x:v>0</x:v>
      </x:c>
      <x:c r="J358" s="2" t="n">
        <x:v>8</x:v>
      </x:c>
      <x:c r="K358" s="2" t="str">
        <x:v>已达到</x:v>
      </x:c>
      <x:c r="L358" s="10" t="n">
        <x:v>0.9114058267188971</x:v>
      </x:c>
      <x:c r="M358" s="10" t="n">
        <x:v>0.9114058266932764</x:v>
      </x:c>
      <x:c r="N358" s="10" t="n">
        <x:v>0.9114058267135726</x:v>
      </x:c>
      <x:c r="O358" s="2" t="n">
        <x:v>229</x:v>
      </x:c>
      <x:c r="P358" s="10" t="n">
        <x:v>0.9999999999946659</x:v>
      </x:c>
      <x:c r="Q358" s="10" t="n">
        <x:v>0.9999999999987478</x:v>
      </x:c>
    </x:row>
    <x:row r="359" ht="23" customHeight="1">
      <x:c r="A359" s="2" t="str">
        <x:v>Health</x:v>
      </x:c>
      <x:c r="B359" s="2" t="n">
        <x:v>48</x:v>
      </x:c>
      <x:c r="C359" s="2" t="str">
        <x:v>SpecTF</x:v>
      </x:c>
      <x:c r="D359" s="2" t="n">
        <x:v>2028</x:v>
      </x:c>
      <x:c r="E359" s="10" t="n">
        <x:v>1.8182009804632495</x:v>
      </x:c>
      <x:c r="F359" s="10" t="n">
        <x:v>1.820122409932689</x:v>
      </x:c>
      <x:c r="G359" s="10" t="n">
        <x:v>1.8182009804632495</x:v>
      </x:c>
      <x:c r="H359" s="11" t="n">
        <x:v>0</x:v>
      </x:c>
      <x:c r="I359" s="2" t="n">
        <x:v>1</x:v>
      </x:c>
      <x:c r="J359" s="2" t="n">
        <x:v>9</x:v>
      </x:c>
      <x:c r="K359" s="2" t="str">
        <x:v>已达到</x:v>
      </x:c>
      <x:c r="L359" s="10" t="n">
        <x:v>0.9114058267188971</x:v>
      </x:c>
      <x:c r="M359" s="10" t="n">
        <x:v>0.9118292872217829</x:v>
      </x:c>
      <x:c r="N359" s="10" t="n">
        <x:v>0.9114058267188971</x:v>
      </x:c>
      <x:c r="O359" s="2" t="n">
        <x:v>229</x:v>
      </x:c>
      <x:c r="P359" s="10" t="n">
        <x:v>1</x:v>
      </x:c>
      <x:c r="Q359" s="10" t="n">
        <x:v>1</x:v>
      </x:c>
    </x:row>
    <x:row r="360" ht="23" customHeight="1">
      <x:c r="A360" s="2" t="str">
        <x:v>Health</x:v>
      </x:c>
      <x:c r="B360" s="2" t="n">
        <x:v>48</x:v>
      </x:c>
      <x:c r="C360" s="2" t="str">
        <x:v>CFA</x:v>
      </x:c>
      <x:c r="D360" s="2" t="n">
        <x:v>2026</x:v>
      </x:c>
      <x:c r="E360" s="10" t="n">
        <x:v>2.486236831301244</x:v>
      </x:c>
      <x:c r="F360" s="10" t="n">
        <x:v>2.748133105646296</x:v>
      </x:c>
      <x:c r="G360" s="10" t="n">
        <x:v>2.486236831301244</x:v>
      </x:c>
      <x:c r="H360" s="11" t="n">
        <x:v>0</x:v>
      </x:c>
      <x:c r="I360" s="2" t="n">
        <x:v>38</x:v>
      </x:c>
      <x:c r="J360" s="2" t="n">
        <x:v>46</x:v>
      </x:c>
      <x:c r="K360" s="2" t="str">
        <x:v>已达到</x:v>
      </x:c>
      <x:c r="L360" s="10" t="n">
        <x:v>1.0196322224856413</x:v>
      </x:c>
      <x:c r="M360" s="10" t="n">
        <x:v>1.0821278818293742</x:v>
      </x:c>
      <x:c r="N360" s="10" t="n">
        <x:v>1.0196322224856413</x:v>
      </x:c>
      <x:c r="O360" s="2" t="n">
        <x:v>229</x:v>
      </x:c>
      <x:c r="P360" s="10" t="n">
        <x:v>1</x:v>
      </x:c>
      <x:c r="Q360" s="10" t="n">
        <x:v>1</x:v>
      </x:c>
    </x:row>
    <x:row r="361" ht="23" customHeight="1">
      <x:c r="A361" s="2" t="str">
        <x:v>Health</x:v>
      </x:c>
      <x:c r="B361" s="2" t="n">
        <x:v>48</x:v>
      </x:c>
      <x:c r="C361" s="2" t="str">
        <x:v>CFA</x:v>
      </x:c>
      <x:c r="D361" s="2" t="n">
        <x:v>2027</x:v>
      </x:c>
      <x:c r="E361" s="10" t="n">
        <x:v>2.486236831301244</x:v>
      </x:c>
      <x:c r="F361" s="10" t="n">
        <x:v>2.4862368313522984</x:v>
      </x:c>
      <x:c r="G361" s="10" t="n">
        <x:v>2.486236831301244</x:v>
      </x:c>
      <x:c r="H361" s="11" t="n">
        <x:v>0</x:v>
      </x:c>
      <x:c r="I361" s="2" t="n">
        <x:v>0</x:v>
      </x:c>
      <x:c r="J361" s="2" t="n">
        <x:v>8</x:v>
      </x:c>
      <x:c r="K361" s="2" t="str">
        <x:v>已达到</x:v>
      </x:c>
      <x:c r="L361" s="10" t="n">
        <x:v>1.0196322224856413</x:v>
      </x:c>
      <x:c r="M361" s="10" t="n">
        <x:v>1.0196322225608718</x:v>
      </x:c>
      <x:c r="N361" s="10" t="n">
        <x:v>1.0196322224856413</x:v>
      </x:c>
      <x:c r="O361" s="2" t="n">
        <x:v>229</x:v>
      </x:c>
      <x:c r="P361" s="10" t="n">
        <x:v>1</x:v>
      </x:c>
      <x:c r="Q361" s="10" t="n">
        <x:v>1</x:v>
      </x:c>
    </x:row>
    <x:row r="362" ht="23" customHeight="1">
      <x:c r="A362" s="2" t="str">
        <x:v>Health</x:v>
      </x:c>
      <x:c r="B362" s="2" t="n">
        <x:v>48</x:v>
      </x:c>
      <x:c r="C362" s="2" t="str">
        <x:v>CFA</x:v>
      </x:c>
      <x:c r="D362" s="2" t="n">
        <x:v>2028</x:v>
      </x:c>
      <x:c r="E362" s="10" t="n">
        <x:v>2.486236831301244</x:v>
      </x:c>
      <x:c r="F362" s="10" t="n">
        <x:v>2.488126894809834</x:v>
      </x:c>
      <x:c r="G362" s="10" t="n">
        <x:v>2.486236831301244</x:v>
      </x:c>
      <x:c r="H362" s="11" t="n">
        <x:v>0</x:v>
      </x:c>
      <x:c r="I362" s="2" t="n">
        <x:v>1</x:v>
      </x:c>
      <x:c r="J362" s="2" t="n">
        <x:v>9</x:v>
      </x:c>
      <x:c r="K362" s="2" t="str">
        <x:v>已达到</x:v>
      </x:c>
      <x:c r="L362" s="10" t="n">
        <x:v>1.0196322224856413</x:v>
      </x:c>
      <x:c r="M362" s="10" t="n">
        <x:v>1.0198813999036955</x:v>
      </x:c>
      <x:c r="N362" s="10" t="n">
        <x:v>1.0196322224856413</x:v>
      </x:c>
      <x:c r="O362" s="2" t="n">
        <x:v>229</x:v>
      </x:c>
      <x:c r="P362" s="10" t="n">
        <x:v>1</x:v>
      </x:c>
      <x:c r="Q362" s="10" t="n">
        <x:v>1</x:v>
      </x:c>
    </x:row>
    <x:row r="363" ht="23" customHeight="1">
      <x:c r="A363" s="2" t="str">
        <x:v>Health</x:v>
      </x:c>
      <x:c r="B363" s="2" t="n">
        <x:v>48</x:v>
      </x:c>
      <x:c r="C363" s="2" t="str">
        <x:v>Aurora</x:v>
      </x:c>
      <x:c r="D363" s="2" t="n">
        <x:v>2026</x:v>
      </x:c>
      <x:c r="E363" s="10" t="n">
        <x:v>3.04441356828496</x:v>
      </x:c>
      <x:c r="F363" s="10" t="n">
        <x:v>3.078488774439792</x:v>
      </x:c>
      <x:c r="G363" s="10" t="n">
        <x:v>3.04441356828496</x:v>
      </x:c>
      <x:c r="H363" s="11" t="n">
        <x:v>0</x:v>
      </x:c>
      <x:c r="I363" s="2" t="n">
        <x:v>38</x:v>
      </x:c>
      <x:c r="J363" s="2" t="n">
        <x:v>46</x:v>
      </x:c>
      <x:c r="K363" s="2" t="str">
        <x:v>已达到</x:v>
      </x:c>
      <x:c r="L363" s="10" t="n">
        <x:v>1.2394286782701736</x:v>
      </x:c>
      <x:c r="M363" s="10" t="n">
        <x:v>1.2507055170601997</x:v>
      </x:c>
      <x:c r="N363" s="10" t="n">
        <x:v>1.2394286782701736</x:v>
      </x:c>
      <x:c r="O363" s="2" t="n">
        <x:v>229</x:v>
      </x:c>
      <x:c r="P363" s="10" t="n">
        <x:v>1</x:v>
      </x:c>
      <x:c r="Q363" s="10" t="n">
        <x:v>1</x:v>
      </x:c>
    </x:row>
    <x:row r="364" ht="23" customHeight="1">
      <x:c r="A364" s="2" t="str">
        <x:v>Health</x:v>
      </x:c>
      <x:c r="B364" s="2" t="n">
        <x:v>48</x:v>
      </x:c>
      <x:c r="C364" s="2" t="str">
        <x:v>Aurora</x:v>
      </x:c>
      <x:c r="D364" s="2" t="n">
        <x:v>2027</x:v>
      </x:c>
      <x:c r="E364" s="10" t="n">
        <x:v>3.04441356828496</x:v>
      </x:c>
      <x:c r="F364" s="10" t="n">
        <x:v>3.0444135682493982</x:v>
      </x:c>
      <x:c r="G364" s="10" t="n">
        <x:v>3.04441356828496</x:v>
      </x:c>
      <x:c r="H364" s="11" t="n">
        <x:v>0</x:v>
      </x:c>
      <x:c r="I364" s="2" t="n">
        <x:v>0</x:v>
      </x:c>
      <x:c r="J364" s="2" t="n">
        <x:v>8</x:v>
      </x:c>
      <x:c r="K364" s="2" t="str">
        <x:v>已达到</x:v>
      </x:c>
      <x:c r="L364" s="10" t="n">
        <x:v>1.2394286782701736</x:v>
      </x:c>
      <x:c r="M364" s="10" t="n">
        <x:v>1.2394286782633848</x:v>
      </x:c>
      <x:c r="N364" s="10" t="n">
        <x:v>1.2394286782701736</x:v>
      </x:c>
      <x:c r="O364" s="2" t="n">
        <x:v>229</x:v>
      </x:c>
      <x:c r="P364" s="10" t="n">
        <x:v>1</x:v>
      </x:c>
      <x:c r="Q364" s="10" t="n">
        <x:v>1</x:v>
      </x:c>
    </x:row>
    <x:row r="365" ht="23" customHeight="1">
      <x:c r="A365" s="2" t="str">
        <x:v>Health</x:v>
      </x:c>
      <x:c r="B365" s="2" t="n">
        <x:v>48</x:v>
      </x:c>
      <x:c r="C365" s="2" t="str">
        <x:v>Aurora</x:v>
      </x:c>
      <x:c r="D365" s="2" t="n">
        <x:v>2028</x:v>
      </x:c>
      <x:c r="E365" s="10" t="n">
        <x:v>3.04441356828496</x:v>
      </x:c>
      <x:c r="F365" s="10" t="n">
        <x:v>3.0449377959682526</x:v>
      </x:c>
      <x:c r="G365" s="10" t="n">
        <x:v>3.04441356828496</x:v>
      </x:c>
      <x:c r="H365" s="11" t="n">
        <x:v>0</x:v>
      </x:c>
      <x:c r="I365" s="2" t="n">
        <x:v>1</x:v>
      </x:c>
      <x:c r="J365" s="2" t="n">
        <x:v>9</x:v>
      </x:c>
      <x:c r="K365" s="2" t="str">
        <x:v>已达到</x:v>
      </x:c>
      <x:c r="L365" s="10" t="n">
        <x:v>1.2394286782701736</x:v>
      </x:c>
      <x:c r="M365" s="10" t="n">
        <x:v>1.2394713053840019</x:v>
      </x:c>
      <x:c r="N365" s="10" t="n">
        <x:v>1.2394286782701736</x:v>
      </x:c>
      <x:c r="O365" s="2" t="n">
        <x:v>229</x:v>
      </x:c>
      <x:c r="P365" s="10" t="n">
        <x:v>1</x:v>
      </x:c>
      <x:c r="Q365" s="10" t="n">
        <x:v>1</x:v>
      </x:c>
    </x:row>
    <x:row r="366" ht="23" customHeight="1">
      <x:c r="A366" s="2" t="str">
        <x:v>Security</x:v>
      </x:c>
      <x:c r="B366" s="2" t="n">
        <x:v>6</x:v>
      </x:c>
      <x:c r="C366" s="2" t="str">
        <x:v>TaTS</x:v>
      </x:c>
      <x:c r="D366" s="2" t="n">
        <x:v>2026</x:v>
      </x:c>
      <x:c r="E366" s="10" t="n">
        <x:v>72.6991374139132</x:v>
      </x:c>
      <x:c r="F366" s="10" t="n">
        <x:v>83.52831005350929</x:v>
      </x:c>
      <x:c r="G366" s="10" t="n">
        <x:v>72.6991374139132</x:v>
      </x:c>
      <x:c r="H366" s="11" t="n">
        <x:v>0</x:v>
      </x:c>
      <x:c r="I366" s="2" t="n">
        <x:v>71</x:v>
      </x:c>
      <x:c r="J366" s="2" t="n">
        <x:v>79</x:v>
      </x:c>
      <x:c r="K366" s="2" t="str">
        <x:v>已达到</x:v>
      </x:c>
      <x:c r="L366" s="10" t="n">
        <x:v>4.382157450728693</x:v>
      </x:c>
      <x:c r="M366" s="10" t="n">
        <x:v>5.392002410384723</x:v>
      </x:c>
      <x:c r="N366" s="10" t="n">
        <x:v>4.382157450728693</x:v>
      </x:c>
      <x:c r="O366" s="2" t="n">
        <x:v>54</x:v>
      </x:c>
      <x:c r="P366" s="10" t="n">
        <x:v>1</x:v>
      </x:c>
      <x:c r="Q366" s="10" t="n">
        <x:v>1</x:v>
      </x:c>
    </x:row>
    <x:row r="367" ht="23" customHeight="1">
      <x:c r="A367" s="2" t="str">
        <x:v>Security</x:v>
      </x:c>
      <x:c r="B367" s="2" t="n">
        <x:v>6</x:v>
      </x:c>
      <x:c r="C367" s="2" t="str">
        <x:v>TaTS</x:v>
      </x:c>
      <x:c r="D367" s="2" t="n">
        <x:v>2027</x:v>
      </x:c>
      <x:c r="E367" s="10" t="n">
        <x:v>72.6991374139132</x:v>
      </x:c>
      <x:c r="F367" s="10" t="n">
        <x:v>83.97466952319954</x:v>
      </x:c>
      <x:c r="G367" s="10" t="n">
        <x:v>72.6991374139132</x:v>
      </x:c>
      <x:c r="H367" s="11" t="n">
        <x:v>0</x:v>
      </x:c>
      <x:c r="I367" s="2" t="n">
        <x:v>77</x:v>
      </x:c>
      <x:c r="J367" s="2" t="n">
        <x:v>80</x:v>
      </x:c>
      <x:c r="K367" s="2" t="str">
        <x:v>未达到</x:v>
      </x:c>
      <x:c r="L367" s="10" t="n">
        <x:v>4.382157450728693</x:v>
      </x:c>
      <x:c r="M367" s="10" t="n">
        <x:v>5.454458244354751</x:v>
      </x:c>
      <x:c r="N367" s="10" t="n">
        <x:v>4.382157450728693</x:v>
      </x:c>
      <x:c r="O367" s="2" t="n">
        <x:v>54</x:v>
      </x:c>
      <x:c r="P367" s="10" t="n">
        <x:v>1</x:v>
      </x:c>
      <x:c r="Q367" s="10" t="n">
        <x:v>1</x:v>
      </x:c>
    </x:row>
    <x:row r="368" ht="23" customHeight="1">
      <x:c r="A368" s="2" t="str">
        <x:v>Security</x:v>
      </x:c>
      <x:c r="B368" s="2" t="n">
        <x:v>6</x:v>
      </x:c>
      <x:c r="C368" s="2" t="str">
        <x:v>TaTS</x:v>
      </x:c>
      <x:c r="D368" s="2" t="n">
        <x:v>2028</x:v>
      </x:c>
      <x:c r="E368" s="10" t="n">
        <x:v>72.6991374139132</x:v>
      </x:c>
      <x:c r="F368" s="10" t="n">
        <x:v>83.92541048719953</x:v>
      </x:c>
      <x:c r="G368" s="10" t="n">
        <x:v>72.6991374139132</x:v>
      </x:c>
      <x:c r="H368" s="11" t="n">
        <x:v>0</x:v>
      </x:c>
      <x:c r="I368" s="2" t="n">
        <x:v>71</x:v>
      </x:c>
      <x:c r="J368" s="2" t="n">
        <x:v>79</x:v>
      </x:c>
      <x:c r="K368" s="2" t="str">
        <x:v>已达到</x:v>
      </x:c>
      <x:c r="L368" s="10" t="n">
        <x:v>4.382157450728693</x:v>
      </x:c>
      <x:c r="M368" s="10" t="n">
        <x:v>5.444103634355728</x:v>
      </x:c>
      <x:c r="N368" s="10" t="n">
        <x:v>4.382157450728693</x:v>
      </x:c>
      <x:c r="O368" s="2" t="n">
        <x:v>54</x:v>
      </x:c>
      <x:c r="P368" s="10" t="n">
        <x:v>1</x:v>
      </x:c>
      <x:c r="Q368" s="10" t="n">
        <x:v>1</x:v>
      </x:c>
    </x:row>
    <x:row r="369" ht="23" customHeight="1">
      <x:c r="A369" s="2" t="str">
        <x:v>Security</x:v>
      </x:c>
      <x:c r="B369" s="2" t="n">
        <x:v>6</x:v>
      </x:c>
      <x:c r="C369" s="2" t="str">
        <x:v>MM-TSFlib</x:v>
      </x:c>
      <x:c r="D369" s="2" t="n">
        <x:v>2026</x:v>
      </x:c>
      <x:c r="E369" s="10" t="n">
        <x:v>93.2256797838897</x:v>
      </x:c>
      <x:c r="F369" s="10" t="n">
        <x:v>75.90039945995782</x:v>
      </x:c>
      <x:c r="G369" s="10" t="n">
        <x:v>75.90039945995782</x:v>
      </x:c>
      <x:c r="H369" s="11" t="n">
        <x:v>1</x:v>
      </x:c>
      <x:c r="I369" s="2" t="n">
        <x:v>71</x:v>
      </x:c>
      <x:c r="J369" s="2" t="n">
        <x:v>79</x:v>
      </x:c>
      <x:c r="K369" s="2" t="str">
        <x:v>已达到</x:v>
      </x:c>
      <x:c r="L369" s="10" t="n">
        <x:v>6.123006931733179</x:v>
      </x:c>
      <x:c r="M369" s="10" t="n">
        <x:v>4.508465323807028</x:v>
      </x:c>
      <x:c r="N369" s="10" t="n">
        <x:v>4.508465323807028</x:v>
      </x:c>
      <x:c r="O369" s="2" t="n">
        <x:v>54</x:v>
      </x:c>
      <x:c r="P369" s="10" t="n">
        <x:v>0.7190247928040274</x:v>
      </x:c>
      <x:c r="Q369" s="10" t="n">
        <x:v>0.8621013499920583</x:v>
      </x:c>
    </x:row>
    <x:row r="370" ht="23" customHeight="1">
      <x:c r="A370" s="2" t="str">
        <x:v>Security</x:v>
      </x:c>
      <x:c r="B370" s="2" t="n">
        <x:v>6</x:v>
      </x:c>
      <x:c r="C370" s="2" t="str">
        <x:v>MM-TSFlib</x:v>
      </x:c>
      <x:c r="D370" s="2" t="n">
        <x:v>2027</x:v>
      </x:c>
      <x:c r="E370" s="10" t="n">
        <x:v>93.2256797838897</x:v>
      </x:c>
      <x:c r="F370" s="10" t="n">
        <x:v>73.47856843580193</x:v>
      </x:c>
      <x:c r="G370" s="10" t="n">
        <x:v>73.47856843580193</x:v>
      </x:c>
      <x:c r="H370" s="11" t="n">
        <x:v>1</x:v>
      </x:c>
      <x:c r="I370" s="2" t="n">
        <x:v>77</x:v>
      </x:c>
      <x:c r="J370" s="2" t="n">
        <x:v>80</x:v>
      </x:c>
      <x:c r="K370" s="2" t="str">
        <x:v>未达到</x:v>
      </x:c>
      <x:c r="L370" s="10" t="n">
        <x:v>6.123006931733179</x:v>
      </x:c>
      <x:c r="M370" s="10" t="n">
        <x:v>4.290265027873425</x:v>
      </x:c>
      <x:c r="N370" s="10" t="n">
        <x:v>4.290265027873425</x:v>
      </x:c>
      <x:c r="O370" s="2" t="n">
        <x:v>54</x:v>
      </x:c>
      <x:c r="P370" s="10" t="n">
        <x:v>0.718690512694662</x:v>
      </x:c>
      <x:c r="Q370" s="10" t="n">
        <x:v>0.8710244792260401</x:v>
      </x:c>
    </x:row>
    <x:row r="371" ht="23" customHeight="1">
      <x:c r="A371" s="2" t="str">
        <x:v>Security</x:v>
      </x:c>
      <x:c r="B371" s="2" t="n">
        <x:v>6</x:v>
      </x:c>
      <x:c r="C371" s="2" t="str">
        <x:v>MM-TSFlib</x:v>
      </x:c>
      <x:c r="D371" s="2" t="n">
        <x:v>2028</x:v>
      </x:c>
      <x:c r="E371" s="10" t="n">
        <x:v>93.2256797838897</x:v>
      </x:c>
      <x:c r="F371" s="10" t="n">
        <x:v>74.29878936052972</x:v>
      </x:c>
      <x:c r="G371" s="10" t="n">
        <x:v>74.29878936052972</x:v>
      </x:c>
      <x:c r="H371" s="11" t="n">
        <x:v>1</x:v>
      </x:c>
      <x:c r="I371" s="2" t="n">
        <x:v>71</x:v>
      </x:c>
      <x:c r="J371" s="2" t="n">
        <x:v>79</x:v>
      </x:c>
      <x:c r="K371" s="2" t="str">
        <x:v>已达到</x:v>
      </x:c>
      <x:c r="L371" s="10" t="n">
        <x:v>6.123006931733179</x:v>
      </x:c>
      <x:c r="M371" s="10" t="n">
        <x:v>4.370252740882728</x:v>
      </x:c>
      <x:c r="N371" s="10" t="n">
        <x:v>4.370252740882728</x:v>
      </x:c>
      <x:c r="O371" s="2" t="n">
        <x:v>54</x:v>
      </x:c>
      <x:c r="P371" s="10" t="n">
        <x:v>0.7201636688220853</x:v>
      </x:c>
      <x:c r="Q371" s="10" t="n">
        <x:v>0.8654231629294054</x:v>
      </x:c>
    </x:row>
    <x:row r="372" ht="23" customHeight="1">
      <x:c r="A372" s="2" t="str">
        <x:v>Security</x:v>
      </x:c>
      <x:c r="B372" s="2" t="n">
        <x:v>6</x:v>
      </x:c>
      <x:c r="C372" s="2" t="str">
        <x:v>SpecTF</x:v>
      </x:c>
      <x:c r="D372" s="2" t="n">
        <x:v>2026</x:v>
      </x:c>
      <x:c r="E372" s="10" t="n">
        <x:v>67.14183396997961</x:v>
      </x:c>
      <x:c r="F372" s="10" t="n">
        <x:v>78.0295312169106</x:v>
      </x:c>
      <x:c r="G372" s="10" t="n">
        <x:v>67.14183396997961</x:v>
      </x:c>
      <x:c r="H372" s="11" t="n">
        <x:v>0</x:v>
      </x:c>
      <x:c r="I372" s="2" t="n">
        <x:v>71</x:v>
      </x:c>
      <x:c r="J372" s="2" t="n">
        <x:v>79</x:v>
      </x:c>
      <x:c r="K372" s="2" t="str">
        <x:v>已达到</x:v>
      </x:c>
      <x:c r="L372" s="10" t="n">
        <x:v>3.8526697901370763</x:v>
      </x:c>
      <x:c r="M372" s="10" t="n">
        <x:v>5.064084704669284</x:v>
      </x:c>
      <x:c r="N372" s="10" t="n">
        <x:v>3.8526697901370763</x:v>
      </x:c>
      <x:c r="O372" s="2" t="n">
        <x:v>54</x:v>
      </x:c>
      <x:c r="P372" s="10" t="n">
        <x:v>1</x:v>
      </x:c>
      <x:c r="Q372" s="10" t="n">
        <x:v>1</x:v>
      </x:c>
    </x:row>
    <x:row r="373" ht="23" customHeight="1">
      <x:c r="A373" s="2" t="str">
        <x:v>Security</x:v>
      </x:c>
      <x:c r="B373" s="2" t="n">
        <x:v>6</x:v>
      </x:c>
      <x:c r="C373" s="2" t="str">
        <x:v>SpecTF</x:v>
      </x:c>
      <x:c r="D373" s="2" t="n">
        <x:v>2027</x:v>
      </x:c>
      <x:c r="E373" s="10" t="n">
        <x:v>67.14183396997961</x:v>
      </x:c>
      <x:c r="F373" s="10" t="n">
        <x:v>79.1210911186375</x:v>
      </x:c>
      <x:c r="G373" s="10" t="n">
        <x:v>67.14183396997961</x:v>
      </x:c>
      <x:c r="H373" s="11" t="n">
        <x:v>0</x:v>
      </x:c>
      <x:c r="I373" s="2" t="n">
        <x:v>77</x:v>
      </x:c>
      <x:c r="J373" s="2" t="n">
        <x:v>80</x:v>
      </x:c>
      <x:c r="K373" s="2" t="str">
        <x:v>未达到</x:v>
      </x:c>
      <x:c r="L373" s="10" t="n">
        <x:v>3.8526697901370763</x:v>
      </x:c>
      <x:c r="M373" s="10" t="n">
        <x:v>5.160634105246123</x:v>
      </x:c>
      <x:c r="N373" s="10" t="n">
        <x:v>3.8526697901370763</x:v>
      </x:c>
      <x:c r="O373" s="2" t="n">
        <x:v>54</x:v>
      </x:c>
      <x:c r="P373" s="10" t="n">
        <x:v>1</x:v>
      </x:c>
      <x:c r="Q373" s="10" t="n">
        <x:v>1</x:v>
      </x:c>
    </x:row>
    <x:row r="374" ht="23" customHeight="1">
      <x:c r="A374" s="2" t="str">
        <x:v>Security</x:v>
      </x:c>
      <x:c r="B374" s="2" t="n">
        <x:v>6</x:v>
      </x:c>
      <x:c r="C374" s="2" t="str">
        <x:v>SpecTF</x:v>
      </x:c>
      <x:c r="D374" s="2" t="n">
        <x:v>2028</x:v>
      </x:c>
      <x:c r="E374" s="10" t="n">
        <x:v>67.14183396997961</x:v>
      </x:c>
      <x:c r="F374" s="10" t="n">
        <x:v>78.6177358576092</x:v>
      </x:c>
      <x:c r="G374" s="10" t="n">
        <x:v>67.14183396997961</x:v>
      </x:c>
      <x:c r="H374" s="11" t="n">
        <x:v>0</x:v>
      </x:c>
      <x:c r="I374" s="2" t="n">
        <x:v>71</x:v>
      </x:c>
      <x:c r="J374" s="2" t="n">
        <x:v>79</x:v>
      </x:c>
      <x:c r="K374" s="2" t="str">
        <x:v>已达到</x:v>
      </x:c>
      <x:c r="L374" s="10" t="n">
        <x:v>3.8526697901370763</x:v>
      </x:c>
      <x:c r="M374" s="10" t="n">
        <x:v>5.127901773327777</x:v>
      </x:c>
      <x:c r="N374" s="10" t="n">
        <x:v>3.8526697901370763</x:v>
      </x:c>
      <x:c r="O374" s="2" t="n">
        <x:v>54</x:v>
      </x:c>
      <x:c r="P374" s="10" t="n">
        <x:v>1</x:v>
      </x:c>
      <x:c r="Q374" s="10" t="n">
        <x:v>1</x:v>
      </x:c>
    </x:row>
    <x:row r="375" ht="23" customHeight="1">
      <x:c r="A375" s="2" t="str">
        <x:v>Security</x:v>
      </x:c>
      <x:c r="B375" s="2" t="n">
        <x:v>6</x:v>
      </x:c>
      <x:c r="C375" s="2" t="str">
        <x:v>CFA</x:v>
      </x:c>
      <x:c r="D375" s="2" t="n">
        <x:v>2026</x:v>
      </x:c>
      <x:c r="E375" s="10" t="n">
        <x:v>73.16995799985796</x:v>
      </x:c>
      <x:c r="F375" s="10" t="n">
        <x:v>92.75708850655853</x:v>
      </x:c>
      <x:c r="G375" s="10" t="n">
        <x:v>73.16995799985796</x:v>
      </x:c>
      <x:c r="H375" s="11" t="n">
        <x:v>0</x:v>
      </x:c>
      <x:c r="I375" s="2" t="n">
        <x:v>71</x:v>
      </x:c>
      <x:c r="J375" s="2" t="n">
        <x:v>79</x:v>
      </x:c>
      <x:c r="K375" s="2" t="str">
        <x:v>已达到</x:v>
      </x:c>
      <x:c r="L375" s="10" t="n">
        <x:v>4.528802161625253</x:v>
      </x:c>
      <x:c r="M375" s="10" t="n">
        <x:v>6.027308171571888</x:v>
      </x:c>
      <x:c r="N375" s="10" t="n">
        <x:v>4.528802161625253</x:v>
      </x:c>
      <x:c r="O375" s="2" t="n">
        <x:v>54</x:v>
      </x:c>
      <x:c r="P375" s="10" t="n">
        <x:v>1</x:v>
      </x:c>
      <x:c r="Q375" s="10" t="n">
        <x:v>1</x:v>
      </x:c>
    </x:row>
    <x:row r="376" ht="23" customHeight="1">
      <x:c r="A376" s="2" t="str">
        <x:v>Security</x:v>
      </x:c>
      <x:c r="B376" s="2" t="n">
        <x:v>6</x:v>
      </x:c>
      <x:c r="C376" s="2" t="str">
        <x:v>CFA</x:v>
      </x:c>
      <x:c r="D376" s="2" t="n">
        <x:v>2027</x:v>
      </x:c>
      <x:c r="E376" s="10" t="n">
        <x:v>73.16995799985796</x:v>
      </x:c>
      <x:c r="F376" s="10" t="n">
        <x:v>93.50094439133348</x:v>
      </x:c>
      <x:c r="G376" s="10" t="n">
        <x:v>73.16995799985796</x:v>
      </x:c>
      <x:c r="H376" s="11" t="n">
        <x:v>0</x:v>
      </x:c>
      <x:c r="I376" s="2" t="n">
        <x:v>77</x:v>
      </x:c>
      <x:c r="J376" s="2" t="n">
        <x:v>80</x:v>
      </x:c>
      <x:c r="K376" s="2" t="str">
        <x:v>未达到</x:v>
      </x:c>
      <x:c r="L376" s="10" t="n">
        <x:v>4.528802161625253</x:v>
      </x:c>
      <x:c r="M376" s="10" t="n">
        <x:v>6.075210249468247</x:v>
      </x:c>
      <x:c r="N376" s="10" t="n">
        <x:v>4.528802161625253</x:v>
      </x:c>
      <x:c r="O376" s="2" t="n">
        <x:v>54</x:v>
      </x:c>
      <x:c r="P376" s="10" t="n">
        <x:v>1</x:v>
      </x:c>
      <x:c r="Q376" s="10" t="n">
        <x:v>1</x:v>
      </x:c>
    </x:row>
    <x:row r="377" ht="23" customHeight="1">
      <x:c r="A377" s="2" t="str">
        <x:v>Security</x:v>
      </x:c>
      <x:c r="B377" s="2" t="n">
        <x:v>6</x:v>
      </x:c>
      <x:c r="C377" s="2" t="str">
        <x:v>CFA</x:v>
      </x:c>
      <x:c r="D377" s="2" t="n">
        <x:v>2028</x:v>
      </x:c>
      <x:c r="E377" s="10" t="n">
        <x:v>73.16995799985796</x:v>
      </x:c>
      <x:c r="F377" s="10" t="n">
        <x:v>93.15159272444434</x:v>
      </x:c>
      <x:c r="G377" s="10" t="n">
        <x:v>73.16995799985796</x:v>
      </x:c>
      <x:c r="H377" s="11" t="n">
        <x:v>0</x:v>
      </x:c>
      <x:c r="I377" s="2" t="n">
        <x:v>71</x:v>
      </x:c>
      <x:c r="J377" s="2" t="n">
        <x:v>79</x:v>
      </x:c>
      <x:c r="K377" s="2" t="str">
        <x:v>已达到</x:v>
      </x:c>
      <x:c r="L377" s="10" t="n">
        <x:v>4.528802161625253</x:v>
      </x:c>
      <x:c r="M377" s="10" t="n">
        <x:v>6.044968989278178</x:v>
      </x:c>
      <x:c r="N377" s="10" t="n">
        <x:v>4.528802161625253</x:v>
      </x:c>
      <x:c r="O377" s="2" t="n">
        <x:v>54</x:v>
      </x:c>
      <x:c r="P377" s="10" t="n">
        <x:v>1</x:v>
      </x:c>
      <x:c r="Q377" s="10" t="n">
        <x:v>1</x:v>
      </x:c>
    </x:row>
    <x:row r="378" ht="23" customHeight="1">
      <x:c r="A378" s="2" t="str">
        <x:v>Security</x:v>
      </x:c>
      <x:c r="B378" s="2" t="n">
        <x:v>6</x:v>
      </x:c>
      <x:c r="C378" s="2" t="str">
        <x:v>Aurora</x:v>
      </x:c>
      <x:c r="D378" s="2" t="n">
        <x:v>2026</x:v>
      </x:c>
      <x:c r="E378" s="10" t="n">
        <x:v>77.16228360015839</x:v>
      </x:c>
      <x:c r="F378" s="10" t="n">
        <x:v>84.48499348672205</x:v>
      </x:c>
      <x:c r="G378" s="10" t="n">
        <x:v>80.87590373513491</x:v>
      </x:c>
      <x:c r="H378" s="11" t="n">
        <x:v>0.75</x:v>
      </x:c>
      <x:c r="I378" s="2" t="n">
        <x:v>71</x:v>
      </x:c>
      <x:c r="J378" s="2" t="n">
        <x:v>79</x:v>
      </x:c>
      <x:c r="K378" s="2" t="str">
        <x:v>已达到</x:v>
      </x:c>
      <x:c r="L378" s="10" t="n">
        <x:v>4.235003895715546</x:v>
      </x:c>
      <x:c r="M378" s="10" t="n">
        <x:v>5.037934119344609</x:v>
      </x:c>
      <x:c r="N378" s="10" t="n">
        <x:v>4.743887678642447</x:v>
      </x:c>
      <x:c r="O378" s="2" t="n">
        <x:v>54</x:v>
      </x:c>
      <x:c r="P378" s="10" t="n">
        <x:v>0.8865544865555328</x:v>
      </x:c>
      <x:c r="Q378" s="10" t="n">
        <x:v>0.9554551959079125</x:v>
      </x:c>
    </x:row>
    <x:row r="379" ht="23" customHeight="1">
      <x:c r="A379" s="2" t="str">
        <x:v>Security</x:v>
      </x:c>
      <x:c r="B379" s="2" t="n">
        <x:v>6</x:v>
      </x:c>
      <x:c r="C379" s="2" t="str">
        <x:v>Aurora</x:v>
      </x:c>
      <x:c r="D379" s="2" t="n">
        <x:v>2027</x:v>
      </x:c>
      <x:c r="E379" s="10" t="n">
        <x:v>77.16228360015839</x:v>
      </x:c>
      <x:c r="F379" s="10" t="n">
        <x:v>84.73934147517697</x:v>
      </x:c>
      <x:c r="G379" s="10" t="n">
        <x:v>78.34706302447638</x:v>
      </x:c>
      <x:c r="H379" s="11" t="n">
        <x:v>0.5</x:v>
      </x:c>
      <x:c r="I379" s="2" t="n">
        <x:v>77</x:v>
      </x:c>
      <x:c r="J379" s="2" t="n">
        <x:v>80</x:v>
      </x:c>
      <x:c r="K379" s="2" t="str">
        <x:v>未达到</x:v>
      </x:c>
      <x:c r="L379" s="10" t="n">
        <x:v>4.235003895715546</x:v>
      </x:c>
      <x:c r="M379" s="10" t="n">
        <x:v>5.079938649421236</x:v>
      </x:c>
      <x:c r="N379" s="10" t="n">
        <x:v>4.510961363186921</x:v>
      </x:c>
      <x:c r="O379" s="2" t="n">
        <x:v>54</x:v>
      </x:c>
      <x:c r="P379" s="10" t="n">
        <x:v>0.8760784756992355</x:v>
      </x:c>
      <x:c r="Q379" s="10" t="n">
        <x:v>0.9626009938920325</x:v>
      </x:c>
    </x:row>
    <x:row r="380" ht="23" customHeight="1">
      <x:c r="A380" s="2" t="str">
        <x:v>Security</x:v>
      </x:c>
      <x:c r="B380" s="2" t="n">
        <x:v>6</x:v>
      </x:c>
      <x:c r="C380" s="2" t="str">
        <x:v>Aurora</x:v>
      </x:c>
      <x:c r="D380" s="2" t="n">
        <x:v>2028</x:v>
      </x:c>
      <x:c r="E380" s="10" t="n">
        <x:v>77.16228360015839</x:v>
      </x:c>
      <x:c r="F380" s="10" t="n">
        <x:v>85.08306781318674</x:v>
      </x:c>
      <x:c r="G380" s="10" t="n">
        <x:v>78.64132125892425</x:v>
      </x:c>
      <x:c r="H380" s="11" t="n">
        <x:v>0.5</x:v>
      </x:c>
      <x:c r="I380" s="2" t="n">
        <x:v>71</x:v>
      </x:c>
      <x:c r="J380" s="2" t="n">
        <x:v>79</x:v>
      </x:c>
      <x:c r="K380" s="2" t="str">
        <x:v>已达到</x:v>
      </x:c>
      <x:c r="L380" s="10" t="n">
        <x:v>4.235003895715546</x:v>
      </x:c>
      <x:c r="M380" s="10" t="n">
        <x:v>5.082687275211131</x:v>
      </x:c>
      <x:c r="N380" s="10" t="n">
        <x:v>4.522617254018162</x:v>
      </x:c>
      <x:c r="O380" s="2" t="n">
        <x:v>54</x:v>
      </x:c>
      <x:c r="P380" s="10" t="n">
        <x:v>0.8804573450955114</x:v>
      </x:c>
      <x:c r="Q380" s="10" t="n">
        <x:v>0.9643936755158684</x:v>
      </x:c>
    </x:row>
    <x:row r="381" ht="23" customHeight="1">
      <x:c r="A381" s="2" t="str">
        <x:v>Security</x:v>
      </x:c>
      <x:c r="B381" s="2" t="n">
        <x:v>8</x:v>
      </x:c>
      <x:c r="C381" s="2" t="str">
        <x:v>TaTS</x:v>
      </x:c>
      <x:c r="D381" s="2" t="n">
        <x:v>2026</x:v>
      </x:c>
      <x:c r="E381" s="10" t="n">
        <x:v>72.97911949508219</x:v>
      </x:c>
      <x:c r="F381" s="10" t="n">
        <x:v>81.92944226479156</x:v>
      </x:c>
      <x:c r="G381" s="10" t="n">
        <x:v>72.97911949508219</x:v>
      </x:c>
      <x:c r="H381" s="11" t="n">
        <x:v>0</x:v>
      </x:c>
      <x:c r="I381" s="2" t="n">
        <x:v>31</x:v>
      </x:c>
      <x:c r="J381" s="2" t="n">
        <x:v>39</x:v>
      </x:c>
      <x:c r="K381" s="2" t="str">
        <x:v>已达到</x:v>
      </x:c>
      <x:c r="L381" s="10" t="n">
        <x:v>4.433972100317567</x:v>
      </x:c>
      <x:c r="M381" s="10" t="n">
        <x:v>5.102649226733215</x:v>
      </x:c>
      <x:c r="N381" s="10" t="n">
        <x:v>4.433972100317567</x:v>
      </x:c>
      <x:c r="O381" s="2" t="n">
        <x:v>52</x:v>
      </x:c>
      <x:c r="P381" s="10" t="n">
        <x:v>1</x:v>
      </x:c>
      <x:c r="Q381" s="10" t="n">
        <x:v>1</x:v>
      </x:c>
    </x:row>
    <x:row r="382" ht="23" customHeight="1">
      <x:c r="A382" s="2" t="str">
        <x:v>Security</x:v>
      </x:c>
      <x:c r="B382" s="2" t="n">
        <x:v>8</x:v>
      </x:c>
      <x:c r="C382" s="2" t="str">
        <x:v>TaTS</x:v>
      </x:c>
      <x:c r="D382" s="2" t="n">
        <x:v>2027</x:v>
      </x:c>
      <x:c r="E382" s="10" t="n">
        <x:v>72.97911949508219</x:v>
      </x:c>
      <x:c r="F382" s="10" t="n">
        <x:v>72.97911949364858</x:v>
      </x:c>
      <x:c r="G382" s="10" t="n">
        <x:v>72.97911949508219</x:v>
      </x:c>
      <x:c r="H382" s="11" t="n">
        <x:v>0</x:v>
      </x:c>
      <x:c r="I382" s="2" t="n">
        <x:v>0</x:v>
      </x:c>
      <x:c r="J382" s="2" t="n">
        <x:v>8</x:v>
      </x:c>
      <x:c r="K382" s="2" t="str">
        <x:v>已达到</x:v>
      </x:c>
      <x:c r="L382" s="10" t="n">
        <x:v>4.433972100317567</x:v>
      </x:c>
      <x:c r="M382" s="10" t="n">
        <x:v>4.433972100210108</x:v>
      </x:c>
      <x:c r="N382" s="10" t="n">
        <x:v>4.433972100317567</x:v>
      </x:c>
      <x:c r="O382" s="2" t="n">
        <x:v>52</x:v>
      </x:c>
      <x:c r="P382" s="10" t="n">
        <x:v>1</x:v>
      </x:c>
      <x:c r="Q382" s="10" t="n">
        <x:v>1</x:v>
      </x:c>
    </x:row>
    <x:row r="383" ht="23" customHeight="1">
      <x:c r="A383" s="2" t="str">
        <x:v>Security</x:v>
      </x:c>
      <x:c r="B383" s="2" t="n">
        <x:v>8</x:v>
      </x:c>
      <x:c r="C383" s="2" t="str">
        <x:v>TaTS</x:v>
      </x:c>
      <x:c r="D383" s="2" t="n">
        <x:v>2028</x:v>
      </x:c>
      <x:c r="E383" s="10" t="n">
        <x:v>72.97911949508219</x:v>
      </x:c>
      <x:c r="F383" s="10" t="n">
        <x:v>72.97911949364858</x:v>
      </x:c>
      <x:c r="G383" s="10" t="n">
        <x:v>72.97911949508219</x:v>
      </x:c>
      <x:c r="H383" s="11" t="n">
        <x:v>0</x:v>
      </x:c>
      <x:c r="I383" s="2" t="n">
        <x:v>0</x:v>
      </x:c>
      <x:c r="J383" s="2" t="n">
        <x:v>8</x:v>
      </x:c>
      <x:c r="K383" s="2" t="str">
        <x:v>已达到</x:v>
      </x:c>
      <x:c r="L383" s="10" t="n">
        <x:v>4.433972100317567</x:v>
      </x:c>
      <x:c r="M383" s="10" t="n">
        <x:v>4.433972100210108</x:v>
      </x:c>
      <x:c r="N383" s="10" t="n">
        <x:v>4.433972100317567</x:v>
      </x:c>
      <x:c r="O383" s="2" t="n">
        <x:v>52</x:v>
      </x:c>
      <x:c r="P383" s="10" t="n">
        <x:v>1</x:v>
      </x:c>
      <x:c r="Q383" s="10" t="n">
        <x:v>1</x:v>
      </x:c>
    </x:row>
    <x:row r="384" ht="23" customHeight="1">
      <x:c r="A384" s="2" t="str">
        <x:v>Security</x:v>
      </x:c>
      <x:c r="B384" s="2" t="n">
        <x:v>8</x:v>
      </x:c>
      <x:c r="C384" s="2" t="str">
        <x:v>MM-TSFlib</x:v>
      </x:c>
      <x:c r="D384" s="2" t="n">
        <x:v>2026</x:v>
      </x:c>
      <x:c r="E384" s="10" t="n">
        <x:v>96.53889005739344</x:v>
      </x:c>
      <x:c r="F384" s="10" t="n">
        <x:v>92.15775725791397</x:v>
      </x:c>
      <x:c r="G384" s="10" t="n">
        <x:v>92.4097723819208</x:v>
      </x:c>
      <x:c r="H384" s="11" t="n">
        <x:v>0.75</x:v>
      </x:c>
      <x:c r="I384" s="2" t="n">
        <x:v>31</x:v>
      </x:c>
      <x:c r="J384" s="2" t="n">
        <x:v>39</x:v>
      </x:c>
      <x:c r="K384" s="2" t="str">
        <x:v>已达到</x:v>
      </x:c>
      <x:c r="L384" s="10" t="n">
        <x:v>6.252864701323023</x:v>
      </x:c>
      <x:c r="M384" s="10" t="n">
        <x:v>5.600734412314173</x:v>
      </x:c>
      <x:c r="N384" s="10" t="n">
        <x:v>5.700640239701338</x:v>
      </x:c>
      <x:c r="O384" s="2" t="n">
        <x:v>52</x:v>
      </x:c>
      <x:c r="P384" s="10" t="n">
        <x:v>0.938971967122587</x:v>
      </x:c>
      <x:c r="Q384" s="10" t="n">
        <x:v>0.9649484402602216</x:v>
      </x:c>
    </x:row>
    <x:row r="385" ht="23" customHeight="1">
      <x:c r="A385" s="2" t="str">
        <x:v>Security</x:v>
      </x:c>
      <x:c r="B385" s="2" t="n">
        <x:v>8</x:v>
      </x:c>
      <x:c r="C385" s="2" t="str">
        <x:v>MM-TSFlib</x:v>
      </x:c>
      <x:c r="D385" s="2" t="n">
        <x:v>2027</x:v>
      </x:c>
      <x:c r="E385" s="10" t="n">
        <x:v>96.53889005739344</x:v>
      </x:c>
      <x:c r="F385" s="10" t="n">
        <x:v>96.5388900170245</x:v>
      </x:c>
      <x:c r="G385" s="10" t="n">
        <x:v>96.53889002012573</x:v>
      </x:c>
      <x:c r="H385" s="11" t="n">
        <x:v>0.75</x:v>
      </x:c>
      <x:c r="I385" s="2" t="n">
        <x:v>0</x:v>
      </x:c>
      <x:c r="J385" s="2" t="n">
        <x:v>8</x:v>
      </x:c>
      <x:c r="K385" s="2" t="str">
        <x:v>已达到</x:v>
      </x:c>
      <x:c r="L385" s="10" t="n">
        <x:v>6.252864701323023</x:v>
      </x:c>
      <x:c r="M385" s="10" t="n">
        <x:v>6.252864697077222</x:v>
      </x:c>
      <x:c r="N385" s="10" t="n">
        <x:v>6.2528646975249735</x:v>
      </x:c>
      <x:c r="O385" s="2" t="n">
        <x:v>52</x:v>
      </x:c>
      <x:c r="P385" s="10" t="n">
        <x:v>0.9999999999334253</x:v>
      </x:c>
      <x:c r="Q385" s="10" t="n">
        <x:v>0.9999999996418871</x:v>
      </x:c>
    </x:row>
    <x:row r="386" ht="23" customHeight="1">
      <x:c r="A386" s="2" t="str">
        <x:v>Security</x:v>
      </x:c>
      <x:c r="B386" s="2" t="n">
        <x:v>8</x:v>
      </x:c>
      <x:c r="C386" s="2" t="str">
        <x:v>MM-TSFlib</x:v>
      </x:c>
      <x:c r="D386" s="2" t="n">
        <x:v>2028</x:v>
      </x:c>
      <x:c r="E386" s="10" t="n">
        <x:v>96.53889005739344</x:v>
      </x:c>
      <x:c r="F386" s="10" t="n">
        <x:v>96.5388900170245</x:v>
      </x:c>
      <x:c r="G386" s="10" t="n">
        <x:v>96.53889002012573</x:v>
      </x:c>
      <x:c r="H386" s="11" t="n">
        <x:v>0.75</x:v>
      </x:c>
      <x:c r="I386" s="2" t="n">
        <x:v>0</x:v>
      </x:c>
      <x:c r="J386" s="2" t="n">
        <x:v>8</x:v>
      </x:c>
      <x:c r="K386" s="2" t="str">
        <x:v>已达到</x:v>
      </x:c>
      <x:c r="L386" s="10" t="n">
        <x:v>6.252864701323023</x:v>
      </x:c>
      <x:c r="M386" s="10" t="n">
        <x:v>6.252864697077222</x:v>
      </x:c>
      <x:c r="N386" s="10" t="n">
        <x:v>6.2528646975249735</x:v>
      </x:c>
      <x:c r="O386" s="2" t="n">
        <x:v>52</x:v>
      </x:c>
      <x:c r="P386" s="10" t="n">
        <x:v>0.9999999999334253</x:v>
      </x:c>
      <x:c r="Q386" s="10" t="n">
        <x:v>0.9999999996418871</x:v>
      </x:c>
    </x:row>
    <x:row r="387" ht="23" customHeight="1">
      <x:c r="A387" s="2" t="str">
        <x:v>Security</x:v>
      </x:c>
      <x:c r="B387" s="2" t="n">
        <x:v>8</x:v>
      </x:c>
      <x:c r="C387" s="2" t="str">
        <x:v>SpecTF</x:v>
      </x:c>
      <x:c r="D387" s="2" t="n">
        <x:v>2026</x:v>
      </x:c>
      <x:c r="E387" s="10" t="n">
        <x:v>70.6990198622295</x:v>
      </x:c>
      <x:c r="F387" s="10" t="n">
        <x:v>76.95346732002088</x:v>
      </x:c>
      <x:c r="G387" s="10" t="n">
        <x:v>70.6990198622295</x:v>
      </x:c>
      <x:c r="H387" s="11" t="n">
        <x:v>0</x:v>
      </x:c>
      <x:c r="I387" s="2" t="n">
        <x:v>31</x:v>
      </x:c>
      <x:c r="J387" s="2" t="n">
        <x:v>39</x:v>
      </x:c>
      <x:c r="K387" s="2" t="str">
        <x:v>已达到</x:v>
      </x:c>
      <x:c r="L387" s="10" t="n">
        <x:v>4.002957388563887</x:v>
      </x:c>
      <x:c r="M387" s="10" t="n">
        <x:v>4.603696254388733</x:v>
      </x:c>
      <x:c r="N387" s="10" t="n">
        <x:v>4.002957388563887</x:v>
      </x:c>
      <x:c r="O387" s="2" t="n">
        <x:v>52</x:v>
      </x:c>
      <x:c r="P387" s="10" t="n">
        <x:v>1</x:v>
      </x:c>
      <x:c r="Q387" s="10" t="n">
        <x:v>1</x:v>
      </x:c>
    </x:row>
    <x:row r="388" ht="23" customHeight="1">
      <x:c r="A388" s="2" t="str">
        <x:v>Security</x:v>
      </x:c>
      <x:c r="B388" s="2" t="n">
        <x:v>8</x:v>
      </x:c>
      <x:c r="C388" s="2" t="str">
        <x:v>SpecTF</x:v>
      </x:c>
      <x:c r="D388" s="2" t="n">
        <x:v>2027</x:v>
      </x:c>
      <x:c r="E388" s="10" t="n">
        <x:v>70.6990198622295</x:v>
      </x:c>
      <x:c r="F388" s="10" t="n">
        <x:v>70.6990198622295</x:v>
      </x:c>
      <x:c r="G388" s="10" t="n">
        <x:v>70.6990198622295</x:v>
      </x:c>
      <x:c r="H388" s="11" t="n">
        <x:v>0</x:v>
      </x:c>
      <x:c r="I388" s="2" t="n">
        <x:v>0</x:v>
      </x:c>
      <x:c r="J388" s="2" t="n">
        <x:v>8</x:v>
      </x:c>
      <x:c r="K388" s="2" t="str">
        <x:v>已达到</x:v>
      </x:c>
      <x:c r="L388" s="10" t="n">
        <x:v>4.002957388563887</x:v>
      </x:c>
      <x:c r="M388" s="10" t="n">
        <x:v>4.002957388563887</x:v>
      </x:c>
      <x:c r="N388" s="10" t="n">
        <x:v>4.002957388563887</x:v>
      </x:c>
      <x:c r="O388" s="2" t="n">
        <x:v>52</x:v>
      </x:c>
      <x:c r="P388" s="10" t="n">
        <x:v>1</x:v>
      </x:c>
      <x:c r="Q388" s="10" t="n">
        <x:v>1</x:v>
      </x:c>
    </x:row>
    <x:row r="389" ht="23" customHeight="1">
      <x:c r="A389" s="2" t="str">
        <x:v>Security</x:v>
      </x:c>
      <x:c r="B389" s="2" t="n">
        <x:v>8</x:v>
      </x:c>
      <x:c r="C389" s="2" t="str">
        <x:v>SpecTF</x:v>
      </x:c>
      <x:c r="D389" s="2" t="n">
        <x:v>2028</x:v>
      </x:c>
      <x:c r="E389" s="10" t="n">
        <x:v>70.6990198622295</x:v>
      </x:c>
      <x:c r="F389" s="10" t="n">
        <x:v>70.6990198622295</x:v>
      </x:c>
      <x:c r="G389" s="10" t="n">
        <x:v>70.6990198622295</x:v>
      </x:c>
      <x:c r="H389" s="11" t="n">
        <x:v>0</x:v>
      </x:c>
      <x:c r="I389" s="2" t="n">
        <x:v>0</x:v>
      </x:c>
      <x:c r="J389" s="2" t="n">
        <x:v>8</x:v>
      </x:c>
      <x:c r="K389" s="2" t="str">
        <x:v>已达到</x:v>
      </x:c>
      <x:c r="L389" s="10" t="n">
        <x:v>4.002957388563887</x:v>
      </x:c>
      <x:c r="M389" s="10" t="n">
        <x:v>4.002957388563887</x:v>
      </x:c>
      <x:c r="N389" s="10" t="n">
        <x:v>4.002957388563887</x:v>
      </x:c>
      <x:c r="O389" s="2" t="n">
        <x:v>52</x:v>
      </x:c>
      <x:c r="P389" s="10" t="n">
        <x:v>1</x:v>
      </x:c>
      <x:c r="Q389" s="10" t="n">
        <x:v>1</x:v>
      </x:c>
    </x:row>
    <x:row r="390" ht="23" customHeight="1">
      <x:c r="A390" s="2" t="str">
        <x:v>Security</x:v>
      </x:c>
      <x:c r="B390" s="2" t="n">
        <x:v>8</x:v>
      </x:c>
      <x:c r="C390" s="2" t="str">
        <x:v>CFA</x:v>
      </x:c>
      <x:c r="D390" s="2" t="n">
        <x:v>2026</x:v>
      </x:c>
      <x:c r="E390" s="10" t="n">
        <x:v>91.43265867362122</x:v>
      </x:c>
      <x:c r="F390" s="10" t="n">
        <x:v>105.22070618531188</x:v>
      </x:c>
      <x:c r="G390" s="10" t="n">
        <x:v>91.43265867362122</x:v>
      </x:c>
      <x:c r="H390" s="11" t="n">
        <x:v>0</x:v>
      </x:c>
      <x:c r="I390" s="2" t="n">
        <x:v>31</x:v>
      </x:c>
      <x:c r="J390" s="2" t="n">
        <x:v>39</x:v>
      </x:c>
      <x:c r="K390" s="2" t="str">
        <x:v>已达到</x:v>
      </x:c>
      <x:c r="L390" s="10" t="n">
        <x:v>5.660050303552103</x:v>
      </x:c>
      <x:c r="M390" s="10" t="n">
        <x:v>6.363888555799629</x:v>
      </x:c>
      <x:c r="N390" s="10" t="n">
        <x:v>5.660050303552103</x:v>
      </x:c>
      <x:c r="O390" s="2" t="n">
        <x:v>52</x:v>
      </x:c>
      <x:c r="P390" s="10" t="n">
        <x:v>1</x:v>
      </x:c>
      <x:c r="Q390" s="10" t="n">
        <x:v>1</x:v>
      </x:c>
    </x:row>
    <x:row r="391" ht="23" customHeight="1">
      <x:c r="A391" s="2" t="str">
        <x:v>Security</x:v>
      </x:c>
      <x:c r="B391" s="2" t="n">
        <x:v>8</x:v>
      </x:c>
      <x:c r="C391" s="2" t="str">
        <x:v>CFA</x:v>
      </x:c>
      <x:c r="D391" s="2" t="n">
        <x:v>2027</x:v>
      </x:c>
      <x:c r="E391" s="10" t="n">
        <x:v>91.43265867362122</x:v>
      </x:c>
      <x:c r="F391" s="10" t="n">
        <x:v>91.43265867362122</x:v>
      </x:c>
      <x:c r="G391" s="10" t="n">
        <x:v>91.43265867362122</x:v>
      </x:c>
      <x:c r="H391" s="11" t="n">
        <x:v>0</x:v>
      </x:c>
      <x:c r="I391" s="2" t="n">
        <x:v>0</x:v>
      </x:c>
      <x:c r="J391" s="2" t="n">
        <x:v>8</x:v>
      </x:c>
      <x:c r="K391" s="2" t="str">
        <x:v>已达到</x:v>
      </x:c>
      <x:c r="L391" s="10" t="n">
        <x:v>5.660050303552103</x:v>
      </x:c>
      <x:c r="M391" s="10" t="n">
        <x:v>5.660050303552103</x:v>
      </x:c>
      <x:c r="N391" s="10" t="n">
        <x:v>5.660050303552103</x:v>
      </x:c>
      <x:c r="O391" s="2" t="n">
        <x:v>52</x:v>
      </x:c>
      <x:c r="P391" s="10" t="n">
        <x:v>1</x:v>
      </x:c>
      <x:c r="Q391" s="10" t="n">
        <x:v>1</x:v>
      </x:c>
    </x:row>
    <x:row r="392" ht="23" customHeight="1">
      <x:c r="A392" s="2" t="str">
        <x:v>Security</x:v>
      </x:c>
      <x:c r="B392" s="2" t="n">
        <x:v>8</x:v>
      </x:c>
      <x:c r="C392" s="2" t="str">
        <x:v>CFA</x:v>
      </x:c>
      <x:c r="D392" s="2" t="n">
        <x:v>2028</x:v>
      </x:c>
      <x:c r="E392" s="10" t="n">
        <x:v>91.43265867362122</x:v>
      </x:c>
      <x:c r="F392" s="10" t="n">
        <x:v>91.43265867362122</x:v>
      </x:c>
      <x:c r="G392" s="10" t="n">
        <x:v>91.43265867362122</x:v>
      </x:c>
      <x:c r="H392" s="11" t="n">
        <x:v>0</x:v>
      </x:c>
      <x:c r="I392" s="2" t="n">
        <x:v>0</x:v>
      </x:c>
      <x:c r="J392" s="2" t="n">
        <x:v>8</x:v>
      </x:c>
      <x:c r="K392" s="2" t="str">
        <x:v>已达到</x:v>
      </x:c>
      <x:c r="L392" s="10" t="n">
        <x:v>5.660050303552103</x:v>
      </x:c>
      <x:c r="M392" s="10" t="n">
        <x:v>5.660050303552103</x:v>
      </x:c>
      <x:c r="N392" s="10" t="n">
        <x:v>5.660050303552103</x:v>
      </x:c>
      <x:c r="O392" s="2" t="n">
        <x:v>52</x:v>
      </x:c>
      <x:c r="P392" s="10" t="n">
        <x:v>1</x:v>
      </x:c>
      <x:c r="Q392" s="10" t="n">
        <x:v>1</x:v>
      </x:c>
    </x:row>
    <x:row r="393" ht="23" customHeight="1">
      <x:c r="A393" s="2" t="str">
        <x:v>Security</x:v>
      </x:c>
      <x:c r="B393" s="2" t="n">
        <x:v>8</x:v>
      </x:c>
      <x:c r="C393" s="2" t="str">
        <x:v>Aurora</x:v>
      </x:c>
      <x:c r="D393" s="2" t="n">
        <x:v>2026</x:v>
      </x:c>
      <x:c r="E393" s="10" t="n">
        <x:v>81.18467338330083</x:v>
      </x:c>
      <x:c r="F393" s="10" t="n">
        <x:v>87.49535374043381</x:v>
      </x:c>
      <x:c r="G393" s="10" t="n">
        <x:v>83.15018285601118</x:v>
      </x:c>
      <x:c r="H393" s="11" t="n">
        <x:v>0.5</x:v>
      </x:c>
      <x:c r="I393" s="2" t="n">
        <x:v>31</x:v>
      </x:c>
      <x:c r="J393" s="2" t="n">
        <x:v>39</x:v>
      </x:c>
      <x:c r="K393" s="2" t="str">
        <x:v>已达到</x:v>
      </x:c>
      <x:c r="L393" s="10" t="n">
        <x:v>4.406378367935899</x:v>
      </x:c>
      <x:c r="M393" s="10" t="n">
        <x:v>4.942891072537839</x:v>
      </x:c>
      <x:c r="N393" s="10" t="n">
        <x:v>4.582853800995508</x:v>
      </x:c>
      <x:c r="O393" s="2" t="n">
        <x:v>52</x:v>
      </x:c>
      <x:c r="P393" s="10" t="n">
        <x:v>0.9847908622442927</x:v>
      </x:c>
      <x:c r="Q393" s="10" t="n">
        <x:v>0.9978122810047317</x:v>
      </x:c>
    </x:row>
    <x:row r="394" ht="23" customHeight="1">
      <x:c r="A394" s="2" t="str">
        <x:v>Security</x:v>
      </x:c>
      <x:c r="B394" s="2" t="n">
        <x:v>8</x:v>
      </x:c>
      <x:c r="C394" s="2" t="str">
        <x:v>Aurora</x:v>
      </x:c>
      <x:c r="D394" s="2" t="n">
        <x:v>2027</x:v>
      </x:c>
      <x:c r="E394" s="10" t="n">
        <x:v>81.18467338330083</x:v>
      </x:c>
      <x:c r="F394" s="10" t="n">
        <x:v>81.18467338330083</x:v>
      </x:c>
      <x:c r="G394" s="10" t="n">
        <x:v>81.18467338330083</x:v>
      </x:c>
      <x:c r="H394" s="11" t="n">
        <x:v>1</x:v>
      </x:c>
      <x:c r="I394" s="2" t="n">
        <x:v>0</x:v>
      </x:c>
      <x:c r="J394" s="2" t="n">
        <x:v>8</x:v>
      </x:c>
      <x:c r="K394" s="2" t="str">
        <x:v>已达到</x:v>
      </x:c>
      <x:c r="L394" s="10" t="n">
        <x:v>4.406378367935899</x:v>
      </x:c>
      <x:c r="M394" s="10" t="n">
        <x:v>4.406378367935899</x:v>
      </x:c>
      <x:c r="N394" s="10" t="n">
        <x:v>4.406378367935899</x:v>
      </x:c>
      <x:c r="O394" s="2" t="n">
        <x:v>52</x:v>
      </x:c>
      <x:c r="P394" s="10" t="n">
        <x:v>0.9999999994445775</x:v>
      </x:c>
      <x:c r="Q394" s="10" t="n">
        <x:v>0.999999999881609</x:v>
      </x:c>
    </x:row>
    <x:row r="395" ht="23" customHeight="1">
      <x:c r="A395" s="2" t="str">
        <x:v>Security</x:v>
      </x:c>
      <x:c r="B395" s="2" t="n">
        <x:v>8</x:v>
      </x:c>
      <x:c r="C395" s="2" t="str">
        <x:v>Aurora</x:v>
      </x:c>
      <x:c r="D395" s="2" t="n">
        <x:v>2028</x:v>
      </x:c>
      <x:c r="E395" s="10" t="n">
        <x:v>81.18467338330083</x:v>
      </x:c>
      <x:c r="F395" s="10" t="n">
        <x:v>81.18467338330083</x:v>
      </x:c>
      <x:c r="G395" s="10" t="n">
        <x:v>81.18467338330083</x:v>
      </x:c>
      <x:c r="H395" s="11" t="n">
        <x:v>1</x:v>
      </x:c>
      <x:c r="I395" s="2" t="n">
        <x:v>0</x:v>
      </x:c>
      <x:c r="J395" s="2" t="n">
        <x:v>8</x:v>
      </x:c>
      <x:c r="K395" s="2" t="str">
        <x:v>已达到</x:v>
      </x:c>
      <x:c r="L395" s="10" t="n">
        <x:v>4.406378367935899</x:v>
      </x:c>
      <x:c r="M395" s="10" t="n">
        <x:v>4.406378367935899</x:v>
      </x:c>
      <x:c r="N395" s="10" t="n">
        <x:v>4.406378367935899</x:v>
      </x:c>
      <x:c r="O395" s="2" t="n">
        <x:v>52</x:v>
      </x:c>
      <x:c r="P395" s="10" t="n">
        <x:v>0.9999999994445775</x:v>
      </x:c>
      <x:c r="Q395" s="10" t="n">
        <x:v>0.999999999881609</x:v>
      </x:c>
    </x:row>
    <x:row r="396" ht="23" customHeight="1">
      <x:c r="A396" s="2" t="str">
        <x:v>Security</x:v>
      </x:c>
      <x:c r="B396" s="2" t="n">
        <x:v>10</x:v>
      </x:c>
      <x:c r="C396" s="2" t="str">
        <x:v>TaTS</x:v>
      </x:c>
      <x:c r="D396" s="2" t="n">
        <x:v>2026</x:v>
      </x:c>
      <x:c r="E396" s="10" t="n">
        <x:v>83.39170242577858</x:v>
      </x:c>
      <x:c r="F396" s="10" t="n">
        <x:v>83.4335472188888</x:v>
      </x:c>
      <x:c r="G396" s="10" t="n">
        <x:v>83.39170242577858</x:v>
      </x:c>
      <x:c r="H396" s="11" t="n">
        <x:v>0</x:v>
      </x:c>
      <x:c r="I396" s="2" t="n">
        <x:v>1</x:v>
      </x:c>
      <x:c r="J396" s="2" t="n">
        <x:v>9</x:v>
      </x:c>
      <x:c r="K396" s="2" t="str">
        <x:v>已达到</x:v>
      </x:c>
      <x:c r="L396" s="10" t="n">
        <x:v>4.783439267786219</x:v>
      </x:c>
      <x:c r="M396" s="10" t="n">
        <x:v>4.786811032082886</x:v>
      </x:c>
      <x:c r="N396" s="10" t="n">
        <x:v>4.783439267786219</x:v>
      </x:c>
      <x:c r="O396" s="2" t="n">
        <x:v>50</x:v>
      </x:c>
      <x:c r="P396" s="10" t="n">
        <x:v>1</x:v>
      </x:c>
      <x:c r="Q396" s="10" t="n">
        <x:v>1</x:v>
      </x:c>
    </x:row>
    <x:row r="397" ht="23" customHeight="1">
      <x:c r="A397" s="2" t="str">
        <x:v>Security</x:v>
      </x:c>
      <x:c r="B397" s="2" t="n">
        <x:v>10</x:v>
      </x:c>
      <x:c r="C397" s="2" t="str">
        <x:v>TaTS</x:v>
      </x:c>
      <x:c r="D397" s="2" t="n">
        <x:v>2027</x:v>
      </x:c>
      <x:c r="E397" s="10" t="n">
        <x:v>83.39170242577858</x:v>
      </x:c>
      <x:c r="F397" s="10" t="n">
        <x:v>83.39170241957098</x:v>
      </x:c>
      <x:c r="G397" s="10" t="n">
        <x:v>83.39170242128718</x:v>
      </x:c>
      <x:c r="H397" s="11" t="n">
        <x:v>0.5</x:v>
      </x:c>
      <x:c r="I397" s="2" t="n">
        <x:v>0</x:v>
      </x:c>
      <x:c r="J397" s="2" t="n">
        <x:v>8</x:v>
      </x:c>
      <x:c r="K397" s="2" t="str">
        <x:v>已达到</x:v>
      </x:c>
      <x:c r="L397" s="10" t="n">
        <x:v>4.783439267786219</x:v>
      </x:c>
      <x:c r="M397" s="10" t="n">
        <x:v>4.783439267570153</x:v>
      </x:c>
      <x:c r="N397" s="10" t="n">
        <x:v>4.783439267640933</x:v>
      </x:c>
      <x:c r="O397" s="2" t="n">
        <x:v>50</x:v>
      </x:c>
      <x:c r="P397" s="10" t="n">
        <x:v>0.9999999988838123</x:v>
      </x:c>
      <x:c r="Q397" s="10" t="n">
        <x:v>0.9999999997474123</x:v>
      </x:c>
    </x:row>
    <x:row r="398" ht="23" customHeight="1">
      <x:c r="A398" s="2" t="str">
        <x:v>Security</x:v>
      </x:c>
      <x:c r="B398" s="2" t="n">
        <x:v>10</x:v>
      </x:c>
      <x:c r="C398" s="2" t="str">
        <x:v>TaTS</x:v>
      </x:c>
      <x:c r="D398" s="2" t="n">
        <x:v>2028</x:v>
      </x:c>
      <x:c r="E398" s="10" t="n">
        <x:v>83.39170242577858</x:v>
      </x:c>
      <x:c r="F398" s="10" t="n">
        <x:v>83.39170241957098</x:v>
      </x:c>
      <x:c r="G398" s="10" t="n">
        <x:v>83.39170242128718</x:v>
      </x:c>
      <x:c r="H398" s="11" t="n">
        <x:v>0.5</x:v>
      </x:c>
      <x:c r="I398" s="2" t="n">
        <x:v>0</x:v>
      </x:c>
      <x:c r="J398" s="2" t="n">
        <x:v>8</x:v>
      </x:c>
      <x:c r="K398" s="2" t="str">
        <x:v>已达到</x:v>
      </x:c>
      <x:c r="L398" s="10" t="n">
        <x:v>4.783439267786219</x:v>
      </x:c>
      <x:c r="M398" s="10" t="n">
        <x:v>4.783439267570153</x:v>
      </x:c>
      <x:c r="N398" s="10" t="n">
        <x:v>4.783439267640933</x:v>
      </x:c>
      <x:c r="O398" s="2" t="n">
        <x:v>50</x:v>
      </x:c>
      <x:c r="P398" s="10" t="n">
        <x:v>0.9999999988838123</x:v>
      </x:c>
      <x:c r="Q398" s="10" t="n">
        <x:v>0.9999999997474123</x:v>
      </x:c>
    </x:row>
    <x:row r="399" ht="23" customHeight="1">
      <x:c r="A399" s="2" t="str">
        <x:v>Security</x:v>
      </x:c>
      <x:c r="B399" s="2" t="n">
        <x:v>10</x:v>
      </x:c>
      <x:c r="C399" s="2" t="str">
        <x:v>MM-TSFlib</x:v>
      </x:c>
      <x:c r="D399" s="2" t="n">
        <x:v>2026</x:v>
      </x:c>
      <x:c r="E399" s="10" t="n">
        <x:v>97.48980175008192</x:v>
      </x:c>
      <x:c r="F399" s="10" t="n">
        <x:v>97.28859053497837</x:v>
      </x:c>
      <x:c r="G399" s="10" t="n">
        <x:v>97.28859053497837</x:v>
      </x:c>
      <x:c r="H399" s="11" t="n">
        <x:v>1</x:v>
      </x:c>
      <x:c r="I399" s="2" t="n">
        <x:v>1</x:v>
      </x:c>
      <x:c r="J399" s="2" t="n">
        <x:v>9</x:v>
      </x:c>
      <x:c r="K399" s="2" t="str">
        <x:v>已达到</x:v>
      </x:c>
      <x:c r="L399" s="10" t="n">
        <x:v>6.213066877869424</x:v>
      </x:c>
      <x:c r="M399" s="10" t="n">
        <x:v>6.193887494662311</x:v>
      </x:c>
      <x:c r="N399" s="10" t="n">
        <x:v>6.193887494662311</x:v>
      </x:c>
      <x:c r="O399" s="2" t="n">
        <x:v>50</x:v>
      </x:c>
      <x:c r="P399" s="10" t="n">
        <x:v>0.9985585791156402</x:v>
      </x:c>
      <x:c r="Q399" s="10" t="n">
        <x:v>0.9994637109420076</x:v>
      </x:c>
    </x:row>
    <x:row r="400" ht="23" customHeight="1">
      <x:c r="A400" s="2" t="str">
        <x:v>Security</x:v>
      </x:c>
      <x:c r="B400" s="2" t="n">
        <x:v>10</x:v>
      </x:c>
      <x:c r="C400" s="2" t="str">
        <x:v>MM-TSFlib</x:v>
      </x:c>
      <x:c r="D400" s="2" t="n">
        <x:v>2027</x:v>
      </x:c>
      <x:c r="E400" s="10" t="n">
        <x:v>97.48980175008192</x:v>
      </x:c>
      <x:c r="F400" s="10" t="n">
        <x:v>97.48980170250512</x:v>
      </x:c>
      <x:c r="G400" s="10" t="n">
        <x:v>97.48980172089036</x:v>
      </x:c>
      <x:c r="H400" s="11" t="n">
        <x:v>0.75</x:v>
      </x:c>
      <x:c r="I400" s="2" t="n">
        <x:v>0</x:v>
      </x:c>
      <x:c r="J400" s="2" t="n">
        <x:v>8</x:v>
      </x:c>
      <x:c r="K400" s="2" t="str">
        <x:v>已达到</x:v>
      </x:c>
      <x:c r="L400" s="10" t="n">
        <x:v>6.213066877869424</x:v>
      </x:c>
      <x:c r="M400" s="10" t="n">
        <x:v>6.213066875511431</x:v>
      </x:c>
      <x:c r="N400" s="10" t="n">
        <x:v>6.213066876556142</x:v>
      </x:c>
      <x:c r="O400" s="2" t="n">
        <x:v>50</x:v>
      </x:c>
      <x:c r="P400" s="10" t="n">
        <x:v>0.9999999989863734</x:v>
      </x:c>
      <x:c r="Q400" s="10" t="n">
        <x:v>0.9999999993766712</x:v>
      </x:c>
    </x:row>
    <x:row r="401" ht="23" customHeight="1">
      <x:c r="A401" s="2" t="str">
        <x:v>Security</x:v>
      </x:c>
      <x:c r="B401" s="2" t="n">
        <x:v>10</x:v>
      </x:c>
      <x:c r="C401" s="2" t="str">
        <x:v>MM-TSFlib</x:v>
      </x:c>
      <x:c r="D401" s="2" t="n">
        <x:v>2028</x:v>
      </x:c>
      <x:c r="E401" s="10" t="n">
        <x:v>97.48980175008192</x:v>
      </x:c>
      <x:c r="F401" s="10" t="n">
        <x:v>97.48980170250512</x:v>
      </x:c>
      <x:c r="G401" s="10" t="n">
        <x:v>97.48980172089036</x:v>
      </x:c>
      <x:c r="H401" s="11" t="n">
        <x:v>0.75</x:v>
      </x:c>
      <x:c r="I401" s="2" t="n">
        <x:v>0</x:v>
      </x:c>
      <x:c r="J401" s="2" t="n">
        <x:v>8</x:v>
      </x:c>
      <x:c r="K401" s="2" t="str">
        <x:v>已达到</x:v>
      </x:c>
      <x:c r="L401" s="10" t="n">
        <x:v>6.213066877869424</x:v>
      </x:c>
      <x:c r="M401" s="10" t="n">
        <x:v>6.213066875511431</x:v>
      </x:c>
      <x:c r="N401" s="10" t="n">
        <x:v>6.213066876556142</x:v>
      </x:c>
      <x:c r="O401" s="2" t="n">
        <x:v>50</x:v>
      </x:c>
      <x:c r="P401" s="10" t="n">
        <x:v>0.9999999989863734</x:v>
      </x:c>
      <x:c r="Q401" s="10" t="n">
        <x:v>0.9999999993766712</x:v>
      </x:c>
    </x:row>
    <x:row r="402" ht="23" customHeight="1">
      <x:c r="A402" s="2" t="str">
        <x:v>Security</x:v>
      </x:c>
      <x:c r="B402" s="2" t="n">
        <x:v>10</x:v>
      </x:c>
      <x:c r="C402" s="2" t="str">
        <x:v>SpecTF</x:v>
      </x:c>
      <x:c r="D402" s="2" t="n">
        <x:v>2026</x:v>
      </x:c>
      <x:c r="E402" s="10" t="n">
        <x:v>73.9949897801101</x:v>
      </x:c>
      <x:c r="F402" s="10" t="n">
        <x:v>74.02938828856075</x:v>
      </x:c>
      <x:c r="G402" s="10" t="n">
        <x:v>73.9949897801101</x:v>
      </x:c>
      <x:c r="H402" s="11" t="n">
        <x:v>0</x:v>
      </x:c>
      <x:c r="I402" s="2" t="n">
        <x:v>1</x:v>
      </x:c>
      <x:c r="J402" s="2" t="n">
        <x:v>9</x:v>
      </x:c>
      <x:c r="K402" s="2" t="str">
        <x:v>已达到</x:v>
      </x:c>
      <x:c r="L402" s="10" t="n">
        <x:v>4.140486573921517</x:v>
      </x:c>
      <x:c r="M402" s="10" t="n">
        <x:v>4.146716789709404</x:v>
      </x:c>
      <x:c r="N402" s="10" t="n">
        <x:v>4.140486573921517</x:v>
      </x:c>
      <x:c r="O402" s="2" t="n">
        <x:v>50</x:v>
      </x:c>
      <x:c r="P402" s="10" t="n">
        <x:v>1</x:v>
      </x:c>
      <x:c r="Q402" s="10" t="n">
        <x:v>1</x:v>
      </x:c>
    </x:row>
    <x:row r="403" ht="23" customHeight="1">
      <x:c r="A403" s="2" t="str">
        <x:v>Security</x:v>
      </x:c>
      <x:c r="B403" s="2" t="n">
        <x:v>10</x:v>
      </x:c>
      <x:c r="C403" s="2" t="str">
        <x:v>SpecTF</x:v>
      </x:c>
      <x:c r="D403" s="2" t="n">
        <x:v>2027</x:v>
      </x:c>
      <x:c r="E403" s="10" t="n">
        <x:v>73.9949897801101</x:v>
      </x:c>
      <x:c r="F403" s="10" t="n">
        <x:v>73.9949897801101</x:v>
      </x:c>
      <x:c r="G403" s="10" t="n">
        <x:v>73.9949897801101</x:v>
      </x:c>
      <x:c r="H403" s="11" t="n">
        <x:v>0.5</x:v>
      </x:c>
      <x:c r="I403" s="2" t="n">
        <x:v>0</x:v>
      </x:c>
      <x:c r="J403" s="2" t="n">
        <x:v>8</x:v>
      </x:c>
      <x:c r="K403" s="2" t="str">
        <x:v>已达到</x:v>
      </x:c>
      <x:c r="L403" s="10" t="n">
        <x:v>4.140486573921517</x:v>
      </x:c>
      <x:c r="M403" s="10" t="n">
        <x:v>4.140486573921517</x:v>
      </x:c>
      <x:c r="N403" s="10" t="n">
        <x:v>4.140486573921517</x:v>
      </x:c>
      <x:c r="O403" s="2" t="n">
        <x:v>50</x:v>
      </x:c>
      <x:c r="P403" s="10" t="n">
        <x:v>0.9999999999739153</x:v>
      </x:c>
      <x:c r="Q403" s="10" t="n">
        <x:v>0.9999999998950727</x:v>
      </x:c>
    </x:row>
    <x:row r="404" ht="23" customHeight="1">
      <x:c r="A404" s="2" t="str">
        <x:v>Security</x:v>
      </x:c>
      <x:c r="B404" s="2" t="n">
        <x:v>10</x:v>
      </x:c>
      <x:c r="C404" s="2" t="str">
        <x:v>SpecTF</x:v>
      </x:c>
      <x:c r="D404" s="2" t="n">
        <x:v>2028</x:v>
      </x:c>
      <x:c r="E404" s="10" t="n">
        <x:v>73.9949897801101</x:v>
      </x:c>
      <x:c r="F404" s="10" t="n">
        <x:v>73.9949897801101</x:v>
      </x:c>
      <x:c r="G404" s="10" t="n">
        <x:v>73.9949897801101</x:v>
      </x:c>
      <x:c r="H404" s="11" t="n">
        <x:v>0.5</x:v>
      </x:c>
      <x:c r="I404" s="2" t="n">
        <x:v>0</x:v>
      </x:c>
      <x:c r="J404" s="2" t="n">
        <x:v>8</x:v>
      </x:c>
      <x:c r="K404" s="2" t="str">
        <x:v>已达到</x:v>
      </x:c>
      <x:c r="L404" s="10" t="n">
        <x:v>4.140486573921517</x:v>
      </x:c>
      <x:c r="M404" s="10" t="n">
        <x:v>4.140486573921517</x:v>
      </x:c>
      <x:c r="N404" s="10" t="n">
        <x:v>4.140486573921517</x:v>
      </x:c>
      <x:c r="O404" s="2" t="n">
        <x:v>50</x:v>
      </x:c>
      <x:c r="P404" s="10" t="n">
        <x:v>0.9999999999739153</x:v>
      </x:c>
      <x:c r="Q404" s="10" t="n">
        <x:v>0.9999999998950727</x:v>
      </x:c>
    </x:row>
    <x:row r="405" ht="23" customHeight="1">
      <x:c r="A405" s="2" t="str">
        <x:v>Security</x:v>
      </x:c>
      <x:c r="B405" s="2" t="n">
        <x:v>10</x:v>
      </x:c>
      <x:c r="C405" s="2" t="str">
        <x:v>CFA</x:v>
      </x:c>
      <x:c r="D405" s="2" t="n">
        <x:v>2026</x:v>
      </x:c>
      <x:c r="E405" s="10" t="n">
        <x:v>81.72534727849892</x:v>
      </x:c>
      <x:c r="F405" s="10" t="n">
        <x:v>81.77361083602061</x:v>
      </x:c>
      <x:c r="G405" s="10" t="n">
        <x:v>81.72534727849892</x:v>
      </x:c>
      <x:c r="H405" s="11" t="n">
        <x:v>0</x:v>
      </x:c>
      <x:c r="I405" s="2" t="n">
        <x:v>1</x:v>
      </x:c>
      <x:c r="J405" s="2" t="n">
        <x:v>9</x:v>
      </x:c>
      <x:c r="K405" s="2" t="str">
        <x:v>已达到</x:v>
      </x:c>
      <x:c r="L405" s="10" t="n">
        <x:v>4.891687168585136</x:v>
      </x:c>
      <x:c r="M405" s="10" t="n">
        <x:v>4.896908279018477</x:v>
      </x:c>
      <x:c r="N405" s="10" t="n">
        <x:v>4.891687168585136</x:v>
      </x:c>
      <x:c r="O405" s="2" t="n">
        <x:v>50</x:v>
      </x:c>
      <x:c r="P405" s="10" t="n">
        <x:v>1</x:v>
      </x:c>
      <x:c r="Q405" s="10" t="n">
        <x:v>1</x:v>
      </x:c>
    </x:row>
    <x:row r="406" ht="23" customHeight="1">
      <x:c r="A406" s="2" t="str">
        <x:v>Security</x:v>
      </x:c>
      <x:c r="B406" s="2" t="n">
        <x:v>10</x:v>
      </x:c>
      <x:c r="C406" s="2" t="str">
        <x:v>CFA</x:v>
      </x:c>
      <x:c r="D406" s="2" t="n">
        <x:v>2027</x:v>
      </x:c>
      <x:c r="E406" s="10" t="n">
        <x:v>81.72534727849892</x:v>
      </x:c>
      <x:c r="F406" s="10" t="n">
        <x:v>81.72534727528642</x:v>
      </x:c>
      <x:c r="G406" s="10" t="n">
        <x:v>81.72534727775793</x:v>
      </x:c>
      <x:c r="H406" s="11" t="n">
        <x:v>0.5</x:v>
      </x:c>
      <x:c r="I406" s="2" t="n">
        <x:v>0</x:v>
      </x:c>
      <x:c r="J406" s="2" t="n">
        <x:v>8</x:v>
      </x:c>
      <x:c r="K406" s="2" t="str">
        <x:v>已达到</x:v>
      </x:c>
      <x:c r="L406" s="10" t="n">
        <x:v>4.891687168585136</x:v>
      </x:c>
      <x:c r="M406" s="10" t="n">
        <x:v>4.891687168184668</x:v>
      </x:c>
      <x:c r="N406" s="10" t="n">
        <x:v>4.891687168474309</x:v>
      </x:c>
      <x:c r="O406" s="2" t="n">
        <x:v>50</x:v>
      </x:c>
      <x:c r="P406" s="10" t="n">
        <x:v>0.9999999998975816</x:v>
      </x:c>
      <x:c r="Q406" s="10" t="n">
        <x:v>0.9999999998984715</x:v>
      </x:c>
    </x:row>
    <x:row r="407" ht="23" customHeight="1">
      <x:c r="A407" s="2" t="str">
        <x:v>Security</x:v>
      </x:c>
      <x:c r="B407" s="2" t="n">
        <x:v>10</x:v>
      </x:c>
      <x:c r="C407" s="2" t="str">
        <x:v>CFA</x:v>
      </x:c>
      <x:c r="D407" s="2" t="n">
        <x:v>2028</x:v>
      </x:c>
      <x:c r="E407" s="10" t="n">
        <x:v>81.72534727849892</x:v>
      </x:c>
      <x:c r="F407" s="10" t="n">
        <x:v>81.72534727528642</x:v>
      </x:c>
      <x:c r="G407" s="10" t="n">
        <x:v>81.72534727775793</x:v>
      </x:c>
      <x:c r="H407" s="11" t="n">
        <x:v>0.5</x:v>
      </x:c>
      <x:c r="I407" s="2" t="n">
        <x:v>0</x:v>
      </x:c>
      <x:c r="J407" s="2" t="n">
        <x:v>8</x:v>
      </x:c>
      <x:c r="K407" s="2" t="str">
        <x:v>已达到</x:v>
      </x:c>
      <x:c r="L407" s="10" t="n">
        <x:v>4.891687168585136</x:v>
      </x:c>
      <x:c r="M407" s="10" t="n">
        <x:v>4.891687168184668</x:v>
      </x:c>
      <x:c r="N407" s="10" t="n">
        <x:v>4.891687168474309</x:v>
      </x:c>
      <x:c r="O407" s="2" t="n">
        <x:v>50</x:v>
      </x:c>
      <x:c r="P407" s="10" t="n">
        <x:v>0.9999999998975816</x:v>
      </x:c>
      <x:c r="Q407" s="10" t="n">
        <x:v>0.9999999998984715</x:v>
      </x:c>
    </x:row>
    <x:row r="408" ht="23" customHeight="1">
      <x:c r="A408" s="2" t="str">
        <x:v>Security</x:v>
      </x:c>
      <x:c r="B408" s="2" t="n">
        <x:v>10</x:v>
      </x:c>
      <x:c r="C408" s="2" t="str">
        <x:v>Aurora</x:v>
      </x:c>
      <x:c r="D408" s="2" t="n">
        <x:v>2026</x:v>
      </x:c>
      <x:c r="E408" s="10" t="n">
        <x:v>84.90057875764339</x:v>
      </x:c>
      <x:c r="F408" s="10" t="n">
        <x:v>84.92796397314366</x:v>
      </x:c>
      <x:c r="G408" s="10" t="n">
        <x:v>84.92796397314366</x:v>
      </x:c>
      <x:c r="H408" s="11" t="n">
        <x:v>1</x:v>
      </x:c>
      <x:c r="I408" s="2" t="n">
        <x:v>1</x:v>
      </x:c>
      <x:c r="J408" s="2" t="n">
        <x:v>9</x:v>
      </x:c>
      <x:c r="K408" s="2" t="str">
        <x:v>已达到</x:v>
      </x:c>
      <x:c r="L408" s="10" t="n">
        <x:v>4.551266480373219</x:v>
      </x:c>
      <x:c r="M408" s="10" t="n">
        <x:v>4.554328690515831</x:v>
      </x:c>
      <x:c r="N408" s="10" t="n">
        <x:v>4.554328690515831</x:v>
      </x:c>
      <x:c r="O408" s="2" t="n">
        <x:v>50</x:v>
      </x:c>
      <x:c r="P408" s="10" t="n">
        <x:v>0.9979671572826584</x:v>
      </x:c>
      <x:c r="Q408" s="10" t="n">
        <x:v>0.9999517150847215</x:v>
      </x:c>
    </x:row>
    <x:row r="409" ht="23" customHeight="1">
      <x:c r="A409" s="2" t="str">
        <x:v>Security</x:v>
      </x:c>
      <x:c r="B409" s="2" t="n">
        <x:v>10</x:v>
      </x:c>
      <x:c r="C409" s="2" t="str">
        <x:v>Aurora</x:v>
      </x:c>
      <x:c r="D409" s="2" t="n">
        <x:v>2027</x:v>
      </x:c>
      <x:c r="E409" s="10" t="n">
        <x:v>84.90057875764339</x:v>
      </x:c>
      <x:c r="F409" s="10" t="n">
        <x:v>84.90057875680107</x:v>
      </x:c>
      <x:c r="G409" s="10" t="n">
        <x:v>84.90057875680107</x:v>
      </x:c>
      <x:c r="H409" s="11" t="n">
        <x:v>1</x:v>
      </x:c>
      <x:c r="I409" s="2" t="n">
        <x:v>0</x:v>
      </x:c>
      <x:c r="J409" s="2" t="n">
        <x:v>8</x:v>
      </x:c>
      <x:c r="K409" s="2" t="str">
        <x:v>已达到</x:v>
      </x:c>
      <x:c r="L409" s="10" t="n">
        <x:v>4.551266480373219</x:v>
      </x:c>
      <x:c r="M409" s="10" t="n">
        <x:v>4.551266480432823</x:v>
      </x:c>
      <x:c r="N409" s="10" t="n">
        <x:v>4.551266480432823</x:v>
      </x:c>
      <x:c r="O409" s="2" t="n">
        <x:v>50</x:v>
      </x:c>
      <x:c r="P409" s="10" t="n">
        <x:v>0.999999998575053</x:v>
      </x:c>
      <x:c r="Q409" s="10" t="n">
        <x:v>0.9999999993768061</x:v>
      </x:c>
    </x:row>
    <x:row r="410" ht="23" customHeight="1">
      <x:c r="A410" s="2" t="str">
        <x:v>Security</x:v>
      </x:c>
      <x:c r="B410" s="2" t="n">
        <x:v>10</x:v>
      </x:c>
      <x:c r="C410" s="2" t="str">
        <x:v>Aurora</x:v>
      </x:c>
      <x:c r="D410" s="2" t="n">
        <x:v>2028</x:v>
      </x:c>
      <x:c r="E410" s="10" t="n">
        <x:v>84.90057875764339</x:v>
      </x:c>
      <x:c r="F410" s="10" t="n">
        <x:v>84.90057875680107</x:v>
      </x:c>
      <x:c r="G410" s="10" t="n">
        <x:v>84.90057875680107</x:v>
      </x:c>
      <x:c r="H410" s="11" t="n">
        <x:v>1</x:v>
      </x:c>
      <x:c r="I410" s="2" t="n">
        <x:v>0</x:v>
      </x:c>
      <x:c r="J410" s="2" t="n">
        <x:v>8</x:v>
      </x:c>
      <x:c r="K410" s="2" t="str">
        <x:v>已达到</x:v>
      </x:c>
      <x:c r="L410" s="10" t="n">
        <x:v>4.551266480373219</x:v>
      </x:c>
      <x:c r="M410" s="10" t="n">
        <x:v>4.551266480432823</x:v>
      </x:c>
      <x:c r="N410" s="10" t="n">
        <x:v>4.551266480432823</x:v>
      </x:c>
      <x:c r="O410" s="2" t="n">
        <x:v>50</x:v>
      </x:c>
      <x:c r="P410" s="10" t="n">
        <x:v>0.999999998575053</x:v>
      </x:c>
      <x:c r="Q410" s="10" t="n">
        <x:v>0.9999999993768061</x:v>
      </x:c>
    </x:row>
    <x:row r="411" ht="23" customHeight="1">
      <x:c r="A411" s="2" t="str">
        <x:v>Security</x:v>
      </x:c>
      <x:c r="B411" s="2" t="n">
        <x:v>12</x:v>
      </x:c>
      <x:c r="C411" s="2" t="str">
        <x:v>TaTS</x:v>
      </x:c>
      <x:c r="D411" s="2" t="n">
        <x:v>2026</x:v>
      </x:c>
      <x:c r="E411" s="10" t="n">
        <x:v>80.98327342565297</x:v>
      </x:c>
      <x:c r="F411" s="10" t="n">
        <x:v>81.12289389605024</x:v>
      </x:c>
      <x:c r="G411" s="10" t="n">
        <x:v>80.98327342565297</x:v>
      </x:c>
      <x:c r="H411" s="11" t="n">
        <x:v>0</x:v>
      </x:c>
      <x:c r="I411" s="2" t="n">
        <x:v>2</x:v>
      </x:c>
      <x:c r="J411" s="2" t="n">
        <x:v>10</x:v>
      </x:c>
      <x:c r="K411" s="2" t="str">
        <x:v>已达到</x:v>
      </x:c>
      <x:c r="L411" s="10" t="n">
        <x:v>4.631983135304633</x:v>
      </x:c>
      <x:c r="M411" s="10" t="n">
        <x:v>4.644063963265378</x:v>
      </x:c>
      <x:c r="N411" s="10" t="n">
        <x:v>4.631983135304633</x:v>
      </x:c>
      <x:c r="O411" s="2" t="n">
        <x:v>48</x:v>
      </x:c>
      <x:c r="P411" s="10" t="n">
        <x:v>1</x:v>
      </x:c>
      <x:c r="Q411" s="10" t="n">
        <x:v>1</x:v>
      </x:c>
    </x:row>
    <x:row r="412" ht="23" customHeight="1">
      <x:c r="A412" s="2" t="str">
        <x:v>Security</x:v>
      </x:c>
      <x:c r="B412" s="2" t="n">
        <x:v>12</x:v>
      </x:c>
      <x:c r="C412" s="2" t="str">
        <x:v>TaTS</x:v>
      </x:c>
      <x:c r="D412" s="2" t="n">
        <x:v>2027</x:v>
      </x:c>
      <x:c r="E412" s="10" t="n">
        <x:v>80.98327342565297</x:v>
      </x:c>
      <x:c r="F412" s="10" t="n">
        <x:v>80.98327342091513</x:v>
      </x:c>
      <x:c r="G412" s="10" t="n">
        <x:v>80.98327342565297</x:v>
      </x:c>
      <x:c r="H412" s="11" t="n">
        <x:v>0</x:v>
      </x:c>
      <x:c r="I412" s="2" t="n">
        <x:v>0</x:v>
      </x:c>
      <x:c r="J412" s="2" t="n">
        <x:v>8</x:v>
      </x:c>
      <x:c r="K412" s="2" t="str">
        <x:v>已达到</x:v>
      </x:c>
      <x:c r="L412" s="10" t="n">
        <x:v>4.631983135304633</x:v>
      </x:c>
      <x:c r="M412" s="10" t="n">
        <x:v>4.631983134916583</x:v>
      </x:c>
      <x:c r="N412" s="10" t="n">
        <x:v>4.631983135304633</x:v>
      </x:c>
      <x:c r="O412" s="2" t="n">
        <x:v>48</x:v>
      </x:c>
      <x:c r="P412" s="10" t="n">
        <x:v>1</x:v>
      </x:c>
      <x:c r="Q412" s="10" t="n">
        <x:v>1</x:v>
      </x:c>
    </x:row>
    <x:row r="413" ht="23" customHeight="1">
      <x:c r="A413" s="2" t="str">
        <x:v>Security</x:v>
      </x:c>
      <x:c r="B413" s="2" t="n">
        <x:v>12</x:v>
      </x:c>
      <x:c r="C413" s="2" t="str">
        <x:v>TaTS</x:v>
      </x:c>
      <x:c r="D413" s="2" t="n">
        <x:v>2028</x:v>
      </x:c>
      <x:c r="E413" s="10" t="n">
        <x:v>80.98327342565297</x:v>
      </x:c>
      <x:c r="F413" s="10" t="n">
        <x:v>80.98327342091513</x:v>
      </x:c>
      <x:c r="G413" s="10" t="n">
        <x:v>80.98327342565297</x:v>
      </x:c>
      <x:c r="H413" s="11" t="n">
        <x:v>0</x:v>
      </x:c>
      <x:c r="I413" s="2" t="n">
        <x:v>0</x:v>
      </x:c>
      <x:c r="J413" s="2" t="n">
        <x:v>8</x:v>
      </x:c>
      <x:c r="K413" s="2" t="str">
        <x:v>已达到</x:v>
      </x:c>
      <x:c r="L413" s="10" t="n">
        <x:v>4.631983135304633</x:v>
      </x:c>
      <x:c r="M413" s="10" t="n">
        <x:v>4.631983134916583</x:v>
      </x:c>
      <x:c r="N413" s="10" t="n">
        <x:v>4.631983135304633</x:v>
      </x:c>
      <x:c r="O413" s="2" t="n">
        <x:v>48</x:v>
      </x:c>
      <x:c r="P413" s="10" t="n">
        <x:v>1</x:v>
      </x:c>
      <x:c r="Q413" s="10" t="n">
        <x:v>1</x:v>
      </x:c>
    </x:row>
    <x:row r="414" ht="23" customHeight="1">
      <x:c r="A414" s="2" t="str">
        <x:v>Security</x:v>
      </x:c>
      <x:c r="B414" s="2" t="n">
        <x:v>12</x:v>
      </x:c>
      <x:c r="C414" s="2" t="str">
        <x:v>MM-TSFlib</x:v>
      </x:c>
      <x:c r="D414" s="2" t="n">
        <x:v>2026</x:v>
      </x:c>
      <x:c r="E414" s="10" t="n">
        <x:v>96.64963786673496</x:v>
      </x:c>
      <x:c r="F414" s="10" t="n">
        <x:v>96.37339555321853</x:v>
      </x:c>
      <x:c r="G414" s="10" t="n">
        <x:v>96.37339555321853</x:v>
      </x:c>
      <x:c r="H414" s="11" t="n">
        <x:v>1</x:v>
      </x:c>
      <x:c r="I414" s="2" t="n">
        <x:v>2</x:v>
      </x:c>
      <x:c r="J414" s="2" t="n">
        <x:v>10</x:v>
      </x:c>
      <x:c r="K414" s="2" t="str">
        <x:v>已达到</x:v>
      </x:c>
      <x:c r="L414" s="10" t="n">
        <x:v>5.996091651229411</x:v>
      </x:c>
      <x:c r="M414" s="10" t="n">
        <x:v>5.969824046925876</x:v>
      </x:c>
      <x:c r="N414" s="10" t="n">
        <x:v>5.969824046925876</x:v>
      </x:c>
      <x:c r="O414" s="2" t="n">
        <x:v>48</x:v>
      </x:c>
      <x:c r="P414" s="10" t="n">
        <x:v>0.9981175381384509</x:v>
      </x:c>
      <x:c r="Q414" s="10" t="n">
        <x:v>0.9990750854894553</x:v>
      </x:c>
    </x:row>
    <x:row r="415" ht="23" customHeight="1">
      <x:c r="A415" s="2" t="str">
        <x:v>Security</x:v>
      </x:c>
      <x:c r="B415" s="2" t="n">
        <x:v>12</x:v>
      </x:c>
      <x:c r="C415" s="2" t="str">
        <x:v>MM-TSFlib</x:v>
      </x:c>
      <x:c r="D415" s="2" t="n">
        <x:v>2027</x:v>
      </x:c>
      <x:c r="E415" s="10" t="n">
        <x:v>96.64963786673496</x:v>
      </x:c>
      <x:c r="F415" s="10" t="n">
        <x:v>96.64963779717937</x:v>
      </x:c>
      <x:c r="G415" s="10" t="n">
        <x:v>96.64963780357274</x:v>
      </x:c>
      <x:c r="H415" s="11" t="n">
        <x:v>0.75</x:v>
      </x:c>
      <x:c r="I415" s="2" t="n">
        <x:v>0</x:v>
      </x:c>
      <x:c r="J415" s="2" t="n">
        <x:v>8</x:v>
      </x:c>
      <x:c r="K415" s="2" t="str">
        <x:v>已达到</x:v>
      </x:c>
      <x:c r="L415" s="10" t="n">
        <x:v>5.996091651229411</x:v>
      </x:c>
      <x:c r="M415" s="10" t="n">
        <x:v>5.996091644503786</x:v>
      </x:c>
      <x:c r="N415" s="10" t="n">
        <x:v>5.996091645152218</x:v>
      </x:c>
      <x:c r="O415" s="2" t="n">
        <x:v>48</x:v>
      </x:c>
      <x:c r="P415" s="10" t="n">
        <x:v>0.9999999998901417</x:v>
      </x:c>
      <x:c r="Q415" s="10" t="n">
        <x:v>0.9999999998168166</x:v>
      </x:c>
    </x:row>
    <x:row r="416" ht="23" customHeight="1">
      <x:c r="A416" s="2" t="str">
        <x:v>Security</x:v>
      </x:c>
      <x:c r="B416" s="2" t="n">
        <x:v>12</x:v>
      </x:c>
      <x:c r="C416" s="2" t="str">
        <x:v>MM-TSFlib</x:v>
      </x:c>
      <x:c r="D416" s="2" t="n">
        <x:v>2028</x:v>
      </x:c>
      <x:c r="E416" s="10" t="n">
        <x:v>96.64963786673496</x:v>
      </x:c>
      <x:c r="F416" s="10" t="n">
        <x:v>96.64963779717937</x:v>
      </x:c>
      <x:c r="G416" s="10" t="n">
        <x:v>96.64963780357274</x:v>
      </x:c>
      <x:c r="H416" s="11" t="n">
        <x:v>0.75</x:v>
      </x:c>
      <x:c r="I416" s="2" t="n">
        <x:v>0</x:v>
      </x:c>
      <x:c r="J416" s="2" t="n">
        <x:v>8</x:v>
      </x:c>
      <x:c r="K416" s="2" t="str">
        <x:v>已达到</x:v>
      </x:c>
      <x:c r="L416" s="10" t="n">
        <x:v>5.996091651229411</x:v>
      </x:c>
      <x:c r="M416" s="10" t="n">
        <x:v>5.996091644503786</x:v>
      </x:c>
      <x:c r="N416" s="10" t="n">
        <x:v>5.996091645152218</x:v>
      </x:c>
      <x:c r="O416" s="2" t="n">
        <x:v>48</x:v>
      </x:c>
      <x:c r="P416" s="10" t="n">
        <x:v>0.9999999998901417</x:v>
      </x:c>
      <x:c r="Q416" s="10" t="n">
        <x:v>0.9999999998168166</x:v>
      </x:c>
    </x:row>
    <x:row r="417" ht="23" customHeight="1">
      <x:c r="A417" s="2" t="str">
        <x:v>Security</x:v>
      </x:c>
      <x:c r="B417" s="2" t="n">
        <x:v>12</x:v>
      </x:c>
      <x:c r="C417" s="2" t="str">
        <x:v>SpecTF</x:v>
      </x:c>
      <x:c r="D417" s="2" t="n">
        <x:v>2026</x:v>
      </x:c>
      <x:c r="E417" s="10" t="n">
        <x:v>78.07562570941445</x:v>
      </x:c>
      <x:c r="F417" s="10" t="n">
        <x:v>78.19839616518634</x:v>
      </x:c>
      <x:c r="G417" s="10" t="n">
        <x:v>78.07562570941445</x:v>
      </x:c>
      <x:c r="H417" s="11" t="n">
        <x:v>0</x:v>
      </x:c>
      <x:c r="I417" s="2" t="n">
        <x:v>2</x:v>
      </x:c>
      <x:c r="J417" s="2" t="n">
        <x:v>10</x:v>
      </x:c>
      <x:c r="K417" s="2" t="str">
        <x:v>已达到</x:v>
      </x:c>
      <x:c r="L417" s="10" t="n">
        <x:v>4.343691432009412</x:v>
      </x:c>
      <x:c r="M417" s="10" t="n">
        <x:v>4.359335519362099</x:v>
      </x:c>
      <x:c r="N417" s="10" t="n">
        <x:v>4.343691432009412</x:v>
      </x:c>
      <x:c r="O417" s="2" t="n">
        <x:v>48</x:v>
      </x:c>
      <x:c r="P417" s="10" t="n">
        <x:v>1</x:v>
      </x:c>
      <x:c r="Q417" s="10" t="n">
        <x:v>1</x:v>
      </x:c>
    </x:row>
    <x:row r="418" ht="23" customHeight="1">
      <x:c r="A418" s="2" t="str">
        <x:v>Security</x:v>
      </x:c>
      <x:c r="B418" s="2" t="n">
        <x:v>12</x:v>
      </x:c>
      <x:c r="C418" s="2" t="str">
        <x:v>SpecTF</x:v>
      </x:c>
      <x:c r="D418" s="2" t="n">
        <x:v>2027</x:v>
      </x:c>
      <x:c r="E418" s="10" t="n">
        <x:v>78.07562570941445</x:v>
      </x:c>
      <x:c r="F418" s="10" t="n">
        <x:v>78.07562570941445</x:v>
      </x:c>
      <x:c r="G418" s="10" t="n">
        <x:v>78.07562570941445</x:v>
      </x:c>
      <x:c r="H418" s="11" t="n">
        <x:v>0.5</x:v>
      </x:c>
      <x:c r="I418" s="2" t="n">
        <x:v>0</x:v>
      </x:c>
      <x:c r="J418" s="2" t="n">
        <x:v>8</x:v>
      </x:c>
      <x:c r="K418" s="2" t="str">
        <x:v>已达到</x:v>
      </x:c>
      <x:c r="L418" s="10" t="n">
        <x:v>4.343691432009412</x:v>
      </x:c>
      <x:c r="M418" s="10" t="n">
        <x:v>4.343691432009412</x:v>
      </x:c>
      <x:c r="N418" s="10" t="n">
        <x:v>4.343691432009412</x:v>
      </x:c>
      <x:c r="O418" s="2" t="n">
        <x:v>48</x:v>
      </x:c>
      <x:c r="P418" s="10" t="n">
        <x:v>0.9999999998845008</x:v>
      </x:c>
      <x:c r="Q418" s="10" t="n">
        <x:v>0.9999999999298125</x:v>
      </x:c>
    </x:row>
    <x:row r="419" ht="23" customHeight="1">
      <x:c r="A419" s="2" t="str">
        <x:v>Security</x:v>
      </x:c>
      <x:c r="B419" s="2" t="n">
        <x:v>12</x:v>
      </x:c>
      <x:c r="C419" s="2" t="str">
        <x:v>SpecTF</x:v>
      </x:c>
      <x:c r="D419" s="2" t="n">
        <x:v>2028</x:v>
      </x:c>
      <x:c r="E419" s="10" t="n">
        <x:v>78.07562570941445</x:v>
      </x:c>
      <x:c r="F419" s="10" t="n">
        <x:v>78.07562570941445</x:v>
      </x:c>
      <x:c r="G419" s="10" t="n">
        <x:v>78.07562570941445</x:v>
      </x:c>
      <x:c r="H419" s="11" t="n">
        <x:v>0.5</x:v>
      </x:c>
      <x:c r="I419" s="2" t="n">
        <x:v>0</x:v>
      </x:c>
      <x:c r="J419" s="2" t="n">
        <x:v>8</x:v>
      </x:c>
      <x:c r="K419" s="2" t="str">
        <x:v>已达到</x:v>
      </x:c>
      <x:c r="L419" s="10" t="n">
        <x:v>4.343691432009412</x:v>
      </x:c>
      <x:c r="M419" s="10" t="n">
        <x:v>4.343691432009412</x:v>
      </x:c>
      <x:c r="N419" s="10" t="n">
        <x:v>4.343691432009412</x:v>
      </x:c>
      <x:c r="O419" s="2" t="n">
        <x:v>48</x:v>
      </x:c>
      <x:c r="P419" s="10" t="n">
        <x:v>0.9999999998845008</x:v>
      </x:c>
      <x:c r="Q419" s="10" t="n">
        <x:v>0.9999999999298125</x:v>
      </x:c>
    </x:row>
    <x:row r="420" ht="23" customHeight="1">
      <x:c r="A420" s="2" t="str">
        <x:v>Security</x:v>
      </x:c>
      <x:c r="B420" s="2" t="n">
        <x:v>12</x:v>
      </x:c>
      <x:c r="C420" s="2" t="str">
        <x:v>CFA</x:v>
      </x:c>
      <x:c r="D420" s="2" t="n">
        <x:v>2026</x:v>
      </x:c>
      <x:c r="E420" s="10" t="n">
        <x:v>101.22611710260571</x:v>
      </x:c>
      <x:c r="F420" s="10" t="n">
        <x:v>101.50749544543835</x:v>
      </x:c>
      <x:c r="G420" s="10" t="n">
        <x:v>101.22611710260571</x:v>
      </x:c>
      <x:c r="H420" s="11" t="n">
        <x:v>0</x:v>
      </x:c>
      <x:c r="I420" s="2" t="n">
        <x:v>2</x:v>
      </x:c>
      <x:c r="J420" s="2" t="n">
        <x:v>10</x:v>
      </x:c>
      <x:c r="K420" s="2" t="str">
        <x:v>已达到</x:v>
      </x:c>
      <x:c r="L420" s="10" t="n">
        <x:v>5.842459637763871</x:v>
      </x:c>
      <x:c r="M420" s="10" t="n">
        <x:v>5.855041696019018</x:v>
      </x:c>
      <x:c r="N420" s="10" t="n">
        <x:v>5.842459637763871</x:v>
      </x:c>
      <x:c r="O420" s="2" t="n">
        <x:v>48</x:v>
      </x:c>
      <x:c r="P420" s="10" t="n">
        <x:v>1</x:v>
      </x:c>
      <x:c r="Q420" s="10" t="n">
        <x:v>1</x:v>
      </x:c>
    </x:row>
    <x:row r="421" ht="23" customHeight="1">
      <x:c r="A421" s="2" t="str">
        <x:v>Security</x:v>
      </x:c>
      <x:c r="B421" s="2" t="n">
        <x:v>12</x:v>
      </x:c>
      <x:c r="C421" s="2" t="str">
        <x:v>CFA</x:v>
      </x:c>
      <x:c r="D421" s="2" t="n">
        <x:v>2027</x:v>
      </x:c>
      <x:c r="E421" s="10" t="n">
        <x:v>101.22611710260571</x:v>
      </x:c>
      <x:c r="F421" s="10" t="n">
        <x:v>101.22611708097895</x:v>
      </x:c>
      <x:c r="G421" s="10" t="n">
        <x:v>101.22611708152873</x:v>
      </x:c>
      <x:c r="H421" s="11" t="n">
        <x:v>0.75</x:v>
      </x:c>
      <x:c r="I421" s="2" t="n">
        <x:v>0</x:v>
      </x:c>
      <x:c r="J421" s="2" t="n">
        <x:v>8</x:v>
      </x:c>
      <x:c r="K421" s="2" t="str">
        <x:v>已达到</x:v>
      </x:c>
      <x:c r="L421" s="10" t="n">
        <x:v>5.842459637763871</x:v>
      </x:c>
      <x:c r="M421" s="10" t="n">
        <x:v>5.842459636612653</x:v>
      </x:c>
      <x:c r="N421" s="10" t="n">
        <x:v>5.842459636657925</x:v>
      </x:c>
      <x:c r="O421" s="2" t="n">
        <x:v>48</x:v>
      </x:c>
      <x:c r="P421" s="10" t="n">
        <x:v>0.9999999998065019</x:v>
      </x:c>
      <x:c r="Q421" s="10" t="n">
        <x:v>0.999999999906714</x:v>
      </x:c>
    </x:row>
    <x:row r="422" ht="23" customHeight="1">
      <x:c r="A422" s="2" t="str">
        <x:v>Security</x:v>
      </x:c>
      <x:c r="B422" s="2" t="n">
        <x:v>12</x:v>
      </x:c>
      <x:c r="C422" s="2" t="str">
        <x:v>CFA</x:v>
      </x:c>
      <x:c r="D422" s="2" t="n">
        <x:v>2028</x:v>
      </x:c>
      <x:c r="E422" s="10" t="n">
        <x:v>101.22611710260571</x:v>
      </x:c>
      <x:c r="F422" s="10" t="n">
        <x:v>101.22611708097895</x:v>
      </x:c>
      <x:c r="G422" s="10" t="n">
        <x:v>101.22611708152873</x:v>
      </x:c>
      <x:c r="H422" s="11" t="n">
        <x:v>0.75</x:v>
      </x:c>
      <x:c r="I422" s="2" t="n">
        <x:v>0</x:v>
      </x:c>
      <x:c r="J422" s="2" t="n">
        <x:v>8</x:v>
      </x:c>
      <x:c r="K422" s="2" t="str">
        <x:v>已达到</x:v>
      </x:c>
      <x:c r="L422" s="10" t="n">
        <x:v>5.842459637763871</x:v>
      </x:c>
      <x:c r="M422" s="10" t="n">
        <x:v>5.842459636612653</x:v>
      </x:c>
      <x:c r="N422" s="10" t="n">
        <x:v>5.842459636657925</x:v>
      </x:c>
      <x:c r="O422" s="2" t="n">
        <x:v>48</x:v>
      </x:c>
      <x:c r="P422" s="10" t="n">
        <x:v>0.9999999998065019</x:v>
      </x:c>
      <x:c r="Q422" s="10" t="n">
        <x:v>0.999999999906714</x:v>
      </x:c>
    </x:row>
    <x:row r="423" ht="23" customHeight="1">
      <x:c r="A423" s="2" t="str">
        <x:v>Security</x:v>
      </x:c>
      <x:c r="B423" s="2" t="n">
        <x:v>12</x:v>
      </x:c>
      <x:c r="C423" s="2" t="str">
        <x:v>Aurora</x:v>
      </x:c>
      <x:c r="D423" s="2" t="n">
        <x:v>2026</x:v>
      </x:c>
      <x:c r="E423" s="10" t="n">
        <x:v>89.22429087175277</x:v>
      </x:c>
      <x:c r="F423" s="10" t="n">
        <x:v>89.2769943615731</x:v>
      </x:c>
      <x:c r="G423" s="10" t="n">
        <x:v>89.2769943615731</x:v>
      </x:c>
      <x:c r="H423" s="11" t="n">
        <x:v>1</x:v>
      </x:c>
      <x:c r="I423" s="2" t="n">
        <x:v>2</x:v>
      </x:c>
      <x:c r="J423" s="2" t="n">
        <x:v>10</x:v>
      </x:c>
      <x:c r="K423" s="2" t="str">
        <x:v>已达到</x:v>
      </x:c>
      <x:c r="L423" s="10" t="n">
        <x:v>4.707309610690572</x:v>
      </x:c>
      <x:c r="M423" s="10" t="n">
        <x:v>4.712457921525735</x:v>
      </x:c>
      <x:c r="N423" s="10" t="n">
        <x:v>4.712457921525735</x:v>
      </x:c>
      <x:c r="O423" s="2" t="n">
        <x:v>48</x:v>
      </x:c>
      <x:c r="P423" s="10" t="n">
        <x:v>0.9981371892660794</x:v>
      </x:c>
      <x:c r="Q423" s="10" t="n">
        <x:v>0.999955548114631</x:v>
      </x:c>
    </x:row>
    <x:row r="424" ht="23" customHeight="1">
      <x:c r="A424" s="2" t="str">
        <x:v>Security</x:v>
      </x:c>
      <x:c r="B424" s="2" t="n">
        <x:v>12</x:v>
      </x:c>
      <x:c r="C424" s="2" t="str">
        <x:v>Aurora</x:v>
      </x:c>
      <x:c r="D424" s="2" t="n">
        <x:v>2027</x:v>
      </x:c>
      <x:c r="E424" s="10" t="n">
        <x:v>89.22429087175277</x:v>
      </x:c>
      <x:c r="F424" s="10" t="n">
        <x:v>89.22429086580622</x:v>
      </x:c>
      <x:c r="G424" s="10" t="n">
        <x:v>89.22429086580622</x:v>
      </x:c>
      <x:c r="H424" s="11" t="n">
        <x:v>1</x:v>
      </x:c>
      <x:c r="I424" s="2" t="n">
        <x:v>0</x:v>
      </x:c>
      <x:c r="J424" s="2" t="n">
        <x:v>8</x:v>
      </x:c>
      <x:c r="K424" s="2" t="str">
        <x:v>已达到</x:v>
      </x:c>
      <x:c r="L424" s="10" t="n">
        <x:v>4.707309610690572</x:v>
      </x:c>
      <x:c r="M424" s="10" t="n">
        <x:v>4.707309610431872</x:v>
      </x:c>
      <x:c r="N424" s="10" t="n">
        <x:v>4.707309610431872</x:v>
      </x:c>
      <x:c r="O424" s="2" t="n">
        <x:v>48</x:v>
      </x:c>
      <x:c r="P424" s="10" t="n">
        <x:v>0.9999999990737024</x:v>
      </x:c>
      <x:c r="Q424" s="10" t="n">
        <x:v>0.9999999993041142</x:v>
      </x:c>
    </x:row>
    <x:row r="425" ht="23" customHeight="1">
      <x:c r="A425" s="2" t="str">
        <x:v>Security</x:v>
      </x:c>
      <x:c r="B425" s="2" t="n">
        <x:v>12</x:v>
      </x:c>
      <x:c r="C425" s="2" t="str">
        <x:v>Aurora</x:v>
      </x:c>
      <x:c r="D425" s="2" t="n">
        <x:v>2028</x:v>
      </x:c>
      <x:c r="E425" s="10" t="n">
        <x:v>89.22429087175277</x:v>
      </x:c>
      <x:c r="F425" s="10" t="n">
        <x:v>89.22429086580622</x:v>
      </x:c>
      <x:c r="G425" s="10" t="n">
        <x:v>89.22429086580622</x:v>
      </x:c>
      <x:c r="H425" s="11" t="n">
        <x:v>1</x:v>
      </x:c>
      <x:c r="I425" s="2" t="n">
        <x:v>0</x:v>
      </x:c>
      <x:c r="J425" s="2" t="n">
        <x:v>8</x:v>
      </x:c>
      <x:c r="K425" s="2" t="str">
        <x:v>已达到</x:v>
      </x:c>
      <x:c r="L425" s="10" t="n">
        <x:v>4.707309610690572</x:v>
      </x:c>
      <x:c r="M425" s="10" t="n">
        <x:v>4.707309610431872</x:v>
      </x:c>
      <x:c r="N425" s="10" t="n">
        <x:v>4.707309610431872</x:v>
      </x:c>
      <x:c r="O425" s="2" t="n">
        <x:v>48</x:v>
      </x:c>
      <x:c r="P425" s="10" t="n">
        <x:v>0.9999999990737024</x:v>
      </x:c>
      <x:c r="Q425" s="10" t="n">
        <x:v>0.9999999993041142</x:v>
      </x:c>
    </x:row>
    <x:row r="426" ht="23" customHeight="1">
      <x:c r="A426" s="2" t="str">
        <x:v>SocialGood</x:v>
      </x:c>
      <x:c r="B426" s="2" t="n">
        <x:v>6</x:v>
      </x:c>
      <x:c r="C426" s="2" t="str">
        <x:v>TaTS</x:v>
      </x:c>
      <x:c r="D426" s="2" t="n">
        <x:v>2026</x:v>
      </x:c>
      <x:c r="E426" s="10" t="n">
        <x:v>1.064878293277627</x:v>
      </x:c>
      <x:c r="F426" s="10" t="n">
        <x:v>1.064878293080197</x:v>
      </x:c>
      <x:c r="G426" s="10" t="n">
        <x:v>1.064878293080197</x:v>
      </x:c>
      <x:c r="H426" s="11" t="n">
        <x:v>1</x:v>
      </x:c>
      <x:c r="I426" s="2" t="n">
        <x:v>0</x:v>
      </x:c>
      <x:c r="J426" s="2" t="n">
        <x:v>8</x:v>
      </x:c>
      <x:c r="K426" s="2" t="str">
        <x:v>已达到</x:v>
      </x:c>
      <x:c r="L426" s="10" t="n">
        <x:v>0.6525321386822702</x:v>
      </x:c>
      <x:c r="M426" s="10" t="n">
        <x:v>0.6525321385355735</x:v>
      </x:c>
      <x:c r="N426" s="10" t="n">
        <x:v>0.6525321385355735</x:v>
      </x:c>
      <x:c r="O426" s="2" t="n">
        <x:v>173</x:v>
      </x:c>
      <x:c r="P426" s="10" t="n">
        <x:v>0.999999999986806</x:v>
      </x:c>
      <x:c r="Q426" s="10" t="n">
        <x:v>0.9999999999753699</x:v>
      </x:c>
    </x:row>
    <x:row r="427" ht="23" customHeight="1">
      <x:c r="A427" s="2" t="str">
        <x:v>SocialGood</x:v>
      </x:c>
      <x:c r="B427" s="2" t="n">
        <x:v>6</x:v>
      </x:c>
      <x:c r="C427" s="2" t="str">
        <x:v>TaTS</x:v>
      </x:c>
      <x:c r="D427" s="2" t="n">
        <x:v>2027</x:v>
      </x:c>
      <x:c r="E427" s="10" t="n">
        <x:v>1.064878293277627</x:v>
      </x:c>
      <x:c r="F427" s="10" t="n">
        <x:v>1.0284550464033246</x:v>
      </x:c>
      <x:c r="G427" s="10" t="n">
        <x:v>1.0284550464033246</x:v>
      </x:c>
      <x:c r="H427" s="11" t="n">
        <x:v>1</x:v>
      </x:c>
      <x:c r="I427" s="2" t="n">
        <x:v>7</x:v>
      </x:c>
      <x:c r="J427" s="2" t="n">
        <x:v>15</x:v>
      </x:c>
      <x:c r="K427" s="2" t="str">
        <x:v>已达到</x:v>
      </x:c>
      <x:c r="L427" s="10" t="n">
        <x:v>0.6525321386822702</x:v>
      </x:c>
      <x:c r="M427" s="10" t="n">
        <x:v>0.6362232186621583</x:v>
      </x:c>
      <x:c r="N427" s="10" t="n">
        <x:v>0.6362232186621583</x:v>
      </x:c>
      <x:c r="O427" s="2" t="n">
        <x:v>173</x:v>
      </x:c>
      <x:c r="P427" s="10" t="n">
        <x:v>0.9942240966650177</x:v>
      </x:c>
      <x:c r="Q427" s="10" t="n">
        <x:v>0.9743191549835888</x:v>
      </x:c>
    </x:row>
    <x:row r="428" ht="23" customHeight="1">
      <x:c r="A428" s="2" t="str">
        <x:v>SocialGood</x:v>
      </x:c>
      <x:c r="B428" s="2" t="n">
        <x:v>6</x:v>
      </x:c>
      <x:c r="C428" s="2" t="str">
        <x:v>TaTS</x:v>
      </x:c>
      <x:c r="D428" s="2" t="n">
        <x:v>2028</x:v>
      </x:c>
      <x:c r="E428" s="10" t="n">
        <x:v>1.064878293277627</x:v>
      </x:c>
      <x:c r="F428" s="10" t="n">
        <x:v>1.064878293080197</x:v>
      </x:c>
      <x:c r="G428" s="10" t="n">
        <x:v>1.064878293080197</x:v>
      </x:c>
      <x:c r="H428" s="11" t="n">
        <x:v>1</x:v>
      </x:c>
      <x:c r="I428" s="2" t="n">
        <x:v>0</x:v>
      </x:c>
      <x:c r="J428" s="2" t="n">
        <x:v>8</x:v>
      </x:c>
      <x:c r="K428" s="2" t="str">
        <x:v>已达到</x:v>
      </x:c>
      <x:c r="L428" s="10" t="n">
        <x:v>0.6525321386822702</x:v>
      </x:c>
      <x:c r="M428" s="10" t="n">
        <x:v>0.6525321385355735</x:v>
      </x:c>
      <x:c r="N428" s="10" t="n">
        <x:v>0.6525321385355735</x:v>
      </x:c>
      <x:c r="O428" s="2" t="n">
        <x:v>173</x:v>
      </x:c>
      <x:c r="P428" s="10" t="n">
        <x:v>0.999999999986806</x:v>
      </x:c>
      <x:c r="Q428" s="10" t="n">
        <x:v>0.9999999999753699</x:v>
      </x:c>
    </x:row>
    <x:row r="429" ht="23" customHeight="1">
      <x:c r="A429" s="2" t="str">
        <x:v>SocialGood</x:v>
      </x:c>
      <x:c r="B429" s="2" t="n">
        <x:v>6</x:v>
      </x:c>
      <x:c r="C429" s="2" t="str">
        <x:v>MM-TSFlib</x:v>
      </x:c>
      <x:c r="D429" s="2" t="n">
        <x:v>2026</x:v>
      </x:c>
      <x:c r="E429" s="10" t="n">
        <x:v>0.7169099234673274</x:v>
      </x:c>
      <x:c r="F429" s="10" t="n">
        <x:v>0.7169099230183881</x:v>
      </x:c>
      <x:c r="G429" s="10" t="n">
        <x:v>0.7169099234673274</x:v>
      </x:c>
      <x:c r="H429" s="11" t="n">
        <x:v>0</x:v>
      </x:c>
      <x:c r="I429" s="2" t="n">
        <x:v>0</x:v>
      </x:c>
      <x:c r="J429" s="2" t="n">
        <x:v>8</x:v>
      </x:c>
      <x:c r="K429" s="2" t="str">
        <x:v>已达到</x:v>
      </x:c>
      <x:c r="L429" s="10" t="n">
        <x:v>0.4204102437799664</x:v>
      </x:c>
      <x:c r="M429" s="10" t="n">
        <x:v>0.42041024348141376</x:v>
      </x:c>
      <x:c r="N429" s="10" t="n">
        <x:v>0.4204102437799664</x:v>
      </x:c>
      <x:c r="O429" s="2" t="n">
        <x:v>173</x:v>
      </x:c>
      <x:c r="P429" s="10" t="n">
        <x:v>1</x:v>
      </x:c>
      <x:c r="Q429" s="10" t="n">
        <x:v>1</x:v>
      </x:c>
    </x:row>
    <x:row r="430" ht="23" customHeight="1">
      <x:c r="A430" s="2" t="str">
        <x:v>SocialGood</x:v>
      </x:c>
      <x:c r="B430" s="2" t="n">
        <x:v>6</x:v>
      </x:c>
      <x:c r="C430" s="2" t="str">
        <x:v>MM-TSFlib</x:v>
      </x:c>
      <x:c r="D430" s="2" t="n">
        <x:v>2027</x:v>
      </x:c>
      <x:c r="E430" s="10" t="n">
        <x:v>0.7169099234673274</x:v>
      </x:c>
      <x:c r="F430" s="10" t="n">
        <x:v>0.7142315626968538</x:v>
      </x:c>
      <x:c r="G430" s="10" t="n">
        <x:v>0.7169099234673274</x:v>
      </x:c>
      <x:c r="H430" s="11" t="n">
        <x:v>0</x:v>
      </x:c>
      <x:c r="I430" s="2" t="n">
        <x:v>7</x:v>
      </x:c>
      <x:c r="J430" s="2" t="n">
        <x:v>15</x:v>
      </x:c>
      <x:c r="K430" s="2" t="str">
        <x:v>已达到</x:v>
      </x:c>
      <x:c r="L430" s="10" t="n">
        <x:v>0.4204102437799664</x:v>
      </x:c>
      <x:c r="M430" s="10" t="n">
        <x:v>0.41597512727450786</x:v>
      </x:c>
      <x:c r="N430" s="10" t="n">
        <x:v>0.4204102437799664</x:v>
      </x:c>
      <x:c r="O430" s="2" t="n">
        <x:v>173</x:v>
      </x:c>
      <x:c r="P430" s="10" t="n">
        <x:v>1</x:v>
      </x:c>
      <x:c r="Q430" s="10" t="n">
        <x:v>1</x:v>
      </x:c>
    </x:row>
    <x:row r="431" ht="23" customHeight="1">
      <x:c r="A431" s="2" t="str">
        <x:v>SocialGood</x:v>
      </x:c>
      <x:c r="B431" s="2" t="n">
        <x:v>6</x:v>
      </x:c>
      <x:c r="C431" s="2" t="str">
        <x:v>MM-TSFlib</x:v>
      </x:c>
      <x:c r="D431" s="2" t="n">
        <x:v>2028</x:v>
      </x:c>
      <x:c r="E431" s="10" t="n">
        <x:v>0.7169099234673274</x:v>
      </x:c>
      <x:c r="F431" s="10" t="n">
        <x:v>0.7169099230183881</x:v>
      </x:c>
      <x:c r="G431" s="10" t="n">
        <x:v>0.7169099234673274</x:v>
      </x:c>
      <x:c r="H431" s="11" t="n">
        <x:v>0</x:v>
      </x:c>
      <x:c r="I431" s="2" t="n">
        <x:v>0</x:v>
      </x:c>
      <x:c r="J431" s="2" t="n">
        <x:v>8</x:v>
      </x:c>
      <x:c r="K431" s="2" t="str">
        <x:v>已达到</x:v>
      </x:c>
      <x:c r="L431" s="10" t="n">
        <x:v>0.4204102437799664</x:v>
      </x:c>
      <x:c r="M431" s="10" t="n">
        <x:v>0.42041024348141376</x:v>
      </x:c>
      <x:c r="N431" s="10" t="n">
        <x:v>0.4204102437799664</x:v>
      </x:c>
      <x:c r="O431" s="2" t="n">
        <x:v>173</x:v>
      </x:c>
      <x:c r="P431" s="10" t="n">
        <x:v>1</x:v>
      </x:c>
      <x:c r="Q431" s="10" t="n">
        <x:v>1</x:v>
      </x:c>
    </x:row>
    <x:row r="432" ht="23" customHeight="1">
      <x:c r="A432" s="2" t="str">
        <x:v>SocialGood</x:v>
      </x:c>
      <x:c r="B432" s="2" t="n">
        <x:v>6</x:v>
      </x:c>
      <x:c r="C432" s="2" t="str">
        <x:v>SpecTF</x:v>
      </x:c>
      <x:c r="D432" s="2" t="n">
        <x:v>2026</x:v>
      </x:c>
      <x:c r="E432" s="10" t="n">
        <x:v>0.9929525026766165</x:v>
      </x:c>
      <x:c r="F432" s="10" t="n">
        <x:v>0.9929525026175993</x:v>
      </x:c>
      <x:c r="G432" s="10" t="n">
        <x:v>0.9929525026766165</x:v>
      </x:c>
      <x:c r="H432" s="11" t="n">
        <x:v>0</x:v>
      </x:c>
      <x:c r="I432" s="2" t="n">
        <x:v>0</x:v>
      </x:c>
      <x:c r="J432" s="2" t="n">
        <x:v>8</x:v>
      </x:c>
      <x:c r="K432" s="2" t="str">
        <x:v>已达到</x:v>
      </x:c>
      <x:c r="L432" s="10" t="n">
        <x:v>0.41201256257147656</x:v>
      </x:c>
      <x:c r="M432" s="10" t="n">
        <x:v>0.41201256259250535</x:v>
      </x:c>
      <x:c r="N432" s="10" t="n">
        <x:v>0.41201256257147656</x:v>
      </x:c>
      <x:c r="O432" s="2" t="n">
        <x:v>173</x:v>
      </x:c>
      <x:c r="P432" s="10" t="n">
        <x:v>1</x:v>
      </x:c>
      <x:c r="Q432" s="10" t="n">
        <x:v>1</x:v>
      </x:c>
    </x:row>
    <x:row r="433" ht="23" customHeight="1">
      <x:c r="A433" s="2" t="str">
        <x:v>SocialGood</x:v>
      </x:c>
      <x:c r="B433" s="2" t="n">
        <x:v>6</x:v>
      </x:c>
      <x:c r="C433" s="2" t="str">
        <x:v>SpecTF</x:v>
      </x:c>
      <x:c r="D433" s="2" t="n">
        <x:v>2027</x:v>
      </x:c>
      <x:c r="E433" s="10" t="n">
        <x:v>0.9929525026766165</x:v>
      </x:c>
      <x:c r="F433" s="10" t="n">
        <x:v>0.9807697842816027</x:v>
      </x:c>
      <x:c r="G433" s="10" t="n">
        <x:v>0.9929525026766165</x:v>
      </x:c>
      <x:c r="H433" s="11" t="n">
        <x:v>0</x:v>
      </x:c>
      <x:c r="I433" s="2" t="n">
        <x:v>7</x:v>
      </x:c>
      <x:c r="J433" s="2" t="n">
        <x:v>15</x:v>
      </x:c>
      <x:c r="K433" s="2" t="str">
        <x:v>已达到</x:v>
      </x:c>
      <x:c r="L433" s="10" t="n">
        <x:v>0.41201256257147656</x:v>
      </x:c>
      <x:c r="M433" s="10" t="n">
        <x:v>0.4119676624627529</x:v>
      </x:c>
      <x:c r="N433" s="10" t="n">
        <x:v>0.41201256257147656</x:v>
      </x:c>
      <x:c r="O433" s="2" t="n">
        <x:v>173</x:v>
      </x:c>
      <x:c r="P433" s="10" t="n">
        <x:v>1</x:v>
      </x:c>
      <x:c r="Q433" s="10" t="n">
        <x:v>1</x:v>
      </x:c>
    </x:row>
    <x:row r="434" ht="23" customHeight="1">
      <x:c r="A434" s="2" t="str">
        <x:v>SocialGood</x:v>
      </x:c>
      <x:c r="B434" s="2" t="n">
        <x:v>6</x:v>
      </x:c>
      <x:c r="C434" s="2" t="str">
        <x:v>SpecTF</x:v>
      </x:c>
      <x:c r="D434" s="2" t="n">
        <x:v>2028</x:v>
      </x:c>
      <x:c r="E434" s="10" t="n">
        <x:v>0.9929525026766165</x:v>
      </x:c>
      <x:c r="F434" s="10" t="n">
        <x:v>0.9929525026175993</x:v>
      </x:c>
      <x:c r="G434" s="10" t="n">
        <x:v>0.9929525026766165</x:v>
      </x:c>
      <x:c r="H434" s="11" t="n">
        <x:v>0</x:v>
      </x:c>
      <x:c r="I434" s="2" t="n">
        <x:v>0</x:v>
      </x:c>
      <x:c r="J434" s="2" t="n">
        <x:v>8</x:v>
      </x:c>
      <x:c r="K434" s="2" t="str">
        <x:v>已达到</x:v>
      </x:c>
      <x:c r="L434" s="10" t="n">
        <x:v>0.41201256257147656</x:v>
      </x:c>
      <x:c r="M434" s="10" t="n">
        <x:v>0.41201256259250535</x:v>
      </x:c>
      <x:c r="N434" s="10" t="n">
        <x:v>0.41201256257147656</x:v>
      </x:c>
      <x:c r="O434" s="2" t="n">
        <x:v>173</x:v>
      </x:c>
      <x:c r="P434" s="10" t="n">
        <x:v>1</x:v>
      </x:c>
      <x:c r="Q434" s="10" t="n">
        <x:v>1</x:v>
      </x:c>
    </x:row>
    <x:row r="435" ht="23" customHeight="1">
      <x:c r="A435" s="2" t="str">
        <x:v>SocialGood</x:v>
      </x:c>
      <x:c r="B435" s="2" t="n">
        <x:v>6</x:v>
      </x:c>
      <x:c r="C435" s="2" t="str">
        <x:v>CFA</x:v>
      </x:c>
      <x:c r="D435" s="2" t="n">
        <x:v>2026</x:v>
      </x:c>
      <x:c r="E435" s="10" t="n">
        <x:v>0.9942550612647435</x:v>
      </x:c>
      <x:c r="F435" s="10" t="n">
        <x:v>0.9942550613581815</x:v>
      </x:c>
      <x:c r="G435" s="10" t="n">
        <x:v>0.9942550613605878</x:v>
      </x:c>
      <x:c r="H435" s="11" t="n">
        <x:v>0.5</x:v>
      </x:c>
      <x:c r="I435" s="2" t="n">
        <x:v>0</x:v>
      </x:c>
      <x:c r="J435" s="2" t="n">
        <x:v>8</x:v>
      </x:c>
      <x:c r="K435" s="2" t="str">
        <x:v>已达到</x:v>
      </x:c>
      <x:c r="L435" s="10" t="n">
        <x:v>0.4034629328022056</x:v>
      </x:c>
      <x:c r="M435" s="10" t="n">
        <x:v>0.4034629328885638</x:v>
      </x:c>
      <x:c r="N435" s="10" t="n">
        <x:v>0.40346293284706697</x:v>
      </x:c>
      <x:c r="O435" s="2" t="n">
        <x:v>173</x:v>
      </x:c>
      <x:c r="P435" s="10" t="n">
        <x:v>0.9999999999858175</x:v>
      </x:c>
      <x:c r="Q435" s="10" t="n">
        <x:v>0.9999999999951112</x:v>
      </x:c>
    </x:row>
    <x:row r="436" ht="23" customHeight="1">
      <x:c r="A436" s="2" t="str">
        <x:v>SocialGood</x:v>
      </x:c>
      <x:c r="B436" s="2" t="n">
        <x:v>6</x:v>
      </x:c>
      <x:c r="C436" s="2" t="str">
        <x:v>CFA</x:v>
      </x:c>
      <x:c r="D436" s="2" t="n">
        <x:v>2027</x:v>
      </x:c>
      <x:c r="E436" s="10" t="n">
        <x:v>0.9942550612647435</x:v>
      </x:c>
      <x:c r="F436" s="10" t="n">
        <x:v>0.9831960534879933</x:v>
      </x:c>
      <x:c r="G436" s="10" t="n">
        <x:v>0.9942550612647435</x:v>
      </x:c>
      <x:c r="H436" s="11" t="n">
        <x:v>0</x:v>
      </x:c>
      <x:c r="I436" s="2" t="n">
        <x:v>7</x:v>
      </x:c>
      <x:c r="J436" s="2" t="n">
        <x:v>15</x:v>
      </x:c>
      <x:c r="K436" s="2" t="str">
        <x:v>已达到</x:v>
      </x:c>
      <x:c r="L436" s="10" t="n">
        <x:v>0.4034629328022056</x:v>
      </x:c>
      <x:c r="M436" s="10" t="n">
        <x:v>0.4012374101289205</x:v>
      </x:c>
      <x:c r="N436" s="10" t="n">
        <x:v>0.4034629328022056</x:v>
      </x:c>
      <x:c r="O436" s="2" t="n">
        <x:v>173</x:v>
      </x:c>
      <x:c r="P436" s="10" t="n">
        <x:v>1</x:v>
      </x:c>
      <x:c r="Q436" s="10" t="n">
        <x:v>1</x:v>
      </x:c>
    </x:row>
    <x:row r="437" ht="23" customHeight="1">
      <x:c r="A437" s="2" t="str">
        <x:v>SocialGood</x:v>
      </x:c>
      <x:c r="B437" s="2" t="n">
        <x:v>6</x:v>
      </x:c>
      <x:c r="C437" s="2" t="str">
        <x:v>CFA</x:v>
      </x:c>
      <x:c r="D437" s="2" t="n">
        <x:v>2028</x:v>
      </x:c>
      <x:c r="E437" s="10" t="n">
        <x:v>0.9942550612647435</x:v>
      </x:c>
      <x:c r="F437" s="10" t="n">
        <x:v>0.9942550613581815</x:v>
      </x:c>
      <x:c r="G437" s="10" t="n">
        <x:v>0.9942550613605878</x:v>
      </x:c>
      <x:c r="H437" s="11" t="n">
        <x:v>0.5</x:v>
      </x:c>
      <x:c r="I437" s="2" t="n">
        <x:v>0</x:v>
      </x:c>
      <x:c r="J437" s="2" t="n">
        <x:v>8</x:v>
      </x:c>
      <x:c r="K437" s="2" t="str">
        <x:v>已达到</x:v>
      </x:c>
      <x:c r="L437" s="10" t="n">
        <x:v>0.4034629328022056</x:v>
      </x:c>
      <x:c r="M437" s="10" t="n">
        <x:v>0.4034629328885638</x:v>
      </x:c>
      <x:c r="N437" s="10" t="n">
        <x:v>0.40346293284706697</x:v>
      </x:c>
      <x:c r="O437" s="2" t="n">
        <x:v>173</x:v>
      </x:c>
      <x:c r="P437" s="10" t="n">
        <x:v>0.9999999999858175</x:v>
      </x:c>
      <x:c r="Q437" s="10" t="n">
        <x:v>0.9999999999951112</x:v>
      </x:c>
    </x:row>
    <x:row r="438" ht="23" customHeight="1">
      <x:c r="A438" s="2" t="str">
        <x:v>SocialGood</x:v>
      </x:c>
      <x:c r="B438" s="2" t="n">
        <x:v>6</x:v>
      </x:c>
      <x:c r="C438" s="2" t="str">
        <x:v>Aurora</x:v>
      </x:c>
      <x:c r="D438" s="2" t="n">
        <x:v>2026</x:v>
      </x:c>
      <x:c r="E438" s="10" t="n">
        <x:v>1.6768303961171411</x:v>
      </x:c>
      <x:c r="F438" s="10" t="n">
        <x:v>1.6768303965814835</x:v>
      </x:c>
      <x:c r="G438" s="10" t="n">
        <x:v>1.676830396385589</x:v>
      </x:c>
      <x:c r="H438" s="11" t="n">
        <x:v>0.5</x:v>
      </x:c>
      <x:c r="I438" s="2" t="n">
        <x:v>0</x:v>
      </x:c>
      <x:c r="J438" s="2" t="n">
        <x:v>8</x:v>
      </x:c>
      <x:c r="K438" s="2" t="str">
        <x:v>已达到</x:v>
      </x:c>
      <x:c r="L438" s="10" t="n">
        <x:v>0.8500577690591676</x:v>
      </x:c>
      <x:c r="M438" s="10" t="n">
        <x:v>0.8500577692502772</x:v>
      </x:c>
      <x:c r="N438" s="10" t="n">
        <x:v>0.8500577691906116</x:v>
      </x:c>
      <x:c r="O438" s="2" t="n">
        <x:v>173</x:v>
      </x:c>
      <x:c r="P438" s="10" t="n">
        <x:v>0.9999999999889956</x:v>
      </x:c>
      <x:c r="Q438" s="10" t="n">
        <x:v>0.9999999999959205</x:v>
      </x:c>
    </x:row>
    <x:row r="439" ht="23" customHeight="1">
      <x:c r="A439" s="2" t="str">
        <x:v>SocialGood</x:v>
      </x:c>
      <x:c r="B439" s="2" t="n">
        <x:v>6</x:v>
      </x:c>
      <x:c r="C439" s="2" t="str">
        <x:v>Aurora</x:v>
      </x:c>
      <x:c r="D439" s="2" t="n">
        <x:v>2027</x:v>
      </x:c>
      <x:c r="E439" s="10" t="n">
        <x:v>1.6768303961171411</x:v>
      </x:c>
      <x:c r="F439" s="10" t="n">
        <x:v>1.6812790367315107</x:v>
      </x:c>
      <x:c r="G439" s="10" t="n">
        <x:v>1.6768303961171411</x:v>
      </x:c>
      <x:c r="H439" s="11" t="n">
        <x:v>0</x:v>
      </x:c>
      <x:c r="I439" s="2" t="n">
        <x:v>7</x:v>
      </x:c>
      <x:c r="J439" s="2" t="n">
        <x:v>15</x:v>
      </x:c>
      <x:c r="K439" s="2" t="str">
        <x:v>已达到</x:v>
      </x:c>
      <x:c r="L439" s="10" t="n">
        <x:v>0.8500577690591676</x:v>
      </x:c>
      <x:c r="M439" s="10" t="n">
        <x:v>0.8425116901499486</x:v>
      </x:c>
      <x:c r="N439" s="10" t="n">
        <x:v>0.8500577690591676</x:v>
      </x:c>
      <x:c r="O439" s="2" t="n">
        <x:v>173</x:v>
      </x:c>
      <x:c r="P439" s="10" t="n">
        <x:v>1</x:v>
      </x:c>
      <x:c r="Q439" s="10" t="n">
        <x:v>1</x:v>
      </x:c>
    </x:row>
    <x:row r="440" ht="23" customHeight="1">
      <x:c r="A440" s="2" t="str">
        <x:v>SocialGood</x:v>
      </x:c>
      <x:c r="B440" s="2" t="n">
        <x:v>6</x:v>
      </x:c>
      <x:c r="C440" s="2" t="str">
        <x:v>Aurora</x:v>
      </x:c>
      <x:c r="D440" s="2" t="n">
        <x:v>2028</x:v>
      </x:c>
      <x:c r="E440" s="10" t="n">
        <x:v>1.6768303961171411</x:v>
      </x:c>
      <x:c r="F440" s="10" t="n">
        <x:v>1.6768303965814835</x:v>
      </x:c>
      <x:c r="G440" s="10" t="n">
        <x:v>1.676830396385589</x:v>
      </x:c>
      <x:c r="H440" s="11" t="n">
        <x:v>0.5</x:v>
      </x:c>
      <x:c r="I440" s="2" t="n">
        <x:v>0</x:v>
      </x:c>
      <x:c r="J440" s="2" t="n">
        <x:v>8</x:v>
      </x:c>
      <x:c r="K440" s="2" t="str">
        <x:v>已达到</x:v>
      </x:c>
      <x:c r="L440" s="10" t="n">
        <x:v>0.8500577690591676</x:v>
      </x:c>
      <x:c r="M440" s="10" t="n">
        <x:v>0.8500577692502772</x:v>
      </x:c>
      <x:c r="N440" s="10" t="n">
        <x:v>0.8500577691906116</x:v>
      </x:c>
      <x:c r="O440" s="2" t="n">
        <x:v>173</x:v>
      </x:c>
      <x:c r="P440" s="10" t="n">
        <x:v>0.9999999999889956</x:v>
      </x:c>
      <x:c r="Q440" s="10" t="n">
        <x:v>0.9999999999959205</x:v>
      </x:c>
    </x:row>
    <x:row r="441" ht="23" customHeight="1">
      <x:c r="A441" s="2" t="str">
        <x:v>SocialGood</x:v>
      </x:c>
      <x:c r="B441" s="2" t="n">
        <x:v>8</x:v>
      </x:c>
      <x:c r="C441" s="2" t="str">
        <x:v>TaTS</x:v>
      </x:c>
      <x:c r="D441" s="2" t="n">
        <x:v>2026</x:v>
      </x:c>
      <x:c r="E441" s="10" t="n">
        <x:v>1.1622191062566747</x:v>
      </x:c>
      <x:c r="F441" s="10" t="n">
        <x:v>1.162219106295467</x:v>
      </x:c>
      <x:c r="G441" s="10" t="n">
        <x:v>1.1622191062796174</x:v>
      </x:c>
      <x:c r="H441" s="11" t="n">
        <x:v>0.5</x:v>
      </x:c>
      <x:c r="I441" s="2" t="n">
        <x:v>0</x:v>
      </x:c>
      <x:c r="J441" s="2" t="n">
        <x:v>8</x:v>
      </x:c>
      <x:c r="K441" s="2" t="str">
        <x:v>已达到</x:v>
      </x:c>
      <x:c r="L441" s="10" t="n">
        <x:v>0.6840515832269662</x:v>
      </x:c>
      <x:c r="M441" s="10" t="n">
        <x:v>0.6840515832643566</x:v>
      </x:c>
      <x:c r="N441" s="10" t="n">
        <x:v>0.6840515832523257</x:v>
      </x:c>
      <x:c r="O441" s="2" t="n">
        <x:v>171</x:v>
      </x:c>
      <x:c r="P441" s="10" t="n">
        <x:v>0.9999999999994804</x:v>
      </x:c>
      <x:c r="Q441" s="10" t="n">
        <x:v>0.9999999999923582</x:v>
      </x:c>
    </x:row>
    <x:row r="442" ht="23" customHeight="1">
      <x:c r="A442" s="2" t="str">
        <x:v>SocialGood</x:v>
      </x:c>
      <x:c r="B442" s="2" t="n">
        <x:v>8</x:v>
      </x:c>
      <x:c r="C442" s="2" t="str">
        <x:v>TaTS</x:v>
      </x:c>
      <x:c r="D442" s="2" t="n">
        <x:v>2027</x:v>
      </x:c>
      <x:c r="E442" s="10" t="n">
        <x:v>1.1622191062566747</x:v>
      </x:c>
      <x:c r="F442" s="10" t="n">
        <x:v>1.034171643957382</x:v>
      </x:c>
      <x:c r="G442" s="10" t="n">
        <x:v>1.034171643957382</x:v>
      </x:c>
      <x:c r="H442" s="11" t="n">
        <x:v>1</x:v>
      </x:c>
      <x:c r="I442" s="2" t="n">
        <x:v>39</x:v>
      </x:c>
      <x:c r="J442" s="2" t="n">
        <x:v>47</x:v>
      </x:c>
      <x:c r="K442" s="2" t="str">
        <x:v>已达到</x:v>
      </x:c>
      <x:c r="L442" s="10" t="n">
        <x:v>0.6840515832269662</x:v>
      </x:c>
      <x:c r="M442" s="10" t="n">
        <x:v>0.6169734460938918</x:v>
      </x:c>
      <x:c r="N442" s="10" t="n">
        <x:v>0.6169734460938918</x:v>
      </x:c>
      <x:c r="O442" s="2" t="n">
        <x:v>171</x:v>
      </x:c>
      <x:c r="P442" s="10" t="n">
        <x:v>0.9995445586394365</x:v>
      </x:c>
      <x:c r="Q442" s="10" t="n">
        <x:v>0.9177942235899783</x:v>
      </x:c>
    </x:row>
    <x:row r="443" ht="23" customHeight="1">
      <x:c r="A443" s="2" t="str">
        <x:v>SocialGood</x:v>
      </x:c>
      <x:c r="B443" s="2" t="n">
        <x:v>8</x:v>
      </x:c>
      <x:c r="C443" s="2" t="str">
        <x:v>TaTS</x:v>
      </x:c>
      <x:c r="D443" s="2" t="n">
        <x:v>2028</x:v>
      </x:c>
      <x:c r="E443" s="10" t="n">
        <x:v>1.1622191062566747</x:v>
      </x:c>
      <x:c r="F443" s="10" t="n">
        <x:v>1.162219106295467</x:v>
      </x:c>
      <x:c r="G443" s="10" t="n">
        <x:v>1.1622191062796174</x:v>
      </x:c>
      <x:c r="H443" s="11" t="n">
        <x:v>0.5</x:v>
      </x:c>
      <x:c r="I443" s="2" t="n">
        <x:v>0</x:v>
      </x:c>
      <x:c r="J443" s="2" t="n">
        <x:v>8</x:v>
      </x:c>
      <x:c r="K443" s="2" t="str">
        <x:v>已达到</x:v>
      </x:c>
      <x:c r="L443" s="10" t="n">
        <x:v>0.6840515832269662</x:v>
      </x:c>
      <x:c r="M443" s="10" t="n">
        <x:v>0.6840515832643566</x:v>
      </x:c>
      <x:c r="N443" s="10" t="n">
        <x:v>0.6840515832523257</x:v>
      </x:c>
      <x:c r="O443" s="2" t="n">
        <x:v>171</x:v>
      </x:c>
      <x:c r="P443" s="10" t="n">
        <x:v>0.9999999999994804</x:v>
      </x:c>
      <x:c r="Q443" s="10" t="n">
        <x:v>0.9999999999923582</x:v>
      </x:c>
    </x:row>
    <x:row r="444" ht="23" customHeight="1">
      <x:c r="A444" s="2" t="str">
        <x:v>SocialGood</x:v>
      </x:c>
      <x:c r="B444" s="2" t="n">
        <x:v>8</x:v>
      </x:c>
      <x:c r="C444" s="2" t="str">
        <x:v>MM-TSFlib</x:v>
      </x:c>
      <x:c r="D444" s="2" t="n">
        <x:v>2026</x:v>
      </x:c>
      <x:c r="E444" s="10" t="n">
        <x:v>0.845313280627705</x:v>
      </x:c>
      <x:c r="F444" s="10" t="n">
        <x:v>0.8453132807987188</x:v>
      </x:c>
      <x:c r="G444" s="10" t="n">
        <x:v>0.845313280627705</x:v>
      </x:c>
      <x:c r="H444" s="11" t="n">
        <x:v>0</x:v>
      </x:c>
      <x:c r="I444" s="2" t="n">
        <x:v>0</x:v>
      </x:c>
      <x:c r="J444" s="2" t="n">
        <x:v>8</x:v>
      </x:c>
      <x:c r="K444" s="2" t="str">
        <x:v>已达到</x:v>
      </x:c>
      <x:c r="L444" s="10" t="n">
        <x:v>0.47276163831566276</x:v>
      </x:c>
      <x:c r="M444" s="10" t="n">
        <x:v>0.4727616383807794</x:v>
      </x:c>
      <x:c r="N444" s="10" t="n">
        <x:v>0.47276163831566276</x:v>
      </x:c>
      <x:c r="O444" s="2" t="n">
        <x:v>171</x:v>
      </x:c>
      <x:c r="P444" s="10" t="n">
        <x:v>1</x:v>
      </x:c>
      <x:c r="Q444" s="10" t="n">
        <x:v>1</x:v>
      </x:c>
    </x:row>
    <x:row r="445" ht="23" customHeight="1">
      <x:c r="A445" s="2" t="str">
        <x:v>SocialGood</x:v>
      </x:c>
      <x:c r="B445" s="2" t="n">
        <x:v>8</x:v>
      </x:c>
      <x:c r="C445" s="2" t="str">
        <x:v>MM-TSFlib</x:v>
      </x:c>
      <x:c r="D445" s="2" t="n">
        <x:v>2027</x:v>
      </x:c>
      <x:c r="E445" s="10" t="n">
        <x:v>0.845313280627705</x:v>
      </x:c>
      <x:c r="F445" s="10" t="n">
        <x:v>0.8331549760165701</x:v>
      </x:c>
      <x:c r="G445" s="10" t="n">
        <x:v>0.845313280627705</x:v>
      </x:c>
      <x:c r="H445" s="11" t="n">
        <x:v>0</x:v>
      </x:c>
      <x:c r="I445" s="2" t="n">
        <x:v>39</x:v>
      </x:c>
      <x:c r="J445" s="2" t="n">
        <x:v>47</x:v>
      </x:c>
      <x:c r="K445" s="2" t="str">
        <x:v>已达到</x:v>
      </x:c>
      <x:c r="L445" s="10" t="n">
        <x:v>0.47276163831566276</x:v>
      </x:c>
      <x:c r="M445" s="10" t="n">
        <x:v>0.45263411104270634</x:v>
      </x:c>
      <x:c r="N445" s="10" t="n">
        <x:v>0.47276163831566276</x:v>
      </x:c>
      <x:c r="O445" s="2" t="n">
        <x:v>171</x:v>
      </x:c>
      <x:c r="P445" s="10" t="n">
        <x:v>1</x:v>
      </x:c>
      <x:c r="Q445" s="10" t="n">
        <x:v>1</x:v>
      </x:c>
    </x:row>
    <x:row r="446" ht="23" customHeight="1">
      <x:c r="A446" s="2" t="str">
        <x:v>SocialGood</x:v>
      </x:c>
      <x:c r="B446" s="2" t="n">
        <x:v>8</x:v>
      </x:c>
      <x:c r="C446" s="2" t="str">
        <x:v>MM-TSFlib</x:v>
      </x:c>
      <x:c r="D446" s="2" t="n">
        <x:v>2028</x:v>
      </x:c>
      <x:c r="E446" s="10" t="n">
        <x:v>0.845313280627705</x:v>
      </x:c>
      <x:c r="F446" s="10" t="n">
        <x:v>0.8453132807987188</x:v>
      </x:c>
      <x:c r="G446" s="10" t="n">
        <x:v>0.845313280627705</x:v>
      </x:c>
      <x:c r="H446" s="11" t="n">
        <x:v>0</x:v>
      </x:c>
      <x:c r="I446" s="2" t="n">
        <x:v>0</x:v>
      </x:c>
      <x:c r="J446" s="2" t="n">
        <x:v>8</x:v>
      </x:c>
      <x:c r="K446" s="2" t="str">
        <x:v>已达到</x:v>
      </x:c>
      <x:c r="L446" s="10" t="n">
        <x:v>0.47276163831566276</x:v>
      </x:c>
      <x:c r="M446" s="10" t="n">
        <x:v>0.4727616383807794</x:v>
      </x:c>
      <x:c r="N446" s="10" t="n">
        <x:v>0.47276163831566276</x:v>
      </x:c>
      <x:c r="O446" s="2" t="n">
        <x:v>171</x:v>
      </x:c>
      <x:c r="P446" s="10" t="n">
        <x:v>1</x:v>
      </x:c>
      <x:c r="Q446" s="10" t="n">
        <x:v>1</x:v>
      </x:c>
    </x:row>
    <x:row r="447" ht="23" customHeight="1">
      <x:c r="A447" s="2" t="str">
        <x:v>SocialGood</x:v>
      </x:c>
      <x:c r="B447" s="2" t="n">
        <x:v>8</x:v>
      </x:c>
      <x:c r="C447" s="2" t="str">
        <x:v>SpecTF</x:v>
      </x:c>
      <x:c r="D447" s="2" t="n">
        <x:v>2026</x:v>
      </x:c>
      <x:c r="E447" s="10" t="n">
        <x:v>1.0952617932062743</x:v>
      </x:c>
      <x:c r="F447" s="10" t="n">
        <x:v>1.0952617932958448</x:v>
      </x:c>
      <x:c r="G447" s="10" t="n">
        <x:v>1.0952617932617768</x:v>
      </x:c>
      <x:c r="H447" s="11" t="n">
        <x:v>0.5</x:v>
      </x:c>
      <x:c r="I447" s="2" t="n">
        <x:v>0</x:v>
      </x:c>
      <x:c r="J447" s="2" t="n">
        <x:v>8</x:v>
      </x:c>
      <x:c r="K447" s="2" t="str">
        <x:v>已达到</x:v>
      </x:c>
      <x:c r="L447" s="10" t="n">
        <x:v>0.446760548192314</x:v>
      </x:c>
      <x:c r="M447" s="10" t="n">
        <x:v>0.4467605482696689</x:v>
      </x:c>
      <x:c r="N447" s="10" t="n">
        <x:v>0.44676054822524724</x:v>
      </x:c>
      <x:c r="O447" s="2" t="n">
        <x:v>171</x:v>
      </x:c>
      <x:c r="P447" s="10" t="n">
        <x:v>0.999999999909286</x:v>
      </x:c>
      <x:c r="Q447" s="10" t="n">
        <x:v>0.9999999999771122</x:v>
      </x:c>
    </x:row>
    <x:row r="448" ht="23" customHeight="1">
      <x:c r="A448" s="2" t="str">
        <x:v>SocialGood</x:v>
      </x:c>
      <x:c r="B448" s="2" t="n">
        <x:v>8</x:v>
      </x:c>
      <x:c r="C448" s="2" t="str">
        <x:v>SpecTF</x:v>
      </x:c>
      <x:c r="D448" s="2" t="n">
        <x:v>2027</x:v>
      </x:c>
      <x:c r="E448" s="10" t="n">
        <x:v>1.0952617932062743</x:v>
      </x:c>
      <x:c r="F448" s="10" t="n">
        <x:v>1.0244934235305658</x:v>
      </x:c>
      <x:c r="G448" s="10" t="n">
        <x:v>1.0952617932062743</x:v>
      </x:c>
      <x:c r="H448" s="11" t="n">
        <x:v>0</x:v>
      </x:c>
      <x:c r="I448" s="2" t="n">
        <x:v>39</x:v>
      </x:c>
      <x:c r="J448" s="2" t="n">
        <x:v>47</x:v>
      </x:c>
      <x:c r="K448" s="2" t="str">
        <x:v>已达到</x:v>
      </x:c>
      <x:c r="L448" s="10" t="n">
        <x:v>0.446760548192314</x:v>
      </x:c>
      <x:c r="M448" s="10" t="n">
        <x:v>0.43050576941646657</x:v>
      </x:c>
      <x:c r="N448" s="10" t="n">
        <x:v>0.446760548192314</x:v>
      </x:c>
      <x:c r="O448" s="2" t="n">
        <x:v>171</x:v>
      </x:c>
      <x:c r="P448" s="10" t="n">
        <x:v>1</x:v>
      </x:c>
      <x:c r="Q448" s="10" t="n">
        <x:v>1</x:v>
      </x:c>
    </x:row>
    <x:row r="449" ht="23" customHeight="1">
      <x:c r="A449" s="2" t="str">
        <x:v>SocialGood</x:v>
      </x:c>
      <x:c r="B449" s="2" t="n">
        <x:v>8</x:v>
      </x:c>
      <x:c r="C449" s="2" t="str">
        <x:v>SpecTF</x:v>
      </x:c>
      <x:c r="D449" s="2" t="n">
        <x:v>2028</x:v>
      </x:c>
      <x:c r="E449" s="10" t="n">
        <x:v>1.0952617932062743</x:v>
      </x:c>
      <x:c r="F449" s="10" t="n">
        <x:v>1.0952617932958448</x:v>
      </x:c>
      <x:c r="G449" s="10" t="n">
        <x:v>1.0952617932617768</x:v>
      </x:c>
      <x:c r="H449" s="11" t="n">
        <x:v>0.5</x:v>
      </x:c>
      <x:c r="I449" s="2" t="n">
        <x:v>0</x:v>
      </x:c>
      <x:c r="J449" s="2" t="n">
        <x:v>8</x:v>
      </x:c>
      <x:c r="K449" s="2" t="str">
        <x:v>已达到</x:v>
      </x:c>
      <x:c r="L449" s="10" t="n">
        <x:v>0.446760548192314</x:v>
      </x:c>
      <x:c r="M449" s="10" t="n">
        <x:v>0.4467605482696689</x:v>
      </x:c>
      <x:c r="N449" s="10" t="n">
        <x:v>0.44676054822524724</x:v>
      </x:c>
      <x:c r="O449" s="2" t="n">
        <x:v>171</x:v>
      </x:c>
      <x:c r="P449" s="10" t="n">
        <x:v>0.999999999909286</x:v>
      </x:c>
      <x:c r="Q449" s="10" t="n">
        <x:v>0.9999999999771122</x:v>
      </x:c>
    </x:row>
    <x:row r="450" ht="23" customHeight="1">
      <x:c r="A450" s="2" t="str">
        <x:v>SocialGood</x:v>
      </x:c>
      <x:c r="B450" s="2" t="n">
        <x:v>8</x:v>
      </x:c>
      <x:c r="C450" s="2" t="str">
        <x:v>CFA</x:v>
      </x:c>
      <x:c r="D450" s="2" t="n">
        <x:v>2026</x:v>
      </x:c>
      <x:c r="E450" s="10" t="n">
        <x:v>0.8982351742735893</x:v>
      </x:c>
      <x:c r="F450" s="10" t="n">
        <x:v>0.8982351743150155</x:v>
      </x:c>
      <x:c r="G450" s="10" t="n">
        <x:v>0.8982351743150155</x:v>
      </x:c>
      <x:c r="H450" s="11" t="n">
        <x:v>1</x:v>
      </x:c>
      <x:c r="I450" s="2" t="n">
        <x:v>0</x:v>
      </x:c>
      <x:c r="J450" s="2" t="n">
        <x:v>8</x:v>
      </x:c>
      <x:c r="K450" s="2" t="str">
        <x:v>已达到</x:v>
      </x:c>
      <x:c r="L450" s="10" t="n">
        <x:v>0.40577075217594527</x:v>
      </x:c>
      <x:c r="M450" s="10" t="n">
        <x:v>0.40577075220709147</x:v>
      </x:c>
      <x:c r="N450" s="10" t="n">
        <x:v>0.40577075220709147</x:v>
      </x:c>
      <x:c r="O450" s="2" t="n">
        <x:v>171</x:v>
      </x:c>
      <x:c r="P450" s="10" t="n">
        <x:v>0.9999999999800336</x:v>
      </x:c>
      <x:c r="Q450" s="10" t="n">
        <x:v>0.9999999999880562</x:v>
      </x:c>
    </x:row>
    <x:row r="451" ht="23" customHeight="1">
      <x:c r="A451" s="2" t="str">
        <x:v>SocialGood</x:v>
      </x:c>
      <x:c r="B451" s="2" t="n">
        <x:v>8</x:v>
      </x:c>
      <x:c r="C451" s="2" t="str">
        <x:v>CFA</x:v>
      </x:c>
      <x:c r="D451" s="2" t="n">
        <x:v>2027</x:v>
      </x:c>
      <x:c r="E451" s="10" t="n">
        <x:v>0.8982351742735893</x:v>
      </x:c>
      <x:c r="F451" s="10" t="n">
        <x:v>0.8597607325936028</x:v>
      </x:c>
      <x:c r="G451" s="10" t="n">
        <x:v>0.8982351742735893</x:v>
      </x:c>
      <x:c r="H451" s="11" t="n">
        <x:v>0</x:v>
      </x:c>
      <x:c r="I451" s="2" t="n">
        <x:v>39</x:v>
      </x:c>
      <x:c r="J451" s="2" t="n">
        <x:v>47</x:v>
      </x:c>
      <x:c r="K451" s="2" t="str">
        <x:v>已达到</x:v>
      </x:c>
      <x:c r="L451" s="10" t="n">
        <x:v>0.40577075217594527</x:v>
      </x:c>
      <x:c r="M451" s="10" t="n">
        <x:v>0.3975937604544717</x:v>
      </x:c>
      <x:c r="N451" s="10" t="n">
        <x:v>0.40577075217594527</x:v>
      </x:c>
      <x:c r="O451" s="2" t="n">
        <x:v>171</x:v>
      </x:c>
      <x:c r="P451" s="10" t="n">
        <x:v>1</x:v>
      </x:c>
      <x:c r="Q451" s="10" t="n">
        <x:v>1</x:v>
      </x:c>
    </x:row>
    <x:row r="452" ht="23" customHeight="1">
      <x:c r="A452" s="2" t="str">
        <x:v>SocialGood</x:v>
      </x:c>
      <x:c r="B452" s="2" t="n">
        <x:v>8</x:v>
      </x:c>
      <x:c r="C452" s="2" t="str">
        <x:v>CFA</x:v>
      </x:c>
      <x:c r="D452" s="2" t="n">
        <x:v>2028</x:v>
      </x:c>
      <x:c r="E452" s="10" t="n">
        <x:v>0.8982351742735893</x:v>
      </x:c>
      <x:c r="F452" s="10" t="n">
        <x:v>0.8982351743150155</x:v>
      </x:c>
      <x:c r="G452" s="10" t="n">
        <x:v>0.8982351743150155</x:v>
      </x:c>
      <x:c r="H452" s="11" t="n">
        <x:v>1</x:v>
      </x:c>
      <x:c r="I452" s="2" t="n">
        <x:v>0</x:v>
      </x:c>
      <x:c r="J452" s="2" t="n">
        <x:v>8</x:v>
      </x:c>
      <x:c r="K452" s="2" t="str">
        <x:v>已达到</x:v>
      </x:c>
      <x:c r="L452" s="10" t="n">
        <x:v>0.40577075217594527</x:v>
      </x:c>
      <x:c r="M452" s="10" t="n">
        <x:v>0.40577075220709147</x:v>
      </x:c>
      <x:c r="N452" s="10" t="n">
        <x:v>0.40577075220709147</x:v>
      </x:c>
      <x:c r="O452" s="2" t="n">
        <x:v>171</x:v>
      </x:c>
      <x:c r="P452" s="10" t="n">
        <x:v>0.9999999999800336</x:v>
      </x:c>
      <x:c r="Q452" s="10" t="n">
        <x:v>0.9999999999880562</x:v>
      </x:c>
    </x:row>
    <x:row r="453" ht="23" customHeight="1">
      <x:c r="A453" s="2" t="str">
        <x:v>SocialGood</x:v>
      </x:c>
      <x:c r="B453" s="2" t="n">
        <x:v>8</x:v>
      </x:c>
      <x:c r="C453" s="2" t="str">
        <x:v>Aurora</x:v>
      </x:c>
      <x:c r="D453" s="2" t="n">
        <x:v>2026</x:v>
      </x:c>
      <x:c r="E453" s="10" t="n">
        <x:v>1.787518923563987</x:v>
      </x:c>
      <x:c r="F453" s="10" t="n">
        <x:v>1.7875189235879403</x:v>
      </x:c>
      <x:c r="G453" s="10" t="n">
        <x:v>1.787518923563987</x:v>
      </x:c>
      <x:c r="H453" s="11" t="n">
        <x:v>0</x:v>
      </x:c>
      <x:c r="I453" s="2" t="n">
        <x:v>0</x:v>
      </x:c>
      <x:c r="J453" s="2" t="n">
        <x:v>8</x:v>
      </x:c>
      <x:c r="K453" s="2" t="str">
        <x:v>已达到</x:v>
      </x:c>
      <x:c r="L453" s="10" t="n">
        <x:v>0.8869289833702908</x:v>
      </x:c>
      <x:c r="M453" s="10" t="n">
        <x:v>0.8869289834355617</x:v>
      </x:c>
      <x:c r="N453" s="10" t="n">
        <x:v>0.8869289833702908</x:v>
      </x:c>
      <x:c r="O453" s="2" t="n">
        <x:v>171</x:v>
      </x:c>
      <x:c r="P453" s="10" t="n">
        <x:v>1</x:v>
      </x:c>
      <x:c r="Q453" s="10" t="n">
        <x:v>1</x:v>
      </x:c>
    </x:row>
    <x:row r="454" ht="23" customHeight="1">
      <x:c r="A454" s="2" t="str">
        <x:v>SocialGood</x:v>
      </x:c>
      <x:c r="B454" s="2" t="n">
        <x:v>8</x:v>
      </x:c>
      <x:c r="C454" s="2" t="str">
        <x:v>Aurora</x:v>
      </x:c>
      <x:c r="D454" s="2" t="n">
        <x:v>2027</x:v>
      </x:c>
      <x:c r="E454" s="10" t="n">
        <x:v>1.787518923563987</x:v>
      </x:c>
      <x:c r="F454" s="10" t="n">
        <x:v>1.5935737083909605</x:v>
      </x:c>
      <x:c r="G454" s="10" t="n">
        <x:v>1.5935737083909605</x:v>
      </x:c>
      <x:c r="H454" s="11" t="n">
        <x:v>1</x:v>
      </x:c>
      <x:c r="I454" s="2" t="n">
        <x:v>39</x:v>
      </x:c>
      <x:c r="J454" s="2" t="n">
        <x:v>47</x:v>
      </x:c>
      <x:c r="K454" s="2" t="str">
        <x:v>已达到</x:v>
      </x:c>
      <x:c r="L454" s="10" t="n">
        <x:v>0.8869289833702908</x:v>
      </x:c>
      <x:c r="M454" s="10" t="n">
        <x:v>0.7942837203310923</x:v>
      </x:c>
      <x:c r="N454" s="10" t="n">
        <x:v>0.7942837203310923</x:v>
      </x:c>
      <x:c r="O454" s="2" t="n">
        <x:v>171</x:v>
      </x:c>
      <x:c r="P454" s="10" t="n">
        <x:v>0.9834036500988711</x:v>
      </x:c>
      <x:c r="Q454" s="10" t="n">
        <x:v>0.9800698264469826</x:v>
      </x:c>
    </x:row>
    <x:row r="455" ht="23" customHeight="1">
      <x:c r="A455" s="2" t="str">
        <x:v>SocialGood</x:v>
      </x:c>
      <x:c r="B455" s="2" t="n">
        <x:v>8</x:v>
      </x:c>
      <x:c r="C455" s="2" t="str">
        <x:v>Aurora</x:v>
      </x:c>
      <x:c r="D455" s="2" t="n">
        <x:v>2028</x:v>
      </x:c>
      <x:c r="E455" s="10" t="n">
        <x:v>1.787518923563987</x:v>
      </x:c>
      <x:c r="F455" s="10" t="n">
        <x:v>1.7875189235879403</x:v>
      </x:c>
      <x:c r="G455" s="10" t="n">
        <x:v>1.787518923563987</x:v>
      </x:c>
      <x:c r="H455" s="11" t="n">
        <x:v>0</x:v>
      </x:c>
      <x:c r="I455" s="2" t="n">
        <x:v>0</x:v>
      </x:c>
      <x:c r="J455" s="2" t="n">
        <x:v>8</x:v>
      </x:c>
      <x:c r="K455" s="2" t="str">
        <x:v>已达到</x:v>
      </x:c>
      <x:c r="L455" s="10" t="n">
        <x:v>0.8869289833702908</x:v>
      </x:c>
      <x:c r="M455" s="10" t="n">
        <x:v>0.8869289834355617</x:v>
      </x:c>
      <x:c r="N455" s="10" t="n">
        <x:v>0.8869289833702908</x:v>
      </x:c>
      <x:c r="O455" s="2" t="n">
        <x:v>171</x:v>
      </x:c>
      <x:c r="P455" s="10" t="n">
        <x:v>1</x:v>
      </x:c>
      <x:c r="Q455" s="10" t="n">
        <x:v>1</x:v>
      </x:c>
    </x:row>
    <x:row r="456" ht="23" customHeight="1">
      <x:c r="A456" s="2" t="str">
        <x:v>SocialGood</x:v>
      </x:c>
      <x:c r="B456" s="2" t="n">
        <x:v>10</x:v>
      </x:c>
      <x:c r="C456" s="2" t="str">
        <x:v>TaTS</x:v>
      </x:c>
      <x:c r="D456" s="2" t="n">
        <x:v>2026</x:v>
      </x:c>
      <x:c r="E456" s="10" t="n">
        <x:v>1.2931527146674995</x:v>
      </x:c>
      <x:c r="F456" s="10" t="n">
        <x:v>1.1382511731749427</x:v>
      </x:c>
      <x:c r="G456" s="10" t="n">
        <x:v>1.16884701962506</x:v>
      </x:c>
      <x:c r="H456" s="11" t="n">
        <x:v>0.75</x:v>
      </x:c>
      <x:c r="I456" s="2" t="n">
        <x:v>31</x:v>
      </x:c>
      <x:c r="J456" s="2" t="n">
        <x:v>39</x:v>
      </x:c>
      <x:c r="K456" s="2" t="str">
        <x:v>已达到</x:v>
      </x:c>
      <x:c r="L456" s="10" t="n">
        <x:v>0.7389791462934141</x:v>
      </x:c>
      <x:c r="M456" s="10" t="n">
        <x:v>0.6657253101302762</x:v>
      </x:c>
      <x:c r="N456" s="10" t="n">
        <x:v>0.6817084709017058</x:v>
      </x:c>
      <x:c r="O456" s="2" t="n">
        <x:v>169</x:v>
      </x:c>
      <x:c r="P456" s="10" t="n">
        <x:v>0.9998772737507003</x:v>
      </x:c>
      <x:c r="Q456" s="10" t="n">
        <x:v>0.939130057542622</x:v>
      </x:c>
    </x:row>
    <x:row r="457" ht="23" customHeight="1">
      <x:c r="A457" s="2" t="str">
        <x:v>SocialGood</x:v>
      </x:c>
      <x:c r="B457" s="2" t="n">
        <x:v>10</x:v>
      </x:c>
      <x:c r="C457" s="2" t="str">
        <x:v>TaTS</x:v>
      </x:c>
      <x:c r="D457" s="2" t="n">
        <x:v>2027</x:v>
      </x:c>
      <x:c r="E457" s="10" t="n">
        <x:v>1.2931527146674995</x:v>
      </x:c>
      <x:c r="F457" s="10" t="n">
        <x:v>1.1055031490100349</x:v>
      </x:c>
      <x:c r="G457" s="10" t="n">
        <x:v>1.1055031490100349</x:v>
      </x:c>
      <x:c r="H457" s="11" t="n">
        <x:v>1</x:v>
      </x:c>
      <x:c r="I457" s="2" t="n">
        <x:v>53</x:v>
      </x:c>
      <x:c r="J457" s="2" t="n">
        <x:v>61</x:v>
      </x:c>
      <x:c r="K457" s="2" t="str">
        <x:v>已达到</x:v>
      </x:c>
      <x:c r="L457" s="10" t="n">
        <x:v>0.7389791462934141</x:v>
      </x:c>
      <x:c r="M457" s="10" t="n">
        <x:v>0.6491991559236404</x:v>
      </x:c>
      <x:c r="N457" s="10" t="n">
        <x:v>0.6491991559236404</x:v>
      </x:c>
      <x:c r="O457" s="2" t="n">
        <x:v>169</x:v>
      </x:c>
      <x:c r="P457" s="10" t="n">
        <x:v>0.9775995306275026</x:v>
      </x:c>
      <x:c r="Q457" s="10" t="n">
        <x:v>0.8931503245432209</x:v>
      </x:c>
    </x:row>
    <x:row r="458" ht="23" customHeight="1">
      <x:c r="A458" s="2" t="str">
        <x:v>SocialGood</x:v>
      </x:c>
      <x:c r="B458" s="2" t="n">
        <x:v>10</x:v>
      </x:c>
      <x:c r="C458" s="2" t="str">
        <x:v>TaTS</x:v>
      </x:c>
      <x:c r="D458" s="2" t="n">
        <x:v>2028</x:v>
      </x:c>
      <x:c r="E458" s="10" t="n">
        <x:v>1.2931527146674995</x:v>
      </x:c>
      <x:c r="F458" s="10" t="n">
        <x:v>1.2931527146287196</x:v>
      </x:c>
      <x:c r="G458" s="10" t="n">
        <x:v>1.2931527146674995</x:v>
      </x:c>
      <x:c r="H458" s="11" t="n">
        <x:v>0</x:v>
      </x:c>
      <x:c r="I458" s="2" t="n">
        <x:v>0</x:v>
      </x:c>
      <x:c r="J458" s="2" t="n">
        <x:v>8</x:v>
      </x:c>
      <x:c r="K458" s="2" t="str">
        <x:v>已达到</x:v>
      </x:c>
      <x:c r="L458" s="10" t="n">
        <x:v>0.7389791462934141</x:v>
      </x:c>
      <x:c r="M458" s="10" t="n">
        <x:v>0.7389791463257899</x:v>
      </x:c>
      <x:c r="N458" s="10" t="n">
        <x:v>0.7389791462934141</x:v>
      </x:c>
      <x:c r="O458" s="2" t="n">
        <x:v>169</x:v>
      </x:c>
      <x:c r="P458" s="10" t="n">
        <x:v>1</x:v>
      </x:c>
      <x:c r="Q458" s="10" t="n">
        <x:v>1</x:v>
      </x:c>
    </x:row>
    <x:row r="459" ht="23" customHeight="1">
      <x:c r="A459" s="2" t="str">
        <x:v>SocialGood</x:v>
      </x:c>
      <x:c r="B459" s="2" t="n">
        <x:v>10</x:v>
      </x:c>
      <x:c r="C459" s="2" t="str">
        <x:v>MM-TSFlib</x:v>
      </x:c>
      <x:c r="D459" s="2" t="n">
        <x:v>2026</x:v>
      </x:c>
      <x:c r="E459" s="10" t="n">
        <x:v>0.8738624749434614</x:v>
      </x:c>
      <x:c r="F459" s="10" t="n">
        <x:v>0.850572285190328</x:v>
      </x:c>
      <x:c r="G459" s="10" t="n">
        <x:v>0.8738624749434614</x:v>
      </x:c>
      <x:c r="H459" s="11" t="n">
        <x:v>0</x:v>
      </x:c>
      <x:c r="I459" s="2" t="n">
        <x:v>31</x:v>
      </x:c>
      <x:c r="J459" s="2" t="n">
        <x:v>39</x:v>
      </x:c>
      <x:c r="K459" s="2" t="str">
        <x:v>已达到</x:v>
      </x:c>
      <x:c r="L459" s="10" t="n">
        <x:v>0.4942628199982694</x:v>
      </x:c>
      <x:c r="M459" s="10" t="n">
        <x:v>0.4633974452778565</x:v>
      </x:c>
      <x:c r="N459" s="10" t="n">
        <x:v>0.4942628199982694</x:v>
      </x:c>
      <x:c r="O459" s="2" t="n">
        <x:v>169</x:v>
      </x:c>
      <x:c r="P459" s="10" t="n">
        <x:v>1</x:v>
      </x:c>
      <x:c r="Q459" s="10" t="n">
        <x:v>1</x:v>
      </x:c>
    </x:row>
    <x:row r="460" ht="23" customHeight="1">
      <x:c r="A460" s="2" t="str">
        <x:v>SocialGood</x:v>
      </x:c>
      <x:c r="B460" s="2" t="n">
        <x:v>10</x:v>
      </x:c>
      <x:c r="C460" s="2" t="str">
        <x:v>MM-TSFlib</x:v>
      </x:c>
      <x:c r="D460" s="2" t="n">
        <x:v>2027</x:v>
      </x:c>
      <x:c r="E460" s="10" t="n">
        <x:v>0.8738624749434614</x:v>
      </x:c>
      <x:c r="F460" s="10" t="n">
        <x:v>0.8610353873117502</x:v>
      </x:c>
      <x:c r="G460" s="10" t="n">
        <x:v>0.8738624749434614</x:v>
      </x:c>
      <x:c r="H460" s="11" t="n">
        <x:v>0</x:v>
      </x:c>
      <x:c r="I460" s="2" t="n">
        <x:v>53</x:v>
      </x:c>
      <x:c r="J460" s="2" t="n">
        <x:v>61</x:v>
      </x:c>
      <x:c r="K460" s="2" t="str">
        <x:v>已达到</x:v>
      </x:c>
      <x:c r="L460" s="10" t="n">
        <x:v>0.4942628199982694</x:v>
      </x:c>
      <x:c r="M460" s="10" t="n">
        <x:v>0.4629288838206399</x:v>
      </x:c>
      <x:c r="N460" s="10" t="n">
        <x:v>0.4942628199982694</x:v>
      </x:c>
      <x:c r="O460" s="2" t="n">
        <x:v>169</x:v>
      </x:c>
      <x:c r="P460" s="10" t="n">
        <x:v>1</x:v>
      </x:c>
      <x:c r="Q460" s="10" t="n">
        <x:v>1</x:v>
      </x:c>
    </x:row>
    <x:row r="461" ht="23" customHeight="1">
      <x:c r="A461" s="2" t="str">
        <x:v>SocialGood</x:v>
      </x:c>
      <x:c r="B461" s="2" t="n">
        <x:v>10</x:v>
      </x:c>
      <x:c r="C461" s="2" t="str">
        <x:v>MM-TSFlib</x:v>
      </x:c>
      <x:c r="D461" s="2" t="n">
        <x:v>2028</x:v>
      </x:c>
      <x:c r="E461" s="10" t="n">
        <x:v>0.8738624749434614</x:v>
      </x:c>
      <x:c r="F461" s="10" t="n">
        <x:v>0.8738624748229946</x:v>
      </x:c>
      <x:c r="G461" s="10" t="n">
        <x:v>0.8738624749434614</x:v>
      </x:c>
      <x:c r="H461" s="11" t="n">
        <x:v>0</x:v>
      </x:c>
      <x:c r="I461" s="2" t="n">
        <x:v>0</x:v>
      </x:c>
      <x:c r="J461" s="2" t="n">
        <x:v>8</x:v>
      </x:c>
      <x:c r="K461" s="2" t="str">
        <x:v>已达到</x:v>
      </x:c>
      <x:c r="L461" s="10" t="n">
        <x:v>0.4942628199982694</x:v>
      </x:c>
      <x:c r="M461" s="10" t="n">
        <x:v>0.49426281992297827</x:v>
      </x:c>
      <x:c r="N461" s="10" t="n">
        <x:v>0.4942628199982694</x:v>
      </x:c>
      <x:c r="O461" s="2" t="n">
        <x:v>169</x:v>
      </x:c>
      <x:c r="P461" s="10" t="n">
        <x:v>1</x:v>
      </x:c>
      <x:c r="Q461" s="10" t="n">
        <x:v>1</x:v>
      </x:c>
    </x:row>
    <x:row r="462" ht="23" customHeight="1">
      <x:c r="A462" s="2" t="str">
        <x:v>SocialGood</x:v>
      </x:c>
      <x:c r="B462" s="2" t="n">
        <x:v>10</x:v>
      </x:c>
      <x:c r="C462" s="2" t="str">
        <x:v>SpecTF</x:v>
      </x:c>
      <x:c r="D462" s="2" t="n">
        <x:v>2026</x:v>
      </x:c>
      <x:c r="E462" s="10" t="n">
        <x:v>1.3973327760600354</x:v>
      </x:c>
      <x:c r="F462" s="10" t="n">
        <x:v>1.3142212262536106</x:v>
      </x:c>
      <x:c r="G462" s="10" t="n">
        <x:v>1.3973327760600354</x:v>
      </x:c>
      <x:c r="H462" s="11" t="n">
        <x:v>0</x:v>
      </x:c>
      <x:c r="I462" s="2" t="n">
        <x:v>31</x:v>
      </x:c>
      <x:c r="J462" s="2" t="n">
        <x:v>39</x:v>
      </x:c>
      <x:c r="K462" s="2" t="str">
        <x:v>已达到</x:v>
      </x:c>
      <x:c r="L462" s="10" t="n">
        <x:v>0.5299950604018419</x:v>
      </x:c>
      <x:c r="M462" s="10" t="n">
        <x:v>0.5184475128483799</x:v>
      </x:c>
      <x:c r="N462" s="10" t="n">
        <x:v>0.5299950604018419</x:v>
      </x:c>
      <x:c r="O462" s="2" t="n">
        <x:v>169</x:v>
      </x:c>
      <x:c r="P462" s="10" t="n">
        <x:v>1</x:v>
      </x:c>
      <x:c r="Q462" s="10" t="n">
        <x:v>1</x:v>
      </x:c>
    </x:row>
    <x:row r="463" ht="23" customHeight="1">
      <x:c r="A463" s="2" t="str">
        <x:v>SocialGood</x:v>
      </x:c>
      <x:c r="B463" s="2" t="n">
        <x:v>10</x:v>
      </x:c>
      <x:c r="C463" s="2" t="str">
        <x:v>SpecTF</x:v>
      </x:c>
      <x:c r="D463" s="2" t="n">
        <x:v>2027</x:v>
      </x:c>
      <x:c r="E463" s="10" t="n">
        <x:v>1.3973327760600354</x:v>
      </x:c>
      <x:c r="F463" s="10" t="n">
        <x:v>1.2482774558144991</x:v>
      </x:c>
      <x:c r="G463" s="10" t="n">
        <x:v>1.3973327760600354</x:v>
      </x:c>
      <x:c r="H463" s="11" t="n">
        <x:v>0</x:v>
      </x:c>
      <x:c r="I463" s="2" t="n">
        <x:v>53</x:v>
      </x:c>
      <x:c r="J463" s="2" t="n">
        <x:v>61</x:v>
      </x:c>
      <x:c r="K463" s="2" t="str">
        <x:v>已达到</x:v>
      </x:c>
      <x:c r="L463" s="10" t="n">
        <x:v>0.5299950604018419</x:v>
      </x:c>
      <x:c r="M463" s="10" t="n">
        <x:v>0.501688529036873</x:v>
      </x:c>
      <x:c r="N463" s="10" t="n">
        <x:v>0.5299950604018419</x:v>
      </x:c>
      <x:c r="O463" s="2" t="n">
        <x:v>169</x:v>
      </x:c>
      <x:c r="P463" s="10" t="n">
        <x:v>1</x:v>
      </x:c>
      <x:c r="Q463" s="10" t="n">
        <x:v>1</x:v>
      </x:c>
    </x:row>
    <x:row r="464" ht="23" customHeight="1">
      <x:c r="A464" s="2" t="str">
        <x:v>SocialGood</x:v>
      </x:c>
      <x:c r="B464" s="2" t="n">
        <x:v>10</x:v>
      </x:c>
      <x:c r="C464" s="2" t="str">
        <x:v>SpecTF</x:v>
      </x:c>
      <x:c r="D464" s="2" t="n">
        <x:v>2028</x:v>
      </x:c>
      <x:c r="E464" s="10" t="n">
        <x:v>1.3973327760600354</x:v>
      </x:c>
      <x:c r="F464" s="10" t="n">
        <x:v>1.3973327759328427</x:v>
      </x:c>
      <x:c r="G464" s="10" t="n">
        <x:v>1.3973327759328427</x:v>
      </x:c>
      <x:c r="H464" s="11" t="n">
        <x:v>1</x:v>
      </x:c>
      <x:c r="I464" s="2" t="n">
        <x:v>0</x:v>
      </x:c>
      <x:c r="J464" s="2" t="n">
        <x:v>8</x:v>
      </x:c>
      <x:c r="K464" s="2" t="str">
        <x:v>已达到</x:v>
      </x:c>
      <x:c r="L464" s="10" t="n">
        <x:v>0.5299950604018419</x:v>
      </x:c>
      <x:c r="M464" s="10" t="n">
        <x:v>0.5299950603242432</x:v>
      </x:c>
      <x:c r="N464" s="10" t="n">
        <x:v>0.5299950603242432</x:v>
      </x:c>
      <x:c r="O464" s="2" t="n">
        <x:v>169</x:v>
      </x:c>
      <x:c r="P464" s="10" t="n">
        <x:v>0.9999999999791979</x:v>
      </x:c>
      <x:c r="Q464" s="10" t="n">
        <x:v>0.9999999999739181</x:v>
      </x:c>
    </x:row>
    <x:row r="465" ht="23" customHeight="1">
      <x:c r="A465" s="2" t="str">
        <x:v>SocialGood</x:v>
      </x:c>
      <x:c r="B465" s="2" t="n">
        <x:v>10</x:v>
      </x:c>
      <x:c r="C465" s="2" t="str">
        <x:v>CFA</x:v>
      </x:c>
      <x:c r="D465" s="2" t="n">
        <x:v>2026</x:v>
      </x:c>
      <x:c r="E465" s="10" t="n">
        <x:v>0.9862629560847868</x:v>
      </x:c>
      <x:c r="F465" s="10" t="n">
        <x:v>0.9465362001649386</x:v>
      </x:c>
      <x:c r="G465" s="10" t="n">
        <x:v>0.9862629560847868</x:v>
      </x:c>
      <x:c r="H465" s="11" t="n">
        <x:v>0</x:v>
      </x:c>
      <x:c r="I465" s="2" t="n">
        <x:v>31</x:v>
      </x:c>
      <x:c r="J465" s="2" t="n">
        <x:v>39</x:v>
      </x:c>
      <x:c r="K465" s="2" t="str">
        <x:v>已达到</x:v>
      </x:c>
      <x:c r="L465" s="10" t="n">
        <x:v>0.448480175912777</x:v>
      </x:c>
      <x:c r="M465" s="10" t="n">
        <x:v>0.4373361705389072</x:v>
      </x:c>
      <x:c r="N465" s="10" t="n">
        <x:v>0.448480175912777</x:v>
      </x:c>
      <x:c r="O465" s="2" t="n">
        <x:v>169</x:v>
      </x:c>
      <x:c r="P465" s="10" t="n">
        <x:v>1</x:v>
      </x:c>
      <x:c r="Q465" s="10" t="n">
        <x:v>1</x:v>
      </x:c>
    </x:row>
    <x:row r="466" ht="23" customHeight="1">
      <x:c r="A466" s="2" t="str">
        <x:v>SocialGood</x:v>
      </x:c>
      <x:c r="B466" s="2" t="n">
        <x:v>10</x:v>
      </x:c>
      <x:c r="C466" s="2" t="str">
        <x:v>CFA</x:v>
      </x:c>
      <x:c r="D466" s="2" t="n">
        <x:v>2027</x:v>
      </x:c>
      <x:c r="E466" s="10" t="n">
        <x:v>0.9862629560847868</x:v>
      </x:c>
      <x:c r="F466" s="10" t="n">
        <x:v>0.9276705086631855</x:v>
      </x:c>
      <x:c r="G466" s="10" t="n">
        <x:v>0.9862629560847868</x:v>
      </x:c>
      <x:c r="H466" s="11" t="n">
        <x:v>0</x:v>
      </x:c>
      <x:c r="I466" s="2" t="n">
        <x:v>53</x:v>
      </x:c>
      <x:c r="J466" s="2" t="n">
        <x:v>61</x:v>
      </x:c>
      <x:c r="K466" s="2" t="str">
        <x:v>已达到</x:v>
      </x:c>
      <x:c r="L466" s="10" t="n">
        <x:v>0.448480175912777</x:v>
      </x:c>
      <x:c r="M466" s="10" t="n">
        <x:v>0.43433701633393057</x:v>
      </x:c>
      <x:c r="N466" s="10" t="n">
        <x:v>0.448480175912777</x:v>
      </x:c>
      <x:c r="O466" s="2" t="n">
        <x:v>169</x:v>
      </x:c>
      <x:c r="P466" s="10" t="n">
        <x:v>1</x:v>
      </x:c>
      <x:c r="Q466" s="10" t="n">
        <x:v>1</x:v>
      </x:c>
    </x:row>
    <x:row r="467" ht="23" customHeight="1">
      <x:c r="A467" s="2" t="str">
        <x:v>SocialGood</x:v>
      </x:c>
      <x:c r="B467" s="2" t="n">
        <x:v>10</x:v>
      </x:c>
      <x:c r="C467" s="2" t="str">
        <x:v>CFA</x:v>
      </x:c>
      <x:c r="D467" s="2" t="n">
        <x:v>2028</x:v>
      </x:c>
      <x:c r="E467" s="10" t="n">
        <x:v>0.9862629560847868</x:v>
      </x:c>
      <x:c r="F467" s="10" t="n">
        <x:v>0.986262955969954</x:v>
      </x:c>
      <x:c r="G467" s="10" t="n">
        <x:v>0.9862629560847868</x:v>
      </x:c>
      <x:c r="H467" s="11" t="n">
        <x:v>0</x:v>
      </x:c>
      <x:c r="I467" s="2" t="n">
        <x:v>0</x:v>
      </x:c>
      <x:c r="J467" s="2" t="n">
        <x:v>8</x:v>
      </x:c>
      <x:c r="K467" s="2" t="str">
        <x:v>已达到</x:v>
      </x:c>
      <x:c r="L467" s="10" t="n">
        <x:v>0.448480175912777</x:v>
      </x:c>
      <x:c r="M467" s="10" t="n">
        <x:v>0.4484801758235023</x:v>
      </x:c>
      <x:c r="N467" s="10" t="n">
        <x:v>0.448480175912777</x:v>
      </x:c>
      <x:c r="O467" s="2" t="n">
        <x:v>169</x:v>
      </x:c>
      <x:c r="P467" s="10" t="n">
        <x:v>1</x:v>
      </x:c>
      <x:c r="Q467" s="10" t="n">
        <x:v>1</x:v>
      </x:c>
    </x:row>
    <x:row r="468" ht="23" customHeight="1">
      <x:c r="A468" s="2" t="str">
        <x:v>SocialGood</x:v>
      </x:c>
      <x:c r="B468" s="2" t="n">
        <x:v>10</x:v>
      </x:c>
      <x:c r="C468" s="2" t="str">
        <x:v>Aurora</x:v>
      </x:c>
      <x:c r="D468" s="2" t="n">
        <x:v>2026</x:v>
      </x:c>
      <x:c r="E468" s="10" t="n">
        <x:v>1.8458122988986667</x:v>
      </x:c>
      <x:c r="F468" s="10" t="n">
        <x:v>1.6546293490695032</x:v>
      </x:c>
      <x:c r="G468" s="10" t="n">
        <x:v>1.8458122988986667</x:v>
      </x:c>
      <x:c r="H468" s="11" t="n">
        <x:v>0</x:v>
      </x:c>
      <x:c r="I468" s="2" t="n">
        <x:v>31</x:v>
      </x:c>
      <x:c r="J468" s="2" t="n">
        <x:v>39</x:v>
      </x:c>
      <x:c r="K468" s="2" t="str">
        <x:v>已达到</x:v>
      </x:c>
      <x:c r="L468" s="10" t="n">
        <x:v>0.9116577562991083</x:v>
      </x:c>
      <x:c r="M468" s="10" t="n">
        <x:v>0.8181843797880164</x:v>
      </x:c>
      <x:c r="N468" s="10" t="n">
        <x:v>0.9116577562991083</x:v>
      </x:c>
      <x:c r="O468" s="2" t="n">
        <x:v>169</x:v>
      </x:c>
      <x:c r="P468" s="10" t="n">
        <x:v>1</x:v>
      </x:c>
      <x:c r="Q468" s="10" t="n">
        <x:v>1</x:v>
      </x:c>
    </x:row>
    <x:row r="469" ht="23" customHeight="1">
      <x:c r="A469" s="2" t="str">
        <x:v>SocialGood</x:v>
      </x:c>
      <x:c r="B469" s="2" t="n">
        <x:v>10</x:v>
      </x:c>
      <x:c r="C469" s="2" t="str">
        <x:v>Aurora</x:v>
      </x:c>
      <x:c r="D469" s="2" t="n">
        <x:v>2027</x:v>
      </x:c>
      <x:c r="E469" s="10" t="n">
        <x:v>1.8458122988986667</x:v>
      </x:c>
      <x:c r="F469" s="10" t="n">
        <x:v>1.5390703573400053</x:v>
      </x:c>
      <x:c r="G469" s="10" t="n">
        <x:v>1.5390703573400053</x:v>
      </x:c>
      <x:c r="H469" s="11" t="n">
        <x:v>1</x:v>
      </x:c>
      <x:c r="I469" s="2" t="n">
        <x:v>53</x:v>
      </x:c>
      <x:c r="J469" s="2" t="n">
        <x:v>61</x:v>
      </x:c>
      <x:c r="K469" s="2" t="str">
        <x:v>已达到</x:v>
      </x:c>
      <x:c r="L469" s="10" t="n">
        <x:v>0.9116577562991083</x:v>
      </x:c>
      <x:c r="M469" s="10" t="n">
        <x:v>0.7752155847957677</x:v>
      </x:c>
      <x:c r="N469" s="10" t="n">
        <x:v>0.7752155847957677</x:v>
      </x:c>
      <x:c r="O469" s="2" t="n">
        <x:v>169</x:v>
      </x:c>
      <x:c r="P469" s="10" t="n">
        <x:v>0.9917347796510132</x:v>
      </x:c>
      <x:c r="Q469" s="10" t="n">
        <x:v>0.9866991259832789</x:v>
      </x:c>
    </x:row>
    <x:row r="470" ht="23" customHeight="1">
      <x:c r="A470" s="2" t="str">
        <x:v>SocialGood</x:v>
      </x:c>
      <x:c r="B470" s="2" t="n">
        <x:v>10</x:v>
      </x:c>
      <x:c r="C470" s="2" t="str">
        <x:v>Aurora</x:v>
      </x:c>
      <x:c r="D470" s="2" t="n">
        <x:v>2028</x:v>
      </x:c>
      <x:c r="E470" s="10" t="n">
        <x:v>1.8458122988986667</x:v>
      </x:c>
      <x:c r="F470" s="10" t="n">
        <x:v>1.8458122987671954</x:v>
      </x:c>
      <x:c r="G470" s="10" t="n">
        <x:v>1.8458122988986667</x:v>
      </x:c>
      <x:c r="H470" s="11" t="n">
        <x:v>0</x:v>
      </x:c>
      <x:c r="I470" s="2" t="n">
        <x:v>0</x:v>
      </x:c>
      <x:c r="J470" s="2" t="n">
        <x:v>8</x:v>
      </x:c>
      <x:c r="K470" s="2" t="str">
        <x:v>已达到</x:v>
      </x:c>
      <x:c r="L470" s="10" t="n">
        <x:v>0.9116577562991083</x:v>
      </x:c>
      <x:c r="M470" s="10" t="n">
        <x:v>0.9116577561971588</x:v>
      </x:c>
      <x:c r="N470" s="10" t="n">
        <x:v>0.9116577562991083</x:v>
      </x:c>
      <x:c r="O470" s="2" t="n">
        <x:v>169</x:v>
      </x:c>
      <x:c r="P470" s="10" t="n">
        <x:v>1</x:v>
      </x:c>
      <x:c r="Q470" s="10" t="n">
        <x:v>1</x:v>
      </x:c>
    </x:row>
    <x:row r="471" ht="23" customHeight="1">
      <x:c r="A471" s="2" t="str">
        <x:v>SocialGood</x:v>
      </x:c>
      <x:c r="B471" s="2" t="n">
        <x:v>12</x:v>
      </x:c>
      <x:c r="C471" s="2" t="str">
        <x:v>TaTS</x:v>
      </x:c>
      <x:c r="D471" s="2" t="n">
        <x:v>2026</x:v>
      </x:c>
      <x:c r="E471" s="10" t="n">
        <x:v>1.322838435281429</x:v>
      </x:c>
      <x:c r="F471" s="10" t="n">
        <x:v>1.322838435485787</x:v>
      </x:c>
      <x:c r="G471" s="10" t="n">
        <x:v>1.322838435281429</x:v>
      </x:c>
      <x:c r="H471" s="11" t="n">
        <x:v>0</x:v>
      </x:c>
      <x:c r="I471" s="2" t="n">
        <x:v>0</x:v>
      </x:c>
      <x:c r="J471" s="2" t="n">
        <x:v>8</x:v>
      </x:c>
      <x:c r="K471" s="2" t="str">
        <x:v>已达到</x:v>
      </x:c>
      <x:c r="L471" s="10" t="n">
        <x:v>0.7108686566817576</x:v>
      </x:c>
      <x:c r="M471" s="10" t="n">
        <x:v>0.7108686567891978</x:v>
      </x:c>
      <x:c r="N471" s="10" t="n">
        <x:v>0.7108686566817576</x:v>
      </x:c>
      <x:c r="O471" s="2" t="n">
        <x:v>167</x:v>
      </x:c>
      <x:c r="P471" s="10" t="n">
        <x:v>1</x:v>
      </x:c>
      <x:c r="Q471" s="10" t="n">
        <x:v>1</x:v>
      </x:c>
    </x:row>
    <x:row r="472" ht="23" customHeight="1">
      <x:c r="A472" s="2" t="str">
        <x:v>SocialGood</x:v>
      </x:c>
      <x:c r="B472" s="2" t="n">
        <x:v>12</x:v>
      </x:c>
      <x:c r="C472" s="2" t="str">
        <x:v>TaTS</x:v>
      </x:c>
      <x:c r="D472" s="2" t="n">
        <x:v>2027</x:v>
      </x:c>
      <x:c r="E472" s="10" t="n">
        <x:v>1.322838435281429</x:v>
      </x:c>
      <x:c r="F472" s="10" t="n">
        <x:v>1.3252588214062502</x:v>
      </x:c>
      <x:c r="G472" s="10" t="n">
        <x:v>1.322838435281429</x:v>
      </x:c>
      <x:c r="H472" s="11" t="n">
        <x:v>0</x:v>
      </x:c>
      <x:c r="I472" s="2" t="n">
        <x:v>12</x:v>
      </x:c>
      <x:c r="J472" s="2" t="n">
        <x:v>20</x:v>
      </x:c>
      <x:c r="K472" s="2" t="str">
        <x:v>已达到</x:v>
      </x:c>
      <x:c r="L472" s="10" t="n">
        <x:v>0.7108686566817576</x:v>
      </x:c>
      <x:c r="M472" s="10" t="n">
        <x:v>0.7124120550638645</x:v>
      </x:c>
      <x:c r="N472" s="10" t="n">
        <x:v>0.7108686566817576</x:v>
      </x:c>
      <x:c r="O472" s="2" t="n">
        <x:v>167</x:v>
      </x:c>
      <x:c r="P472" s="10" t="n">
        <x:v>1</x:v>
      </x:c>
      <x:c r="Q472" s="10" t="n">
        <x:v>1</x:v>
      </x:c>
    </x:row>
    <x:row r="473" ht="23" customHeight="1">
      <x:c r="A473" s="2" t="str">
        <x:v>SocialGood</x:v>
      </x:c>
      <x:c r="B473" s="2" t="n">
        <x:v>12</x:v>
      </x:c>
      <x:c r="C473" s="2" t="str">
        <x:v>TaTS</x:v>
      </x:c>
      <x:c r="D473" s="2" t="n">
        <x:v>2028</x:v>
      </x:c>
      <x:c r="E473" s="10" t="n">
        <x:v>1.322838435281429</x:v>
      </x:c>
      <x:c r="F473" s="10" t="n">
        <x:v>1.322838435485787</x:v>
      </x:c>
      <x:c r="G473" s="10" t="n">
        <x:v>1.322838435281429</x:v>
      </x:c>
      <x:c r="H473" s="11" t="n">
        <x:v>0</x:v>
      </x:c>
      <x:c r="I473" s="2" t="n">
        <x:v>0</x:v>
      </x:c>
      <x:c r="J473" s="2" t="n">
        <x:v>8</x:v>
      </x:c>
      <x:c r="K473" s="2" t="str">
        <x:v>已达到</x:v>
      </x:c>
      <x:c r="L473" s="10" t="n">
        <x:v>0.7108686566817576</x:v>
      </x:c>
      <x:c r="M473" s="10" t="n">
        <x:v>0.7108686567891978</x:v>
      </x:c>
      <x:c r="N473" s="10" t="n">
        <x:v>0.7108686566817576</x:v>
      </x:c>
      <x:c r="O473" s="2" t="n">
        <x:v>167</x:v>
      </x:c>
      <x:c r="P473" s="10" t="n">
        <x:v>1</x:v>
      </x:c>
      <x:c r="Q473" s="10" t="n">
        <x:v>1</x:v>
      </x:c>
    </x:row>
    <x:row r="474" ht="23" customHeight="1">
      <x:c r="A474" s="2" t="str">
        <x:v>SocialGood</x:v>
      </x:c>
      <x:c r="B474" s="2" t="n">
        <x:v>12</x:v>
      </x:c>
      <x:c r="C474" s="2" t="str">
        <x:v>MM-TSFlib</x:v>
      </x:c>
      <x:c r="D474" s="2" t="n">
        <x:v>2026</x:v>
      </x:c>
      <x:c r="E474" s="10" t="n">
        <x:v>0.9595029697920977</x:v>
      </x:c>
      <x:c r="F474" s="10" t="n">
        <x:v>0.9595029698937664</x:v>
      </x:c>
      <x:c r="G474" s="10" t="n">
        <x:v>0.9595029697920977</x:v>
      </x:c>
      <x:c r="H474" s="11" t="n">
        <x:v>0</x:v>
      </x:c>
      <x:c r="I474" s="2" t="n">
        <x:v>0</x:v>
      </x:c>
      <x:c r="J474" s="2" t="n">
        <x:v>8</x:v>
      </x:c>
      <x:c r="K474" s="2" t="str">
        <x:v>已达到</x:v>
      </x:c>
      <x:c r="L474" s="10" t="n">
        <x:v>0.5390425408569243</x:v>
      </x:c>
      <x:c r="M474" s="10" t="n">
        <x:v>0.5390425408728123</x:v>
      </x:c>
      <x:c r="N474" s="10" t="n">
        <x:v>0.5390425408569243</x:v>
      </x:c>
      <x:c r="O474" s="2" t="n">
        <x:v>167</x:v>
      </x:c>
      <x:c r="P474" s="10" t="n">
        <x:v>1</x:v>
      </x:c>
      <x:c r="Q474" s="10" t="n">
        <x:v>1</x:v>
      </x:c>
    </x:row>
    <x:row r="475" ht="23" customHeight="1">
      <x:c r="A475" s="2" t="str">
        <x:v>SocialGood</x:v>
      </x:c>
      <x:c r="B475" s="2" t="n">
        <x:v>12</x:v>
      </x:c>
      <x:c r="C475" s="2" t="str">
        <x:v>MM-TSFlib</x:v>
      </x:c>
      <x:c r="D475" s="2" t="n">
        <x:v>2027</x:v>
      </x:c>
      <x:c r="E475" s="10" t="n">
        <x:v>0.9595029697920977</x:v>
      </x:c>
      <x:c r="F475" s="10" t="n">
        <x:v>0.9592057276250183</x:v>
      </x:c>
      <x:c r="G475" s="10" t="n">
        <x:v>0.9592057276250183</x:v>
      </x:c>
      <x:c r="H475" s="11" t="n">
        <x:v>1</x:v>
      </x:c>
      <x:c r="I475" s="2" t="n">
        <x:v>12</x:v>
      </x:c>
      <x:c r="J475" s="2" t="n">
        <x:v>20</x:v>
      </x:c>
      <x:c r="K475" s="2" t="str">
        <x:v>已达到</x:v>
      </x:c>
      <x:c r="L475" s="10" t="n">
        <x:v>0.5390425408569243</x:v>
      </x:c>
      <x:c r="M475" s="10" t="n">
        <x:v>0.5406817204608004</x:v>
      </x:c>
      <x:c r="N475" s="10" t="n">
        <x:v>0.5406817204608004</x:v>
      </x:c>
      <x:c r="O475" s="2" t="n">
        <x:v>167</x:v>
      </x:c>
      <x:c r="P475" s="10" t="n">
        <x:v>0.9964588435391286</x:v>
      </x:c>
      <x:c r="Q475" s="10" t="n">
        <x:v>0.9928964668035855</x:v>
      </x:c>
    </x:row>
    <x:row r="476" ht="23" customHeight="1">
      <x:c r="A476" s="2" t="str">
        <x:v>SocialGood</x:v>
      </x:c>
      <x:c r="B476" s="2" t="n">
        <x:v>12</x:v>
      </x:c>
      <x:c r="C476" s="2" t="str">
        <x:v>MM-TSFlib</x:v>
      </x:c>
      <x:c r="D476" s="2" t="n">
        <x:v>2028</x:v>
      </x:c>
      <x:c r="E476" s="10" t="n">
        <x:v>0.9595029697920977</x:v>
      </x:c>
      <x:c r="F476" s="10" t="n">
        <x:v>0.9595029698937664</x:v>
      </x:c>
      <x:c r="G476" s="10" t="n">
        <x:v>0.9595029697920977</x:v>
      </x:c>
      <x:c r="H476" s="11" t="n">
        <x:v>0</x:v>
      </x:c>
      <x:c r="I476" s="2" t="n">
        <x:v>0</x:v>
      </x:c>
      <x:c r="J476" s="2" t="n">
        <x:v>8</x:v>
      </x:c>
      <x:c r="K476" s="2" t="str">
        <x:v>已达到</x:v>
      </x:c>
      <x:c r="L476" s="10" t="n">
        <x:v>0.5390425408569243</x:v>
      </x:c>
      <x:c r="M476" s="10" t="n">
        <x:v>0.5390425408728123</x:v>
      </x:c>
      <x:c r="N476" s="10" t="n">
        <x:v>0.5390425408569243</x:v>
      </x:c>
      <x:c r="O476" s="2" t="n">
        <x:v>167</x:v>
      </x:c>
      <x:c r="P476" s="10" t="n">
        <x:v>1</x:v>
      </x:c>
      <x:c r="Q476" s="10" t="n">
        <x:v>1</x:v>
      </x:c>
    </x:row>
    <x:row r="477" ht="23" customHeight="1">
      <x:c r="A477" s="2" t="str">
        <x:v>SocialGood</x:v>
      </x:c>
      <x:c r="B477" s="2" t="n">
        <x:v>12</x:v>
      </x:c>
      <x:c r="C477" s="2" t="str">
        <x:v>SpecTF</x:v>
      </x:c>
      <x:c r="D477" s="2" t="n">
        <x:v>2026</x:v>
      </x:c>
      <x:c r="E477" s="10" t="n">
        <x:v>1.302310829209715</x:v>
      </x:c>
      <x:c r="F477" s="10" t="n">
        <x:v>1.3023108293500971</x:v>
      </x:c>
      <x:c r="G477" s="10" t="n">
        <x:v>1.302310829209715</x:v>
      </x:c>
      <x:c r="H477" s="11" t="n">
        <x:v>0</x:v>
      </x:c>
      <x:c r="I477" s="2" t="n">
        <x:v>0</x:v>
      </x:c>
      <x:c r="J477" s="2" t="n">
        <x:v>8</x:v>
      </x:c>
      <x:c r="K477" s="2" t="str">
        <x:v>已达到</x:v>
      </x:c>
      <x:c r="L477" s="10" t="n">
        <x:v>0.5596722319171236</x:v>
      </x:c>
      <x:c r="M477" s="10" t="n">
        <x:v>0.559672231977713</x:v>
      </x:c>
      <x:c r="N477" s="10" t="n">
        <x:v>0.5596722319171236</x:v>
      </x:c>
      <x:c r="O477" s="2" t="n">
        <x:v>167</x:v>
      </x:c>
      <x:c r="P477" s="10" t="n">
        <x:v>1</x:v>
      </x:c>
      <x:c r="Q477" s="10" t="n">
        <x:v>1</x:v>
      </x:c>
    </x:row>
    <x:row r="478" ht="23" customHeight="1">
      <x:c r="A478" s="2" t="str">
        <x:v>SocialGood</x:v>
      </x:c>
      <x:c r="B478" s="2" t="n">
        <x:v>12</x:v>
      </x:c>
      <x:c r="C478" s="2" t="str">
        <x:v>SpecTF</x:v>
      </x:c>
      <x:c r="D478" s="2" t="n">
        <x:v>2027</x:v>
      </x:c>
      <x:c r="E478" s="10" t="n">
        <x:v>1.302310829209715</x:v>
      </x:c>
      <x:c r="F478" s="10" t="n">
        <x:v>1.2974175404762296</x:v>
      </x:c>
      <x:c r="G478" s="10" t="n">
        <x:v>1.302310829209715</x:v>
      </x:c>
      <x:c r="H478" s="11" t="n">
        <x:v>0</x:v>
      </x:c>
      <x:c r="I478" s="2" t="n">
        <x:v>12</x:v>
      </x:c>
      <x:c r="J478" s="2" t="n">
        <x:v>20</x:v>
      </x:c>
      <x:c r="K478" s="2" t="str">
        <x:v>已达到</x:v>
      </x:c>
      <x:c r="L478" s="10" t="n">
        <x:v>0.5596722319171236</x:v>
      </x:c>
      <x:c r="M478" s="10" t="n">
        <x:v>0.5592334800819957</x:v>
      </x:c>
      <x:c r="N478" s="10" t="n">
        <x:v>0.5596722319171236</x:v>
      </x:c>
      <x:c r="O478" s="2" t="n">
        <x:v>167</x:v>
      </x:c>
      <x:c r="P478" s="10" t="n">
        <x:v>1</x:v>
      </x:c>
      <x:c r="Q478" s="10" t="n">
        <x:v>1</x:v>
      </x:c>
    </x:row>
    <x:row r="479" ht="23" customHeight="1">
      <x:c r="A479" s="2" t="str">
        <x:v>SocialGood</x:v>
      </x:c>
      <x:c r="B479" s="2" t="n">
        <x:v>12</x:v>
      </x:c>
      <x:c r="C479" s="2" t="str">
        <x:v>SpecTF</x:v>
      </x:c>
      <x:c r="D479" s="2" t="n">
        <x:v>2028</x:v>
      </x:c>
      <x:c r="E479" s="10" t="n">
        <x:v>1.302310829209715</x:v>
      </x:c>
      <x:c r="F479" s="10" t="n">
        <x:v>1.3023108293500971</x:v>
      </x:c>
      <x:c r="G479" s="10" t="n">
        <x:v>1.302310829209715</x:v>
      </x:c>
      <x:c r="H479" s="11" t="n">
        <x:v>0</x:v>
      </x:c>
      <x:c r="I479" s="2" t="n">
        <x:v>0</x:v>
      </x:c>
      <x:c r="J479" s="2" t="n">
        <x:v>8</x:v>
      </x:c>
      <x:c r="K479" s="2" t="str">
        <x:v>已达到</x:v>
      </x:c>
      <x:c r="L479" s="10" t="n">
        <x:v>0.5596722319171236</x:v>
      </x:c>
      <x:c r="M479" s="10" t="n">
        <x:v>0.559672231977713</x:v>
      </x:c>
      <x:c r="N479" s="10" t="n">
        <x:v>0.5596722319171236</x:v>
      </x:c>
      <x:c r="O479" s="2" t="n">
        <x:v>167</x:v>
      </x:c>
      <x:c r="P479" s="10" t="n">
        <x:v>1</x:v>
      </x:c>
      <x:c r="Q479" s="10" t="n">
        <x:v>1</x:v>
      </x:c>
    </x:row>
    <x:row r="480" ht="23" customHeight="1">
      <x:c r="A480" s="2" t="str">
        <x:v>SocialGood</x:v>
      </x:c>
      <x:c r="B480" s="2" t="n">
        <x:v>12</x:v>
      </x:c>
      <x:c r="C480" s="2" t="str">
        <x:v>CFA</x:v>
      </x:c>
      <x:c r="D480" s="2" t="n">
        <x:v>2026</x:v>
      </x:c>
      <x:c r="E480" s="10" t="n">
        <x:v>1.1426291047109751</x:v>
      </x:c>
      <x:c r="F480" s="10" t="n">
        <x:v>1.1426291047859694</x:v>
      </x:c>
      <x:c r="G480" s="10" t="n">
        <x:v>1.1426291047859694</x:v>
      </x:c>
      <x:c r="H480" s="11" t="n">
        <x:v>1</x:v>
      </x:c>
      <x:c r="I480" s="2" t="n">
        <x:v>0</x:v>
      </x:c>
      <x:c r="J480" s="2" t="n">
        <x:v>8</x:v>
      </x:c>
      <x:c r="K480" s="2" t="str">
        <x:v>已达到</x:v>
      </x:c>
      <x:c r="L480" s="10" t="n">
        <x:v>0.4946390308919335</x:v>
      </x:c>
      <x:c r="M480" s="10" t="n">
        <x:v>0.49463903091307876</x:v>
      </x:c>
      <x:c r="N480" s="10" t="n">
        <x:v>0.49463903091307876</x:v>
      </x:c>
      <x:c r="O480" s="2" t="n">
        <x:v>167</x:v>
      </x:c>
      <x:c r="P480" s="10" t="n">
        <x:v>0.9999999999590575</x:v>
      </x:c>
      <x:c r="Q480" s="10" t="n">
        <x:v>0.9999999999868305</x:v>
      </x:c>
    </x:row>
    <x:row r="481" ht="23" customHeight="1">
      <x:c r="A481" s="2" t="str">
        <x:v>SocialGood</x:v>
      </x:c>
      <x:c r="B481" s="2" t="n">
        <x:v>12</x:v>
      </x:c>
      <x:c r="C481" s="2" t="str">
        <x:v>CFA</x:v>
      </x:c>
      <x:c r="D481" s="2" t="n">
        <x:v>2027</x:v>
      </x:c>
      <x:c r="E481" s="10" t="n">
        <x:v>1.1426291047109751</x:v>
      </x:c>
      <x:c r="F481" s="10" t="n">
        <x:v>1.1334785056741015</x:v>
      </x:c>
      <x:c r="G481" s="10" t="n">
        <x:v>1.1426291047109751</x:v>
      </x:c>
      <x:c r="H481" s="11" t="n">
        <x:v>0</x:v>
      </x:c>
      <x:c r="I481" s="2" t="n">
        <x:v>12</x:v>
      </x:c>
      <x:c r="J481" s="2" t="n">
        <x:v>20</x:v>
      </x:c>
      <x:c r="K481" s="2" t="str">
        <x:v>已达到</x:v>
      </x:c>
      <x:c r="L481" s="10" t="n">
        <x:v>0.4946390308919335</x:v>
      </x:c>
      <x:c r="M481" s="10" t="n">
        <x:v>0.49011262412637957</x:v>
      </x:c>
      <x:c r="N481" s="10" t="n">
        <x:v>0.4946390308919335</x:v>
      </x:c>
      <x:c r="O481" s="2" t="n">
        <x:v>167</x:v>
      </x:c>
      <x:c r="P481" s="10" t="n">
        <x:v>1</x:v>
      </x:c>
      <x:c r="Q481" s="10" t="n">
        <x:v>1</x:v>
      </x:c>
    </x:row>
    <x:row r="482" ht="23" customHeight="1">
      <x:c r="A482" s="2" t="str">
        <x:v>SocialGood</x:v>
      </x:c>
      <x:c r="B482" s="2" t="n">
        <x:v>12</x:v>
      </x:c>
      <x:c r="C482" s="2" t="str">
        <x:v>CFA</x:v>
      </x:c>
      <x:c r="D482" s="2" t="n">
        <x:v>2028</x:v>
      </x:c>
      <x:c r="E482" s="10" t="n">
        <x:v>1.1426291047109751</x:v>
      </x:c>
      <x:c r="F482" s="10" t="n">
        <x:v>1.1426291047859694</x:v>
      </x:c>
      <x:c r="G482" s="10" t="n">
        <x:v>1.1426291047859694</x:v>
      </x:c>
      <x:c r="H482" s="11" t="n">
        <x:v>1</x:v>
      </x:c>
      <x:c r="I482" s="2" t="n">
        <x:v>0</x:v>
      </x:c>
      <x:c r="J482" s="2" t="n">
        <x:v>8</x:v>
      </x:c>
      <x:c r="K482" s="2" t="str">
        <x:v>已达到</x:v>
      </x:c>
      <x:c r="L482" s="10" t="n">
        <x:v>0.4946390308919335</x:v>
      </x:c>
      <x:c r="M482" s="10" t="n">
        <x:v>0.49463903091307876</x:v>
      </x:c>
      <x:c r="N482" s="10" t="n">
        <x:v>0.49463903091307876</x:v>
      </x:c>
      <x:c r="O482" s="2" t="n">
        <x:v>167</x:v>
      </x:c>
      <x:c r="P482" s="10" t="n">
        <x:v>0.9999999999590575</x:v>
      </x:c>
      <x:c r="Q482" s="10" t="n">
        <x:v>0.9999999999868305</x:v>
      </x:c>
    </x:row>
    <x:row r="483" ht="23" customHeight="1">
      <x:c r="A483" s="2" t="str">
        <x:v>SocialGood</x:v>
      </x:c>
      <x:c r="B483" s="2" t="n">
        <x:v>12</x:v>
      </x:c>
      <x:c r="C483" s="2" t="str">
        <x:v>Aurora</x:v>
      </x:c>
      <x:c r="D483" s="2" t="n">
        <x:v>2026</x:v>
      </x:c>
      <x:c r="E483" s="10" t="n">
        <x:v>1.8754868897925865</x:v>
      </x:c>
      <x:c r="F483" s="10" t="n">
        <x:v>1.8754868898433923</x:v>
      </x:c>
      <x:c r="G483" s="10" t="n">
        <x:v>1.8754868897925865</x:v>
      </x:c>
      <x:c r="H483" s="11" t="n">
        <x:v>0</x:v>
      </x:c>
      <x:c r="I483" s="2" t="n">
        <x:v>0</x:v>
      </x:c>
      <x:c r="J483" s="2" t="n">
        <x:v>8</x:v>
      </x:c>
      <x:c r="K483" s="2" t="str">
        <x:v>已达到</x:v>
      </x:c>
      <x:c r="L483" s="10" t="n">
        <x:v>0.9264776484421877</x:v>
      </x:c>
      <x:c r="M483" s="10" t="n">
        <x:v>0.9264776484434076</x:v>
      </x:c>
      <x:c r="N483" s="10" t="n">
        <x:v>0.9264776484421877</x:v>
      </x:c>
      <x:c r="O483" s="2" t="n">
        <x:v>167</x:v>
      </x:c>
      <x:c r="P483" s="10" t="n">
        <x:v>1</x:v>
      </x:c>
      <x:c r="Q483" s="10" t="n">
        <x:v>1</x:v>
      </x:c>
    </x:row>
    <x:row r="484" ht="23" customHeight="1">
      <x:c r="A484" s="2" t="str">
        <x:v>SocialGood</x:v>
      </x:c>
      <x:c r="B484" s="2" t="n">
        <x:v>12</x:v>
      </x:c>
      <x:c r="C484" s="2" t="str">
        <x:v>Aurora</x:v>
      </x:c>
      <x:c r="D484" s="2" t="n">
        <x:v>2027</x:v>
      </x:c>
      <x:c r="E484" s="10" t="n">
        <x:v>1.8754868897925865</x:v>
      </x:c>
      <x:c r="F484" s="10" t="n">
        <x:v>1.8425355226406186</x:v>
      </x:c>
      <x:c r="G484" s="10" t="n">
        <x:v>1.8754868897925865</x:v>
      </x:c>
      <x:c r="H484" s="11" t="n">
        <x:v>0</x:v>
      </x:c>
      <x:c r="I484" s="2" t="n">
        <x:v>12</x:v>
      </x:c>
      <x:c r="J484" s="2" t="n">
        <x:v>20</x:v>
      </x:c>
      <x:c r="K484" s="2" t="str">
        <x:v>已达到</x:v>
      </x:c>
      <x:c r="L484" s="10" t="n">
        <x:v>0.9264776484421877</x:v>
      </x:c>
      <x:c r="M484" s="10" t="n">
        <x:v>0.9178475575245537</x:v>
      </x:c>
      <x:c r="N484" s="10" t="n">
        <x:v>0.9264776484421877</x:v>
      </x:c>
      <x:c r="O484" s="2" t="n">
        <x:v>167</x:v>
      </x:c>
      <x:c r="P484" s="10" t="n">
        <x:v>1</x:v>
      </x:c>
      <x:c r="Q484" s="10" t="n">
        <x:v>1</x:v>
      </x:c>
    </x:row>
    <x:row r="485" ht="23" customHeight="1">
      <x:c r="A485" s="2" t="str">
        <x:v>SocialGood</x:v>
      </x:c>
      <x:c r="B485" s="2" t="n">
        <x:v>12</x:v>
      </x:c>
      <x:c r="C485" s="2" t="str">
        <x:v>Aurora</x:v>
      </x:c>
      <x:c r="D485" s="2" t="n">
        <x:v>2028</x:v>
      </x:c>
      <x:c r="E485" s="10" t="n">
        <x:v>1.8754868897925865</x:v>
      </x:c>
      <x:c r="F485" s="10" t="n">
        <x:v>1.8754868898433923</x:v>
      </x:c>
      <x:c r="G485" s="10" t="n">
        <x:v>1.8754868897925865</x:v>
      </x:c>
      <x:c r="H485" s="11" t="n">
        <x:v>0</x:v>
      </x:c>
      <x:c r="I485" s="2" t="n">
        <x:v>0</x:v>
      </x:c>
      <x:c r="J485" s="2" t="n">
        <x:v>8</x:v>
      </x:c>
      <x:c r="K485" s="2" t="str">
        <x:v>已达到</x:v>
      </x:c>
      <x:c r="L485" s="10" t="n">
        <x:v>0.9264776484421877</x:v>
      </x:c>
      <x:c r="M485" s="10" t="n">
        <x:v>0.9264776484434076</x:v>
      </x:c>
      <x:c r="N485" s="10" t="n">
        <x:v>0.9264776484421877</x:v>
      </x:c>
      <x:c r="O485" s="2" t="n">
        <x:v>167</x:v>
      </x:c>
      <x:c r="P485" s="10" t="n">
        <x:v>1</x:v>
      </x:c>
      <x:c r="Q485" s="10" t="n">
        <x:v>1</x:v>
      </x:c>
    </x:row>
    <x:row r="486" ht="23" customHeight="1">
      <x:c r="A486" s="2" t="str">
        <x:v>Traffic</x:v>
      </x:c>
      <x:c r="B486" s="2" t="n">
        <x:v>6</x:v>
      </x:c>
      <x:c r="C486" s="2" t="str">
        <x:v>TaTS</x:v>
      </x:c>
      <x:c r="D486" s="2" t="n">
        <x:v>2026</x:v>
      </x:c>
      <x:c r="E486" s="10" t="n">
        <x:v>0.24723389000952123</x:v>
      </x:c>
      <x:c r="F486" s="10" t="n">
        <x:v>0.23792228877104435</x:v>
      </x:c>
      <x:c r="G486" s="10" t="n">
        <x:v>0.24723389000952123</x:v>
      </x:c>
      <x:c r="H486" s="11" t="n">
        <x:v>0</x:v>
      </x:c>
      <x:c r="I486" s="2" t="n">
        <x:v>6</x:v>
      </x:c>
      <x:c r="J486" s="2" t="n">
        <x:v>14</x:v>
      </x:c>
      <x:c r="K486" s="2" t="str">
        <x:v>已达到</x:v>
      </x:c>
      <x:c r="L486" s="10" t="n">
        <x:v>0.2870771830821588</x:v>
      </x:c>
      <x:c r="M486" s="10" t="n">
        <x:v>0.28640775338257896</x:v>
      </x:c>
      <x:c r="N486" s="10" t="n">
        <x:v>0.2870771830821588</x:v>
      </x:c>
      <x:c r="O486" s="2" t="n">
        <x:v>101</x:v>
      </x:c>
      <x:c r="P486" s="10" t="n">
        <x:v>1</x:v>
      </x:c>
      <x:c r="Q486" s="10" t="n">
        <x:v>1</x:v>
      </x:c>
    </x:row>
    <x:row r="487" ht="23" customHeight="1">
      <x:c r="A487" s="2" t="str">
        <x:v>Traffic</x:v>
      </x:c>
      <x:c r="B487" s="2" t="n">
        <x:v>6</x:v>
      </x:c>
      <x:c r="C487" s="2" t="str">
        <x:v>TaTS</x:v>
      </x:c>
      <x:c r="D487" s="2" t="n">
        <x:v>2027</x:v>
      </x:c>
      <x:c r="E487" s="10" t="n">
        <x:v>0.24723389000952123</x:v>
      </x:c>
      <x:c r="F487" s="10" t="n">
        <x:v>0.2396558227767533</x:v>
      </x:c>
      <x:c r="G487" s="10" t="n">
        <x:v>0.24723389000952123</x:v>
      </x:c>
      <x:c r="H487" s="11" t="n">
        <x:v>0</x:v>
      </x:c>
      <x:c r="I487" s="2" t="n">
        <x:v>7</x:v>
      </x:c>
      <x:c r="J487" s="2" t="n">
        <x:v>15</x:v>
      </x:c>
      <x:c r="K487" s="2" t="str">
        <x:v>已达到</x:v>
      </x:c>
      <x:c r="L487" s="10" t="n">
        <x:v>0.2870771830821588</x:v>
      </x:c>
      <x:c r="M487" s="10" t="n">
        <x:v>0.2866904674583536</x:v>
      </x:c>
      <x:c r="N487" s="10" t="n">
        <x:v>0.2870771830821588</x:v>
      </x:c>
      <x:c r="O487" s="2" t="n">
        <x:v>101</x:v>
      </x:c>
      <x:c r="P487" s="10" t="n">
        <x:v>1</x:v>
      </x:c>
      <x:c r="Q487" s="10" t="n">
        <x:v>1</x:v>
      </x:c>
    </x:row>
    <x:row r="488" ht="23" customHeight="1">
      <x:c r="A488" s="2" t="str">
        <x:v>Traffic</x:v>
      </x:c>
      <x:c r="B488" s="2" t="n">
        <x:v>6</x:v>
      </x:c>
      <x:c r="C488" s="2" t="str">
        <x:v>TaTS</x:v>
      </x:c>
      <x:c r="D488" s="2" t="n">
        <x:v>2028</x:v>
      </x:c>
      <x:c r="E488" s="10" t="n">
        <x:v>0.24723389000952123</x:v>
      </x:c>
      <x:c r="F488" s="10" t="n">
        <x:v>0.2377404139570892</x:v>
      </x:c>
      <x:c r="G488" s="10" t="n">
        <x:v>0.24723389000952123</x:v>
      </x:c>
      <x:c r="H488" s="11" t="n">
        <x:v>0</x:v>
      </x:c>
      <x:c r="I488" s="2" t="n">
        <x:v>7</x:v>
      </x:c>
      <x:c r="J488" s="2" t="n">
        <x:v>15</x:v>
      </x:c>
      <x:c r="K488" s="2" t="str">
        <x:v>已达到</x:v>
      </x:c>
      <x:c r="L488" s="10" t="n">
        <x:v>0.2870771830821588</x:v>
      </x:c>
      <x:c r="M488" s="10" t="n">
        <x:v>0.2856370551948107</x:v>
      </x:c>
      <x:c r="N488" s="10" t="n">
        <x:v>0.2870771830821588</x:v>
      </x:c>
      <x:c r="O488" s="2" t="n">
        <x:v>101</x:v>
      </x:c>
      <x:c r="P488" s="10" t="n">
        <x:v>1</x:v>
      </x:c>
      <x:c r="Q488" s="10" t="n">
        <x:v>1</x:v>
      </x:c>
    </x:row>
    <x:row r="489" ht="23" customHeight="1">
      <x:c r="A489" s="2" t="str">
        <x:v>Traffic</x:v>
      </x:c>
      <x:c r="B489" s="2" t="n">
        <x:v>6</x:v>
      </x:c>
      <x:c r="C489" s="2" t="str">
        <x:v>MM-TSFlib</x:v>
      </x:c>
      <x:c r="D489" s="2" t="n">
        <x:v>2026</x:v>
      </x:c>
      <x:c r="E489" s="10" t="n">
        <x:v>0.15184177843025573</x:v>
      </x:c>
      <x:c r="F489" s="10" t="n">
        <x:v>0.15948016108599725</x:v>
      </x:c>
      <x:c r="G489" s="10" t="n">
        <x:v>0.15184177843025573</x:v>
      </x:c>
      <x:c r="H489" s="11" t="n">
        <x:v>0</x:v>
      </x:c>
      <x:c r="I489" s="2" t="n">
        <x:v>6</x:v>
      </x:c>
      <x:c r="J489" s="2" t="n">
        <x:v>14</x:v>
      </x:c>
      <x:c r="K489" s="2" t="str">
        <x:v>已达到</x:v>
      </x:c>
      <x:c r="L489" s="10" t="n">
        <x:v>0.2889693409401198</x:v>
      </x:c>
      <x:c r="M489" s="10" t="n">
        <x:v>0.30349189003702043</x:v>
      </x:c>
      <x:c r="N489" s="10" t="n">
        <x:v>0.2889693409401198</x:v>
      </x:c>
      <x:c r="O489" s="2" t="n">
        <x:v>101</x:v>
      </x:c>
      <x:c r="P489" s="10" t="n">
        <x:v>1</x:v>
      </x:c>
      <x:c r="Q489" s="10" t="n">
        <x:v>1</x:v>
      </x:c>
    </x:row>
    <x:row r="490" ht="23" customHeight="1">
      <x:c r="A490" s="2" t="str">
        <x:v>Traffic</x:v>
      </x:c>
      <x:c r="B490" s="2" t="n">
        <x:v>6</x:v>
      </x:c>
      <x:c r="C490" s="2" t="str">
        <x:v>MM-TSFlib</x:v>
      </x:c>
      <x:c r="D490" s="2" t="n">
        <x:v>2027</x:v>
      </x:c>
      <x:c r="E490" s="10" t="n">
        <x:v>0.15184177843025573</x:v>
      </x:c>
      <x:c r="F490" s="10" t="n">
        <x:v>0.15835692452520456</x:v>
      </x:c>
      <x:c r="G490" s="10" t="n">
        <x:v>0.15184177843025573</x:v>
      </x:c>
      <x:c r="H490" s="11" t="n">
        <x:v>0</x:v>
      </x:c>
      <x:c r="I490" s="2" t="n">
        <x:v>7</x:v>
      </x:c>
      <x:c r="J490" s="2" t="n">
        <x:v>15</x:v>
      </x:c>
      <x:c r="K490" s="2" t="str">
        <x:v>已达到</x:v>
      </x:c>
      <x:c r="L490" s="10" t="n">
        <x:v>0.2889693409401198</x:v>
      </x:c>
      <x:c r="M490" s="10" t="n">
        <x:v>0.3011301008388154</x:v>
      </x:c>
      <x:c r="N490" s="10" t="n">
        <x:v>0.2889693409401198</x:v>
      </x:c>
      <x:c r="O490" s="2" t="n">
        <x:v>101</x:v>
      </x:c>
      <x:c r="P490" s="10" t="n">
        <x:v>1</x:v>
      </x:c>
      <x:c r="Q490" s="10" t="n">
        <x:v>1</x:v>
      </x:c>
    </x:row>
    <x:row r="491" ht="23" customHeight="1">
      <x:c r="A491" s="2" t="str">
        <x:v>Traffic</x:v>
      </x:c>
      <x:c r="B491" s="2" t="n">
        <x:v>6</x:v>
      </x:c>
      <x:c r="C491" s="2" t="str">
        <x:v>MM-TSFlib</x:v>
      </x:c>
      <x:c r="D491" s="2" t="n">
        <x:v>2028</x:v>
      </x:c>
      <x:c r="E491" s="10" t="n">
        <x:v>0.15184177843025573</x:v>
      </x:c>
      <x:c r="F491" s="10" t="n">
        <x:v>0.1589296364841571</x:v>
      </x:c>
      <x:c r="G491" s="10" t="n">
        <x:v>0.15184177843025573</x:v>
      </x:c>
      <x:c r="H491" s="11" t="n">
        <x:v>0</x:v>
      </x:c>
      <x:c r="I491" s="2" t="n">
        <x:v>7</x:v>
      </x:c>
      <x:c r="J491" s="2" t="n">
        <x:v>15</x:v>
      </x:c>
      <x:c r="K491" s="2" t="str">
        <x:v>已达到</x:v>
      </x:c>
      <x:c r="L491" s="10" t="n">
        <x:v>0.2889693409401198</x:v>
      </x:c>
      <x:c r="M491" s="10" t="n">
        <x:v>0.30248772139006325</x:v>
      </x:c>
      <x:c r="N491" s="10" t="n">
        <x:v>0.2889693409401198</x:v>
      </x:c>
      <x:c r="O491" s="2" t="n">
        <x:v>101</x:v>
      </x:c>
      <x:c r="P491" s="10" t="n">
        <x:v>1</x:v>
      </x:c>
      <x:c r="Q491" s="10" t="n">
        <x:v>1</x:v>
      </x:c>
    </x:row>
    <x:row r="492" ht="23" customHeight="1">
      <x:c r="A492" s="2" t="str">
        <x:v>Traffic</x:v>
      </x:c>
      <x:c r="B492" s="2" t="n">
        <x:v>6</x:v>
      </x:c>
      <x:c r="C492" s="2" t="str">
        <x:v>SpecTF</x:v>
      </x:c>
      <x:c r="D492" s="2" t="n">
        <x:v>2026</x:v>
      </x:c>
      <x:c r="E492" s="10" t="n">
        <x:v>0.16757848338838088</x:v>
      </x:c>
      <x:c r="F492" s="10" t="n">
        <x:v>0.16381500696127954</x:v>
      </x:c>
      <x:c r="G492" s="10" t="n">
        <x:v>0.16757848338838088</x:v>
      </x:c>
      <x:c r="H492" s="11" t="n">
        <x:v>0</x:v>
      </x:c>
      <x:c r="I492" s="2" t="n">
        <x:v>6</x:v>
      </x:c>
      <x:c r="J492" s="2" t="n">
        <x:v>14</x:v>
      </x:c>
      <x:c r="K492" s="2" t="str">
        <x:v>已达到</x:v>
      </x:c>
      <x:c r="L492" s="10" t="n">
        <x:v>0.23199237465071598</x:v>
      </x:c>
      <x:c r="M492" s="10" t="n">
        <x:v>0.23082159331726163</x:v>
      </x:c>
      <x:c r="N492" s="10" t="n">
        <x:v>0.23199237465071598</x:v>
      </x:c>
      <x:c r="O492" s="2" t="n">
        <x:v>101</x:v>
      </x:c>
      <x:c r="P492" s="10" t="n">
        <x:v>1</x:v>
      </x:c>
      <x:c r="Q492" s="10" t="n">
        <x:v>1</x:v>
      </x:c>
    </x:row>
    <x:row r="493" ht="23" customHeight="1">
      <x:c r="A493" s="2" t="str">
        <x:v>Traffic</x:v>
      </x:c>
      <x:c r="B493" s="2" t="n">
        <x:v>6</x:v>
      </x:c>
      <x:c r="C493" s="2" t="str">
        <x:v>SpecTF</x:v>
      </x:c>
      <x:c r="D493" s="2" t="n">
        <x:v>2027</x:v>
      </x:c>
      <x:c r="E493" s="10" t="n">
        <x:v>0.16757848338838088</x:v>
      </x:c>
      <x:c r="F493" s="10" t="n">
        <x:v>0.16428717002687232</x:v>
      </x:c>
      <x:c r="G493" s="10" t="n">
        <x:v>0.16757848338838088</x:v>
      </x:c>
      <x:c r="H493" s="11" t="n">
        <x:v>0</x:v>
      </x:c>
      <x:c r="I493" s="2" t="n">
        <x:v>7</x:v>
      </x:c>
      <x:c r="J493" s="2" t="n">
        <x:v>15</x:v>
      </x:c>
      <x:c r="K493" s="2" t="str">
        <x:v>已达到</x:v>
      </x:c>
      <x:c r="L493" s="10" t="n">
        <x:v>0.23199237465071598</x:v>
      </x:c>
      <x:c r="M493" s="10" t="n">
        <x:v>0.23078130574116218</x:v>
      </x:c>
      <x:c r="N493" s="10" t="n">
        <x:v>0.23199237465071598</x:v>
      </x:c>
      <x:c r="O493" s="2" t="n">
        <x:v>101</x:v>
      </x:c>
      <x:c r="P493" s="10" t="n">
        <x:v>1</x:v>
      </x:c>
      <x:c r="Q493" s="10" t="n">
        <x:v>1</x:v>
      </x:c>
    </x:row>
    <x:row r="494" ht="23" customHeight="1">
      <x:c r="A494" s="2" t="str">
        <x:v>Traffic</x:v>
      </x:c>
      <x:c r="B494" s="2" t="n">
        <x:v>6</x:v>
      </x:c>
      <x:c r="C494" s="2" t="str">
        <x:v>SpecTF</x:v>
      </x:c>
      <x:c r="D494" s="2" t="n">
        <x:v>2028</x:v>
      </x:c>
      <x:c r="E494" s="10" t="n">
        <x:v>0.16757848338838088</x:v>
      </x:c>
      <x:c r="F494" s="10" t="n">
        <x:v>0.16389251794514814</x:v>
      </x:c>
      <x:c r="G494" s="10" t="n">
        <x:v>0.16757848338838088</x:v>
      </x:c>
      <x:c r="H494" s="11" t="n">
        <x:v>0</x:v>
      </x:c>
      <x:c r="I494" s="2" t="n">
        <x:v>7</x:v>
      </x:c>
      <x:c r="J494" s="2" t="n">
        <x:v>15</x:v>
      </x:c>
      <x:c r="K494" s="2" t="str">
        <x:v>已达到</x:v>
      </x:c>
      <x:c r="L494" s="10" t="n">
        <x:v>0.23199237465071598</x:v>
      </x:c>
      <x:c r="M494" s="10" t="n">
        <x:v>0.23060494415437427</x:v>
      </x:c>
      <x:c r="N494" s="10" t="n">
        <x:v>0.23199237465071598</x:v>
      </x:c>
      <x:c r="O494" s="2" t="n">
        <x:v>101</x:v>
      </x:c>
      <x:c r="P494" s="10" t="n">
        <x:v>1</x:v>
      </x:c>
      <x:c r="Q494" s="10" t="n">
        <x:v>1</x:v>
      </x:c>
    </x:row>
    <x:row r="495" ht="23" customHeight="1">
      <x:c r="A495" s="2" t="str">
        <x:v>Traffic</x:v>
      </x:c>
      <x:c r="B495" s="2" t="n">
        <x:v>6</x:v>
      </x:c>
      <x:c r="C495" s="2" t="str">
        <x:v>CFA</x:v>
      </x:c>
      <x:c r="D495" s="2" t="n">
        <x:v>2026</x:v>
      </x:c>
      <x:c r="E495" s="10" t="n">
        <x:v>0.15811983108467015</x:v>
      </x:c>
      <x:c r="F495" s="10" t="n">
        <x:v>0.1559994414120902</x:v>
      </x:c>
      <x:c r="G495" s="10" t="n">
        <x:v>0.1559994414120902</x:v>
      </x:c>
      <x:c r="H495" s="11" t="n">
        <x:v>1</x:v>
      </x:c>
      <x:c r="I495" s="2" t="n">
        <x:v>6</x:v>
      </x:c>
      <x:c r="J495" s="2" t="n">
        <x:v>14</x:v>
      </x:c>
      <x:c r="K495" s="2" t="str">
        <x:v>已达到</x:v>
      </x:c>
      <x:c r="L495" s="10" t="n">
        <x:v>0.2111115239240942</x:v>
      </x:c>
      <x:c r="M495" s="10" t="n">
        <x:v>0.2069656700203226</x:v>
      </x:c>
      <x:c r="N495" s="10" t="n">
        <x:v>0.2069656700203226</x:v>
      </x:c>
      <x:c r="O495" s="2" t="n">
        <x:v>101</x:v>
      </x:c>
      <x:c r="P495" s="10" t="n">
        <x:v>0.9531137353087201</x:v>
      </x:c>
      <x:c r="Q495" s="10" t="n">
        <x:v>0.9963717700549988</x:v>
      </x:c>
    </x:row>
    <x:row r="496" ht="23" customHeight="1">
      <x:c r="A496" s="2" t="str">
        <x:v>Traffic</x:v>
      </x:c>
      <x:c r="B496" s="2" t="n">
        <x:v>6</x:v>
      </x:c>
      <x:c r="C496" s="2" t="str">
        <x:v>CFA</x:v>
      </x:c>
      <x:c r="D496" s="2" t="n">
        <x:v>2027</x:v>
      </x:c>
      <x:c r="E496" s="10" t="n">
        <x:v>0.15811983108467015</x:v>
      </x:c>
      <x:c r="F496" s="10" t="n">
        <x:v>0.15644395957604768</x:v>
      </x:c>
      <x:c r="G496" s="10" t="n">
        <x:v>0.15644395957604768</x:v>
      </x:c>
      <x:c r="H496" s="11" t="n">
        <x:v>1</x:v>
      </x:c>
      <x:c r="I496" s="2" t="n">
        <x:v>7</x:v>
      </x:c>
      <x:c r="J496" s="2" t="n">
        <x:v>15</x:v>
      </x:c>
      <x:c r="K496" s="2" t="str">
        <x:v>已达到</x:v>
      </x:c>
      <x:c r="L496" s="10" t="n">
        <x:v>0.2111115239240942</x:v>
      </x:c>
      <x:c r="M496" s="10" t="n">
        <x:v>0.20786904196313308</x:v>
      </x:c>
      <x:c r="N496" s="10" t="n">
        <x:v>0.20786904196313308</x:v>
      </x:c>
      <x:c r="O496" s="2" t="n">
        <x:v>101</x:v>
      </x:c>
      <x:c r="P496" s="10" t="n">
        <x:v>0.9564849943402225</x:v>
      </x:c>
      <x:c r="Q496" s="10" t="n">
        <x:v>0.9962709874415758</x:v>
      </x:c>
    </x:row>
    <x:row r="497" ht="23" customHeight="1">
      <x:c r="A497" s="2" t="str">
        <x:v>Traffic</x:v>
      </x:c>
      <x:c r="B497" s="2" t="n">
        <x:v>6</x:v>
      </x:c>
      <x:c r="C497" s="2" t="str">
        <x:v>CFA</x:v>
      </x:c>
      <x:c r="D497" s="2" t="n">
        <x:v>2028</x:v>
      </x:c>
      <x:c r="E497" s="10" t="n">
        <x:v>0.15811983108467015</x:v>
      </x:c>
      <x:c r="F497" s="10" t="n">
        <x:v>0.15632525064124556</x:v>
      </x:c>
      <x:c r="G497" s="10" t="n">
        <x:v>0.15632525064124556</x:v>
      </x:c>
      <x:c r="H497" s="11" t="n">
        <x:v>1</x:v>
      </x:c>
      <x:c r="I497" s="2" t="n">
        <x:v>7</x:v>
      </x:c>
      <x:c r="J497" s="2" t="n">
        <x:v>15</x:v>
      </x:c>
      <x:c r="K497" s="2" t="str">
        <x:v>已达到</x:v>
      </x:c>
      <x:c r="L497" s="10" t="n">
        <x:v>0.2111115239240942</x:v>
      </x:c>
      <x:c r="M497" s="10" t="n">
        <x:v>0.2078489935388266</x:v>
      </x:c>
      <x:c r="N497" s="10" t="n">
        <x:v>0.2078489935388266</x:v>
      </x:c>
      <x:c r="O497" s="2" t="n">
        <x:v>101</x:v>
      </x:c>
      <x:c r="P497" s="10" t="n">
        <x:v>0.9593544882153374</x:v>
      </x:c>
      <x:c r="Q497" s="10" t="n">
        <x:v>0.9971518357823564</x:v>
      </x:c>
    </x:row>
    <x:row r="498" ht="23" customHeight="1">
      <x:c r="A498" s="2" t="str">
        <x:v>Traffic</x:v>
      </x:c>
      <x:c r="B498" s="2" t="n">
        <x:v>6</x:v>
      </x:c>
      <x:c r="C498" s="2" t="str">
        <x:v>Aurora</x:v>
      </x:c>
      <x:c r="D498" s="2" t="n">
        <x:v>2026</x:v>
      </x:c>
      <x:c r="E498" s="10" t="n">
        <x:v>0.15602859012632012</x:v>
      </x:c>
      <x:c r="F498" s="10" t="n">
        <x:v>0.1595332881951933</x:v>
      </x:c>
      <x:c r="G498" s="10" t="n">
        <x:v>0.15602859012632012</x:v>
      </x:c>
      <x:c r="H498" s="11" t="n">
        <x:v>0</x:v>
      </x:c>
      <x:c r="I498" s="2" t="n">
        <x:v>6</x:v>
      </x:c>
      <x:c r="J498" s="2" t="n">
        <x:v>14</x:v>
      </x:c>
      <x:c r="K498" s="2" t="str">
        <x:v>已达到</x:v>
      </x:c>
      <x:c r="L498" s="10" t="n">
        <x:v>0.23506494097583758</x:v>
      </x:c>
      <x:c r="M498" s="10" t="n">
        <x:v>0.24799287004439352</x:v>
      </x:c>
      <x:c r="N498" s="10" t="n">
        <x:v>0.23506494097583758</x:v>
      </x:c>
      <x:c r="O498" s="2" t="n">
        <x:v>101</x:v>
      </x:c>
      <x:c r="P498" s="10" t="n">
        <x:v>1</x:v>
      </x:c>
      <x:c r="Q498" s="10" t="n">
        <x:v>1</x:v>
      </x:c>
    </x:row>
    <x:row r="499" ht="23" customHeight="1">
      <x:c r="A499" s="2" t="str">
        <x:v>Traffic</x:v>
      </x:c>
      <x:c r="B499" s="2" t="n">
        <x:v>6</x:v>
      </x:c>
      <x:c r="C499" s="2" t="str">
        <x:v>Aurora</x:v>
      </x:c>
      <x:c r="D499" s="2" t="n">
        <x:v>2027</x:v>
      </x:c>
      <x:c r="E499" s="10" t="n">
        <x:v>0.15602859012632012</x:v>
      </x:c>
      <x:c r="F499" s="10" t="n">
        <x:v>0.1589459614810756</x:v>
      </x:c>
      <x:c r="G499" s="10" t="n">
        <x:v>0.15602859012632012</x:v>
      </x:c>
      <x:c r="H499" s="11" t="n">
        <x:v>0</x:v>
      </x:c>
      <x:c r="I499" s="2" t="n">
        <x:v>7</x:v>
      </x:c>
      <x:c r="J499" s="2" t="n">
        <x:v>15</x:v>
      </x:c>
      <x:c r="K499" s="2" t="str">
        <x:v>已达到</x:v>
      </x:c>
      <x:c r="L499" s="10" t="n">
        <x:v>0.23506494097583758</x:v>
      </x:c>
      <x:c r="M499" s="10" t="n">
        <x:v>0.2455437963355099</x:v>
      </x:c>
      <x:c r="N499" s="10" t="n">
        <x:v>0.23506494097583758</x:v>
      </x:c>
      <x:c r="O499" s="2" t="n">
        <x:v>101</x:v>
      </x:c>
      <x:c r="P499" s="10" t="n">
        <x:v>1</x:v>
      </x:c>
      <x:c r="Q499" s="10" t="n">
        <x:v>1</x:v>
      </x:c>
    </x:row>
    <x:row r="500" ht="23" customHeight="1">
      <x:c r="A500" s="2" t="str">
        <x:v>Traffic</x:v>
      </x:c>
      <x:c r="B500" s="2" t="n">
        <x:v>6</x:v>
      </x:c>
      <x:c r="C500" s="2" t="str">
        <x:v>Aurora</x:v>
      </x:c>
      <x:c r="D500" s="2" t="n">
        <x:v>2028</x:v>
      </x:c>
      <x:c r="E500" s="10" t="n">
        <x:v>0.15602859012632012</x:v>
      </x:c>
      <x:c r="F500" s="10" t="n">
        <x:v>0.15912259203410858</x:v>
      </x:c>
      <x:c r="G500" s="10" t="n">
        <x:v>0.15602859012632012</x:v>
      </x:c>
      <x:c r="H500" s="11" t="n">
        <x:v>0</x:v>
      </x:c>
      <x:c r="I500" s="2" t="n">
        <x:v>7</x:v>
      </x:c>
      <x:c r="J500" s="2" t="n">
        <x:v>15</x:v>
      </x:c>
      <x:c r="K500" s="2" t="str">
        <x:v>已达到</x:v>
      </x:c>
      <x:c r="L500" s="10" t="n">
        <x:v>0.23506494097583758</x:v>
      </x:c>
      <x:c r="M500" s="10" t="n">
        <x:v>0.24682809269861025</x:v>
      </x:c>
      <x:c r="N500" s="10" t="n">
        <x:v>0.23506494097583758</x:v>
      </x:c>
      <x:c r="O500" s="2" t="n">
        <x:v>101</x:v>
      </x:c>
      <x:c r="P500" s="10" t="n">
        <x:v>1</x:v>
      </x:c>
      <x:c r="Q500" s="10" t="n">
        <x:v>1</x:v>
      </x:c>
    </x:row>
    <x:row r="501" ht="23" customHeight="1">
      <x:c r="A501" s="2" t="str">
        <x:v>Traffic</x:v>
      </x:c>
      <x:c r="B501" s="2" t="n">
        <x:v>8</x:v>
      </x:c>
      <x:c r="C501" s="2" t="str">
        <x:v>TaTS</x:v>
      </x:c>
      <x:c r="D501" s="2" t="n">
        <x:v>2026</x:v>
      </x:c>
      <x:c r="E501" s="10" t="n">
        <x:v>0.23876363465916217</x:v>
      </x:c>
      <x:c r="F501" s="10" t="n">
        <x:v>0.23876363465916217</x:v>
      </x:c>
      <x:c r="G501" s="10" t="n">
        <x:v>0.23876363465916217</x:v>
      </x:c>
      <x:c r="H501" s="11" t="n">
        <x:v>0</x:v>
      </x:c>
      <x:c r="I501" s="2" t="n">
        <x:v>0</x:v>
      </x:c>
      <x:c r="J501" s="2" t="n">
        <x:v>8</x:v>
      </x:c>
      <x:c r="K501" s="2" t="str">
        <x:v>已达到</x:v>
      </x:c>
      <x:c r="L501" s="10" t="n">
        <x:v>0.2842959060963958</x:v>
      </x:c>
      <x:c r="M501" s="10" t="n">
        <x:v>0.2842959060963958</x:v>
      </x:c>
      <x:c r="N501" s="10" t="n">
        <x:v>0.2842959060963958</x:v>
      </x:c>
      <x:c r="O501" s="2" t="n">
        <x:v>99</x:v>
      </x:c>
      <x:c r="P501" s="10" t="n">
        <x:v>1</x:v>
      </x:c>
      <x:c r="Q501" s="10" t="n">
        <x:v>1</x:v>
      </x:c>
    </x:row>
    <x:row r="502" ht="23" customHeight="1">
      <x:c r="A502" s="2" t="str">
        <x:v>Traffic</x:v>
      </x:c>
      <x:c r="B502" s="2" t="n">
        <x:v>8</x:v>
      </x:c>
      <x:c r="C502" s="2" t="str">
        <x:v>TaTS</x:v>
      </x:c>
      <x:c r="D502" s="2" t="n">
        <x:v>2027</x:v>
      </x:c>
      <x:c r="E502" s="10" t="n">
        <x:v>0.23876363465916217</x:v>
      </x:c>
      <x:c r="F502" s="10" t="n">
        <x:v>0.23604817250284435</x:v>
      </x:c>
      <x:c r="G502" s="10" t="n">
        <x:v>0.23604817250284435</x:v>
      </x:c>
      <x:c r="H502" s="11" t="n">
        <x:v>1</x:v>
      </x:c>
      <x:c r="I502" s="2" t="n">
        <x:v>3</x:v>
      </x:c>
      <x:c r="J502" s="2" t="n">
        <x:v>11</x:v>
      </x:c>
      <x:c r="K502" s="2" t="str">
        <x:v>已达到</x:v>
      </x:c>
      <x:c r="L502" s="10" t="n">
        <x:v>0.2842959060963958</x:v>
      </x:c>
      <x:c r="M502" s="10" t="n">
        <x:v>0.28358152531313174</x:v>
      </x:c>
      <x:c r="N502" s="10" t="n">
        <x:v>0.28358152531313174</x:v>
      </x:c>
      <x:c r="O502" s="2" t="n">
        <x:v>99</x:v>
      </x:c>
      <x:c r="P502" s="10" t="n">
        <x:v>0.9987985831813128</x:v>
      </x:c>
      <x:c r="Q502" s="10" t="n">
        <x:v>0.9957561484373618</x:v>
      </x:c>
    </x:row>
    <x:row r="503" ht="23" customHeight="1">
      <x:c r="A503" s="2" t="str">
        <x:v>Traffic</x:v>
      </x:c>
      <x:c r="B503" s="2" t="n">
        <x:v>8</x:v>
      </x:c>
      <x:c r="C503" s="2" t="str">
        <x:v>TaTS</x:v>
      </x:c>
      <x:c r="D503" s="2" t="n">
        <x:v>2028</x:v>
      </x:c>
      <x:c r="E503" s="10" t="n">
        <x:v>0.23876363465916217</x:v>
      </x:c>
      <x:c r="F503" s="10" t="n">
        <x:v>0.2355368034805332</x:v>
      </x:c>
      <x:c r="G503" s="10" t="n">
        <x:v>0.2355368034805332</x:v>
      </x:c>
      <x:c r="H503" s="11" t="n">
        <x:v>1</x:v>
      </x:c>
      <x:c r="I503" s="2" t="n">
        <x:v>3</x:v>
      </x:c>
      <x:c r="J503" s="2" t="n">
        <x:v>11</x:v>
      </x:c>
      <x:c r="K503" s="2" t="str">
        <x:v>已达到</x:v>
      </x:c>
      <x:c r="L503" s="10" t="n">
        <x:v>0.2842959060963958</x:v>
      </x:c>
      <x:c r="M503" s="10" t="n">
        <x:v>0.2833868995910943</x:v>
      </x:c>
      <x:c r="N503" s="10" t="n">
        <x:v>0.2833868995910943</x:v>
      </x:c>
      <x:c r="O503" s="2" t="n">
        <x:v>99</x:v>
      </x:c>
      <x:c r="P503" s="10" t="n">
        <x:v>0.9935123757595069</x:v>
      </x:c>
      <x:c r="Q503" s="10" t="n">
        <x:v>0.9919015088356484</x:v>
      </x:c>
    </x:row>
    <x:row r="504" ht="23" customHeight="1">
      <x:c r="A504" s="2" t="str">
        <x:v>Traffic</x:v>
      </x:c>
      <x:c r="B504" s="2" t="n">
        <x:v>8</x:v>
      </x:c>
      <x:c r="C504" s="2" t="str">
        <x:v>MM-TSFlib</x:v>
      </x:c>
      <x:c r="D504" s="2" t="n">
        <x:v>2026</x:v>
      </x:c>
      <x:c r="E504" s="10" t="n">
        <x:v>0.15819917205889875</x:v>
      </x:c>
      <x:c r="F504" s="10" t="n">
        <x:v>0.15819917205889875</x:v>
      </x:c>
      <x:c r="G504" s="10" t="n">
        <x:v>0.15819917205889875</x:v>
      </x:c>
      <x:c r="H504" s="11" t="n">
        <x:v>0</x:v>
      </x:c>
      <x:c r="I504" s="2" t="n">
        <x:v>0</x:v>
      </x:c>
      <x:c r="J504" s="2" t="n">
        <x:v>8</x:v>
      </x:c>
      <x:c r="K504" s="2" t="str">
        <x:v>已达到</x:v>
      </x:c>
      <x:c r="L504" s="10" t="n">
        <x:v>0.29109538162145954</x:v>
      </x:c>
      <x:c r="M504" s="10" t="n">
        <x:v>0.29109538162145954</x:v>
      </x:c>
      <x:c r="N504" s="10" t="n">
        <x:v>0.29109538162145954</x:v>
      </x:c>
      <x:c r="O504" s="2" t="n">
        <x:v>99</x:v>
      </x:c>
      <x:c r="P504" s="10" t="n">
        <x:v>1</x:v>
      </x:c>
      <x:c r="Q504" s="10" t="n">
        <x:v>1</x:v>
      </x:c>
    </x:row>
    <x:row r="505" ht="23" customHeight="1">
      <x:c r="A505" s="2" t="str">
        <x:v>Traffic</x:v>
      </x:c>
      <x:c r="B505" s="2" t="n">
        <x:v>8</x:v>
      </x:c>
      <x:c r="C505" s="2" t="str">
        <x:v>MM-TSFlib</x:v>
      </x:c>
      <x:c r="D505" s="2" t="n">
        <x:v>2027</x:v>
      </x:c>
      <x:c r="E505" s="10" t="n">
        <x:v>0.15819917205889875</x:v>
      </x:c>
      <x:c r="F505" s="10" t="n">
        <x:v>0.15961731175681146</x:v>
      </x:c>
      <x:c r="G505" s="10" t="n">
        <x:v>0.15819917205889875</x:v>
      </x:c>
      <x:c r="H505" s="11" t="n">
        <x:v>0</x:v>
      </x:c>
      <x:c r="I505" s="2" t="n">
        <x:v>3</x:v>
      </x:c>
      <x:c r="J505" s="2" t="n">
        <x:v>11</x:v>
      </x:c>
      <x:c r="K505" s="2" t="str">
        <x:v>已达到</x:v>
      </x:c>
      <x:c r="L505" s="10" t="n">
        <x:v>0.29109538162145954</x:v>
      </x:c>
      <x:c r="M505" s="10" t="n">
        <x:v>0.2948369591525107</x:v>
      </x:c>
      <x:c r="N505" s="10" t="n">
        <x:v>0.29109538162145954</x:v>
      </x:c>
      <x:c r="O505" s="2" t="n">
        <x:v>99</x:v>
      </x:c>
      <x:c r="P505" s="10" t="n">
        <x:v>1</x:v>
      </x:c>
      <x:c r="Q505" s="10" t="n">
        <x:v>1</x:v>
      </x:c>
    </x:row>
    <x:row r="506" ht="23" customHeight="1">
      <x:c r="A506" s="2" t="str">
        <x:v>Traffic</x:v>
      </x:c>
      <x:c r="B506" s="2" t="n">
        <x:v>8</x:v>
      </x:c>
      <x:c r="C506" s="2" t="str">
        <x:v>MM-TSFlib</x:v>
      </x:c>
      <x:c r="D506" s="2" t="n">
        <x:v>2028</x:v>
      </x:c>
      <x:c r="E506" s="10" t="n">
        <x:v>0.15819917205889875</x:v>
      </x:c>
      <x:c r="F506" s="10" t="n">
        <x:v>0.15977897019837758</x:v>
      </x:c>
      <x:c r="G506" s="10" t="n">
        <x:v>0.15819917205889875</x:v>
      </x:c>
      <x:c r="H506" s="11" t="n">
        <x:v>0</x:v>
      </x:c>
      <x:c r="I506" s="2" t="n">
        <x:v>3</x:v>
      </x:c>
      <x:c r="J506" s="2" t="n">
        <x:v>11</x:v>
      </x:c>
      <x:c r="K506" s="2" t="str">
        <x:v>已达到</x:v>
      </x:c>
      <x:c r="L506" s="10" t="n">
        <x:v>0.29109538162145954</x:v>
      </x:c>
      <x:c r="M506" s="10" t="n">
        <x:v>0.29524837389136804</x:v>
      </x:c>
      <x:c r="N506" s="10" t="n">
        <x:v>0.29109538162145954</x:v>
      </x:c>
      <x:c r="O506" s="2" t="n">
        <x:v>99</x:v>
      </x:c>
      <x:c r="P506" s="10" t="n">
        <x:v>1</x:v>
      </x:c>
      <x:c r="Q506" s="10" t="n">
        <x:v>1</x:v>
      </x:c>
    </x:row>
    <x:row r="507" ht="23" customHeight="1">
      <x:c r="A507" s="2" t="str">
        <x:v>Traffic</x:v>
      </x:c>
      <x:c r="B507" s="2" t="n">
        <x:v>8</x:v>
      </x:c>
      <x:c r="C507" s="2" t="str">
        <x:v>SpecTF</x:v>
      </x:c>
      <x:c r="D507" s="2" t="n">
        <x:v>2026</x:v>
      </x:c>
      <x:c r="E507" s="10" t="n">
        <x:v>0.18590940564234654</x:v>
      </x:c>
      <x:c r="F507" s="10" t="n">
        <x:v>0.18590940562685002</x:v>
      </x:c>
      <x:c r="G507" s="10" t="n">
        <x:v>0.18590940564234654</x:v>
      </x:c>
      <x:c r="H507" s="11" t="n">
        <x:v>0</x:v>
      </x:c>
      <x:c r="I507" s="2" t="n">
        <x:v>0</x:v>
      </x:c>
      <x:c r="J507" s="2" t="n">
        <x:v>8</x:v>
      </x:c>
      <x:c r="K507" s="2" t="str">
        <x:v>已达到</x:v>
      </x:c>
      <x:c r="L507" s="10" t="n">
        <x:v>0.23040441761876343</x:v>
      </x:c>
      <x:c r="M507" s="10" t="n">
        <x:v>0.23040441761233266</x:v>
      </x:c>
      <x:c r="N507" s="10" t="n">
        <x:v>0.23040441761876343</x:v>
      </x:c>
      <x:c r="O507" s="2" t="n">
        <x:v>99</x:v>
      </x:c>
      <x:c r="P507" s="10" t="n">
        <x:v>1</x:v>
      </x:c>
      <x:c r="Q507" s="10" t="n">
        <x:v>1</x:v>
      </x:c>
    </x:row>
    <x:row r="508" ht="23" customHeight="1">
      <x:c r="A508" s="2" t="str">
        <x:v>Traffic</x:v>
      </x:c>
      <x:c r="B508" s="2" t="n">
        <x:v>8</x:v>
      </x:c>
      <x:c r="C508" s="2" t="str">
        <x:v>SpecTF</x:v>
      </x:c>
      <x:c r="D508" s="2" t="n">
        <x:v>2027</x:v>
      </x:c>
      <x:c r="E508" s="10" t="n">
        <x:v>0.18590940564234654</x:v>
      </x:c>
      <x:c r="F508" s="10" t="n">
        <x:v>0.18565391339038656</x:v>
      </x:c>
      <x:c r="G508" s="10" t="n">
        <x:v>0.1857665844551253</x:v>
      </x:c>
      <x:c r="H508" s="11" t="n">
        <x:v>0.5</x:v>
      </x:c>
      <x:c r="I508" s="2" t="n">
        <x:v>3</x:v>
      </x:c>
      <x:c r="J508" s="2" t="n">
        <x:v>11</x:v>
      </x:c>
      <x:c r="K508" s="2" t="str">
        <x:v>已达到</x:v>
      </x:c>
      <x:c r="L508" s="10" t="n">
        <x:v>0.23040441761876343</x:v>
      </x:c>
      <x:c r="M508" s="10" t="n">
        <x:v>0.23001153858300918</x:v>
      </x:c>
      <x:c r="N508" s="10" t="n">
        <x:v>0.23018584217502255</x:v>
      </x:c>
      <x:c r="O508" s="2" t="n">
        <x:v>99</x:v>
      </x:c>
      <x:c r="P508" s="10" t="n">
        <x:v>0.9992905871585326</x:v>
      </x:c>
      <x:c r="Q508" s="10" t="n">
        <x:v>0.9995032171231509</x:v>
      </x:c>
    </x:row>
    <x:row r="509" ht="23" customHeight="1">
      <x:c r="A509" s="2" t="str">
        <x:v>Traffic</x:v>
      </x:c>
      <x:c r="B509" s="2" t="n">
        <x:v>8</x:v>
      </x:c>
      <x:c r="C509" s="2" t="str">
        <x:v>SpecTF</x:v>
      </x:c>
      <x:c r="D509" s="2" t="n">
        <x:v>2028</x:v>
      </x:c>
      <x:c r="E509" s="10" t="n">
        <x:v>0.18590940564234654</x:v>
      </x:c>
      <x:c r="F509" s="10" t="n">
        <x:v>0.18562639147817303</x:v>
      </x:c>
      <x:c r="G509" s="10" t="n">
        <x:v>0.1856808138026728</x:v>
      </x:c>
      <x:c r="H509" s="11" t="n">
        <x:v>0.75</x:v>
      </x:c>
      <x:c r="I509" s="2" t="n">
        <x:v>3</x:v>
      </x:c>
      <x:c r="J509" s="2" t="n">
        <x:v>11</x:v>
      </x:c>
      <x:c r="K509" s="2" t="str">
        <x:v>已达到</x:v>
      </x:c>
      <x:c r="L509" s="10" t="n">
        <x:v>0.23040441761876343</x:v>
      </x:c>
      <x:c r="M509" s="10" t="n">
        <x:v>0.2299076742116324</x:v>
      </x:c>
      <x:c r="N509" s="10" t="n">
        <x:v>0.23001090058500673</x:v>
      </x:c>
      <x:c r="O509" s="2" t="n">
        <x:v>99</x:v>
      </x:c>
      <x:c r="P509" s="10" t="n">
        <x:v>0.9981000156723977</x:v>
      </x:c>
      <x:c r="Q509" s="10" t="n">
        <x:v>0.9982911227459141</x:v>
      </x:c>
    </x:row>
    <x:row r="510" ht="23" customHeight="1">
      <x:c r="A510" s="2" t="str">
        <x:v>Traffic</x:v>
      </x:c>
      <x:c r="B510" s="2" t="n">
        <x:v>8</x:v>
      </x:c>
      <x:c r="C510" s="2" t="str">
        <x:v>CFA</x:v>
      </x:c>
      <x:c r="D510" s="2" t="n">
        <x:v>2026</x:v>
      </x:c>
      <x:c r="E510" s="10" t="n">
        <x:v>0.15928932672901436</x:v>
      </x:c>
      <x:c r="F510" s="10" t="n">
        <x:v>0.15928932673462126</x:v>
      </x:c>
      <x:c r="G510" s="10" t="n">
        <x:v>0.15928932672901436</x:v>
      </x:c>
      <x:c r="H510" s="11" t="n">
        <x:v>0</x:v>
      </x:c>
      <x:c r="I510" s="2" t="n">
        <x:v>0</x:v>
      </x:c>
      <x:c r="J510" s="2" t="n">
        <x:v>8</x:v>
      </x:c>
      <x:c r="K510" s="2" t="str">
        <x:v>已达到</x:v>
      </x:c>
      <x:c r="L510" s="10" t="n">
        <x:v>0.20568800303671095</x:v>
      </x:c>
      <x:c r="M510" s="10" t="n">
        <x:v>0.2056880030390628</x:v>
      </x:c>
      <x:c r="N510" s="10" t="n">
        <x:v>0.20568800303671095</x:v>
      </x:c>
      <x:c r="O510" s="2" t="n">
        <x:v>99</x:v>
      </x:c>
      <x:c r="P510" s="10" t="n">
        <x:v>1</x:v>
      </x:c>
      <x:c r="Q510" s="10" t="n">
        <x:v>1</x:v>
      </x:c>
    </x:row>
    <x:row r="511" ht="23" customHeight="1">
      <x:c r="A511" s="2" t="str">
        <x:v>Traffic</x:v>
      </x:c>
      <x:c r="B511" s="2" t="n">
        <x:v>8</x:v>
      </x:c>
      <x:c r="C511" s="2" t="str">
        <x:v>CFA</x:v>
      </x:c>
      <x:c r="D511" s="2" t="n">
        <x:v>2027</x:v>
      </x:c>
      <x:c r="E511" s="10" t="n">
        <x:v>0.15928932672901436</x:v>
      </x:c>
      <x:c r="F511" s="10" t="n">
        <x:v>0.1593996789728244</x:v>
      </x:c>
      <x:c r="G511" s="10" t="n">
        <x:v>0.15928932672901436</x:v>
      </x:c>
      <x:c r="H511" s="11" t="n">
        <x:v>0</x:v>
      </x:c>
      <x:c r="I511" s="2" t="n">
        <x:v>3</x:v>
      </x:c>
      <x:c r="J511" s="2" t="n">
        <x:v>11</x:v>
      </x:c>
      <x:c r="K511" s="2" t="str">
        <x:v>已达到</x:v>
      </x:c>
      <x:c r="L511" s="10" t="n">
        <x:v>0.20568800303671095</x:v>
      </x:c>
      <x:c r="M511" s="10" t="n">
        <x:v>0.20590973543849858</x:v>
      </x:c>
      <x:c r="N511" s="10" t="n">
        <x:v>0.20568800303671095</x:v>
      </x:c>
      <x:c r="O511" s="2" t="n">
        <x:v>99</x:v>
      </x:c>
      <x:c r="P511" s="10" t="n">
        <x:v>1</x:v>
      </x:c>
      <x:c r="Q511" s="10" t="n">
        <x:v>1</x:v>
      </x:c>
    </x:row>
    <x:row r="512" ht="23" customHeight="1">
      <x:c r="A512" s="2" t="str">
        <x:v>Traffic</x:v>
      </x:c>
      <x:c r="B512" s="2" t="n">
        <x:v>8</x:v>
      </x:c>
      <x:c r="C512" s="2" t="str">
        <x:v>CFA</x:v>
      </x:c>
      <x:c r="D512" s="2" t="n">
        <x:v>2028</x:v>
      </x:c>
      <x:c r="E512" s="10" t="n">
        <x:v>0.15928932672901436</x:v>
      </x:c>
      <x:c r="F512" s="10" t="n">
        <x:v>0.15941356702327122</x:v>
      </x:c>
      <x:c r="G512" s="10" t="n">
        <x:v>0.15928932672901436</x:v>
      </x:c>
      <x:c r="H512" s="11" t="n">
        <x:v>0</x:v>
      </x:c>
      <x:c r="I512" s="2" t="n">
        <x:v>3</x:v>
      </x:c>
      <x:c r="J512" s="2" t="n">
        <x:v>11</x:v>
      </x:c>
      <x:c r="K512" s="2" t="str">
        <x:v>已达到</x:v>
      </x:c>
      <x:c r="L512" s="10" t="n">
        <x:v>0.20568800303671095</x:v>
      </x:c>
      <x:c r="M512" s="10" t="n">
        <x:v>0.20596481242094827</x:v>
      </x:c>
      <x:c r="N512" s="10" t="n">
        <x:v>0.20568800303671095</x:v>
      </x:c>
      <x:c r="O512" s="2" t="n">
        <x:v>99</x:v>
      </x:c>
      <x:c r="P512" s="10" t="n">
        <x:v>1</x:v>
      </x:c>
      <x:c r="Q512" s="10" t="n">
        <x:v>1</x:v>
      </x:c>
    </x:row>
    <x:row r="513" ht="23" customHeight="1">
      <x:c r="A513" s="2" t="str">
        <x:v>Traffic</x:v>
      </x:c>
      <x:c r="B513" s="2" t="n">
        <x:v>8</x:v>
      </x:c>
      <x:c r="C513" s="2" t="str">
        <x:v>Aurora</x:v>
      </x:c>
      <x:c r="D513" s="2" t="n">
        <x:v>2026</x:v>
      </x:c>
      <x:c r="E513" s="10" t="n">
        <x:v>0.16190882453397848</x:v>
      </x:c>
      <x:c r="F513" s="10" t="n">
        <x:v>0.16190882453397848</x:v>
      </x:c>
      <x:c r="G513" s="10" t="n">
        <x:v>0.16190882453397848</x:v>
      </x:c>
      <x:c r="H513" s="11" t="n">
        <x:v>0</x:v>
      </x:c>
      <x:c r="I513" s="2" t="n">
        <x:v>0</x:v>
      </x:c>
      <x:c r="J513" s="2" t="n">
        <x:v>8</x:v>
      </x:c>
      <x:c r="K513" s="2" t="str">
        <x:v>已达到</x:v>
      </x:c>
      <x:c r="L513" s="10" t="n">
        <x:v>0.2416489091936988</x:v>
      </x:c>
      <x:c r="M513" s="10" t="n">
        <x:v>0.2416489091936988</x:v>
      </x:c>
      <x:c r="N513" s="10" t="n">
        <x:v>0.2416489091936988</x:v>
      </x:c>
      <x:c r="O513" s="2" t="n">
        <x:v>99</x:v>
      </x:c>
      <x:c r="P513" s="10" t="n">
        <x:v>1</x:v>
      </x:c>
      <x:c r="Q513" s="10" t="n">
        <x:v>1</x:v>
      </x:c>
    </x:row>
    <x:row r="514" ht="23" customHeight="1">
      <x:c r="A514" s="2" t="str">
        <x:v>Traffic</x:v>
      </x:c>
      <x:c r="B514" s="2" t="n">
        <x:v>8</x:v>
      </x:c>
      <x:c r="C514" s="2" t="str">
        <x:v>Aurora</x:v>
      </x:c>
      <x:c r="D514" s="2" t="n">
        <x:v>2027</x:v>
      </x:c>
      <x:c r="E514" s="10" t="n">
        <x:v>0.16190882453397848</x:v>
      </x:c>
      <x:c r="F514" s="10" t="n">
        <x:v>0.16266991527973268</x:v>
      </x:c>
      <x:c r="G514" s="10" t="n">
        <x:v>0.16190882453397848</x:v>
      </x:c>
      <x:c r="H514" s="11" t="n">
        <x:v>0</x:v>
      </x:c>
      <x:c r="I514" s="2" t="n">
        <x:v>3</x:v>
      </x:c>
      <x:c r="J514" s="2" t="n">
        <x:v>11</x:v>
      </x:c>
      <x:c r="K514" s="2" t="str">
        <x:v>已达到</x:v>
      </x:c>
      <x:c r="L514" s="10" t="n">
        <x:v>0.2416489091936988</x:v>
      </x:c>
      <x:c r="M514" s="10" t="n">
        <x:v>0.24462919433911642</x:v>
      </x:c>
      <x:c r="N514" s="10" t="n">
        <x:v>0.2416489091936988</x:v>
      </x:c>
      <x:c r="O514" s="2" t="n">
        <x:v>99</x:v>
      </x:c>
      <x:c r="P514" s="10" t="n">
        <x:v>1</x:v>
      </x:c>
      <x:c r="Q514" s="10" t="n">
        <x:v>1</x:v>
      </x:c>
    </x:row>
    <x:row r="515" ht="23" customHeight="1">
      <x:c r="A515" s="2" t="str">
        <x:v>Traffic</x:v>
      </x:c>
      <x:c r="B515" s="2" t="n">
        <x:v>8</x:v>
      </x:c>
      <x:c r="C515" s="2" t="str">
        <x:v>Aurora</x:v>
      </x:c>
      <x:c r="D515" s="2" t="n">
        <x:v>2028</x:v>
      </x:c>
      <x:c r="E515" s="10" t="n">
        <x:v>0.16190882453397848</x:v>
      </x:c>
      <x:c r="F515" s="10" t="n">
        <x:v>0.16278106812122622</x:v>
      </x:c>
      <x:c r="G515" s="10" t="n">
        <x:v>0.16190882453397848</x:v>
      </x:c>
      <x:c r="H515" s="11" t="n">
        <x:v>0</x:v>
      </x:c>
      <x:c r="I515" s="2" t="n">
        <x:v>3</x:v>
      </x:c>
      <x:c r="J515" s="2" t="n">
        <x:v>11</x:v>
      </x:c>
      <x:c r="K515" s="2" t="str">
        <x:v>已达到</x:v>
      </x:c>
      <x:c r="L515" s="10" t="n">
        <x:v>0.2416489091936988</x:v>
      </x:c>
      <x:c r="M515" s="10" t="n">
        <x:v>0.24504894992769366</x:v>
      </x:c>
      <x:c r="N515" s="10" t="n">
        <x:v>0.2416489091936988</x:v>
      </x:c>
      <x:c r="O515" s="2" t="n">
        <x:v>99</x:v>
      </x:c>
      <x:c r="P515" s="10" t="n">
        <x:v>1</x:v>
      </x:c>
      <x:c r="Q515" s="10" t="n">
        <x:v>1</x:v>
      </x:c>
    </x:row>
    <x:row r="516" ht="23" customHeight="1">
      <x:c r="A516" s="2" t="str">
        <x:v>Traffic</x:v>
      </x:c>
      <x:c r="B516" s="2" t="n">
        <x:v>10</x:v>
      </x:c>
      <x:c r="C516" s="2" t="str">
        <x:v>TaTS</x:v>
      </x:c>
      <x:c r="D516" s="2" t="n">
        <x:v>2026</x:v>
      </x:c>
      <x:c r="E516" s="10" t="n">
        <x:v>0.24555718831519832</x:v>
      </x:c>
      <x:c r="F516" s="10" t="n">
        <x:v>0.24555718831519832</x:v>
      </x:c>
      <x:c r="G516" s="10" t="n">
        <x:v>0.24555718831519832</x:v>
      </x:c>
      <x:c r="H516" s="11" t="n">
        <x:v>0</x:v>
      </x:c>
      <x:c r="I516" s="2" t="n">
        <x:v>0</x:v>
      </x:c>
      <x:c r="J516" s="2" t="n">
        <x:v>8</x:v>
      </x:c>
      <x:c r="K516" s="2" t="str">
        <x:v>已达到</x:v>
      </x:c>
      <x:c r="L516" s="10" t="n">
        <x:v>0.29089475784105123</x:v>
      </x:c>
      <x:c r="M516" s="10" t="n">
        <x:v>0.29089475784105123</x:v>
      </x:c>
      <x:c r="N516" s="10" t="n">
        <x:v>0.29089475784105123</x:v>
      </x:c>
      <x:c r="O516" s="2" t="n">
        <x:v>97</x:v>
      </x:c>
      <x:c r="P516" s="10" t="n">
        <x:v>1</x:v>
      </x:c>
      <x:c r="Q516" s="10" t="n">
        <x:v>1</x:v>
      </x:c>
    </x:row>
    <x:row r="517" ht="23" customHeight="1">
      <x:c r="A517" s="2" t="str">
        <x:v>Traffic</x:v>
      </x:c>
      <x:c r="B517" s="2" t="n">
        <x:v>10</x:v>
      </x:c>
      <x:c r="C517" s="2" t="str">
        <x:v>TaTS</x:v>
      </x:c>
      <x:c r="D517" s="2" t="n">
        <x:v>2027</x:v>
      </x:c>
      <x:c r="E517" s="10" t="n">
        <x:v>0.24555718831519832</x:v>
      </x:c>
      <x:c r="F517" s="10" t="n">
        <x:v>0.2427748542613522</x:v>
      </x:c>
      <x:c r="G517" s="10" t="n">
        <x:v>0.24415494630590592</x:v>
      </x:c>
      <x:c r="H517" s="11" t="n">
        <x:v>0.5</x:v>
      </x:c>
      <x:c r="I517" s="2" t="n">
        <x:v>3</x:v>
      </x:c>
      <x:c r="J517" s="2" t="n">
        <x:v>11</x:v>
      </x:c>
      <x:c r="K517" s="2" t="str">
        <x:v>已达到</x:v>
      </x:c>
      <x:c r="L517" s="10" t="n">
        <x:v>0.29089475784105123</x:v>
      </x:c>
      <x:c r="M517" s="10" t="n">
        <x:v>0.2901681085837256</x:v>
      </x:c>
      <x:c r="N517" s="10" t="n">
        <x:v>0.2905239880392232</x:v>
      </x:c>
      <x:c r="O517" s="2" t="n">
        <x:v>97</x:v>
      </x:c>
      <x:c r="P517" s="10" t="n">
        <x:v>0.9991211176565942</x:v>
      </x:c>
      <x:c r="Q517" s="10" t="n">
        <x:v>0.9996917400816593</x:v>
      </x:c>
    </x:row>
    <x:row r="518" ht="23" customHeight="1">
      <x:c r="A518" s="2" t="str">
        <x:v>Traffic</x:v>
      </x:c>
      <x:c r="B518" s="2" t="n">
        <x:v>10</x:v>
      </x:c>
      <x:c r="C518" s="2" t="str">
        <x:v>TaTS</x:v>
      </x:c>
      <x:c r="D518" s="2" t="n">
        <x:v>2028</x:v>
      </x:c>
      <x:c r="E518" s="10" t="n">
        <x:v>0.24555718831519832</x:v>
      </x:c>
      <x:c r="F518" s="10" t="n">
        <x:v>0.24353649999596377</x:v>
      </x:c>
      <x:c r="G518" s="10" t="n">
        <x:v>0.24353649999596377</x:v>
      </x:c>
      <x:c r="H518" s="11" t="n">
        <x:v>1</x:v>
      </x:c>
      <x:c r="I518" s="2" t="n">
        <x:v>2</x:v>
      </x:c>
      <x:c r="J518" s="2" t="n">
        <x:v>10</x:v>
      </x:c>
      <x:c r="K518" s="2" t="str">
        <x:v>已达到</x:v>
      </x:c>
      <x:c r="L518" s="10" t="n">
        <x:v>0.29089475784105123</x:v>
      </x:c>
      <x:c r="M518" s="10" t="n">
        <x:v>0.29014633009114216</x:v>
      </x:c>
      <x:c r="N518" s="10" t="n">
        <x:v>0.29014633009114216</x:v>
      </x:c>
      <x:c r="O518" s="2" t="n">
        <x:v>97</x:v>
      </x:c>
      <x:c r="P518" s="10" t="n">
        <x:v>0.9990779975250307</x:v>
      </x:c>
      <x:c r="Q518" s="10" t="n">
        <x:v>0.9985653095745809</x:v>
      </x:c>
    </x:row>
    <x:row r="519" ht="23" customHeight="1">
      <x:c r="A519" s="2" t="str">
        <x:v>Traffic</x:v>
      </x:c>
      <x:c r="B519" s="2" t="n">
        <x:v>10</x:v>
      </x:c>
      <x:c r="C519" s="2" t="str">
        <x:v>MM-TSFlib</x:v>
      </x:c>
      <x:c r="D519" s="2" t="n">
        <x:v>2026</x:v>
      </x:c>
      <x:c r="E519" s="10" t="n">
        <x:v>0.1666901516930486</x:v>
      </x:c>
      <x:c r="F519" s="10" t="n">
        <x:v>0.1666901516930486</x:v>
      </x:c>
      <x:c r="G519" s="10" t="n">
        <x:v>0.1666901516930486</x:v>
      </x:c>
      <x:c r="H519" s="11" t="n">
        <x:v>0</x:v>
      </x:c>
      <x:c r="I519" s="2" t="n">
        <x:v>0</x:v>
      </x:c>
      <x:c r="J519" s="2" t="n">
        <x:v>8</x:v>
      </x:c>
      <x:c r="K519" s="2" t="str">
        <x:v>已达到</x:v>
      </x:c>
      <x:c r="L519" s="10" t="n">
        <x:v>0.3120483236214549</x:v>
      </x:c>
      <x:c r="M519" s="10" t="n">
        <x:v>0.3120483236214549</x:v>
      </x:c>
      <x:c r="N519" s="10" t="n">
        <x:v>0.3120483236214549</x:v>
      </x:c>
      <x:c r="O519" s="2" t="n">
        <x:v>97</x:v>
      </x:c>
      <x:c r="P519" s="10" t="n">
        <x:v>1</x:v>
      </x:c>
      <x:c r="Q519" s="10" t="n">
        <x:v>1</x:v>
      </x:c>
    </x:row>
    <x:row r="520" ht="23" customHeight="1">
      <x:c r="A520" s="2" t="str">
        <x:v>Traffic</x:v>
      </x:c>
      <x:c r="B520" s="2" t="n">
        <x:v>10</x:v>
      </x:c>
      <x:c r="C520" s="2" t="str">
        <x:v>MM-TSFlib</x:v>
      </x:c>
      <x:c r="D520" s="2" t="n">
        <x:v>2027</x:v>
      </x:c>
      <x:c r="E520" s="10" t="n">
        <x:v>0.1666901516930486</x:v>
      </x:c>
      <x:c r="F520" s="10" t="n">
        <x:v>0.16882264789782087</x:v>
      </x:c>
      <x:c r="G520" s="10" t="n">
        <x:v>0.1666901516930486</x:v>
      </x:c>
      <x:c r="H520" s="11" t="n">
        <x:v>0</x:v>
      </x:c>
      <x:c r="I520" s="2" t="n">
        <x:v>3</x:v>
      </x:c>
      <x:c r="J520" s="2" t="n">
        <x:v>11</x:v>
      </x:c>
      <x:c r="K520" s="2" t="str">
        <x:v>已达到</x:v>
      </x:c>
      <x:c r="L520" s="10" t="n">
        <x:v>0.3120483236214549</x:v>
      </x:c>
      <x:c r="M520" s="10" t="n">
        <x:v>0.3160418794019935</x:v>
      </x:c>
      <x:c r="N520" s="10" t="n">
        <x:v>0.3120483236214549</x:v>
      </x:c>
      <x:c r="O520" s="2" t="n">
        <x:v>97</x:v>
      </x:c>
      <x:c r="P520" s="10" t="n">
        <x:v>1</x:v>
      </x:c>
      <x:c r="Q520" s="10" t="n">
        <x:v>1</x:v>
      </x:c>
    </x:row>
    <x:row r="521" ht="23" customHeight="1">
      <x:c r="A521" s="2" t="str">
        <x:v>Traffic</x:v>
      </x:c>
      <x:c r="B521" s="2" t="n">
        <x:v>10</x:v>
      </x:c>
      <x:c r="C521" s="2" t="str">
        <x:v>MM-TSFlib</x:v>
      </x:c>
      <x:c r="D521" s="2" t="n">
        <x:v>2028</x:v>
      </x:c>
      <x:c r="E521" s="10" t="n">
        <x:v>0.1666901516930486</x:v>
      </x:c>
      <x:c r="F521" s="10" t="n">
        <x:v>0.1680316578327337</x:v>
      </x:c>
      <x:c r="G521" s="10" t="n">
        <x:v>0.1666901516930486</x:v>
      </x:c>
      <x:c r="H521" s="11" t="n">
        <x:v>0</x:v>
      </x:c>
      <x:c r="I521" s="2" t="n">
        <x:v>2</x:v>
      </x:c>
      <x:c r="J521" s="2" t="n">
        <x:v>10</x:v>
      </x:c>
      <x:c r="K521" s="2" t="str">
        <x:v>已达到</x:v>
      </x:c>
      <x:c r="L521" s="10" t="n">
        <x:v>0.3120483236214549</x:v>
      </x:c>
      <x:c r="M521" s="10" t="n">
        <x:v>0.3145351840663202</x:v>
      </x:c>
      <x:c r="N521" s="10" t="n">
        <x:v>0.3120483236214549</x:v>
      </x:c>
      <x:c r="O521" s="2" t="n">
        <x:v>97</x:v>
      </x:c>
      <x:c r="P521" s="10" t="n">
        <x:v>1</x:v>
      </x:c>
      <x:c r="Q521" s="10" t="n">
        <x:v>1</x:v>
      </x:c>
    </x:row>
    <x:row r="522" ht="23" customHeight="1">
      <x:c r="A522" s="2" t="str">
        <x:v>Traffic</x:v>
      </x:c>
      <x:c r="B522" s="2" t="n">
        <x:v>10</x:v>
      </x:c>
      <x:c r="C522" s="2" t="str">
        <x:v>SpecTF</x:v>
      </x:c>
      <x:c r="D522" s="2" t="n">
        <x:v>2026</x:v>
      </x:c>
      <x:c r="E522" s="10" t="n">
        <x:v>0.19986794571428487</x:v>
      </x:c>
      <x:c r="F522" s="10" t="n">
        <x:v>0.19986794572808184</x:v>
      </x:c>
      <x:c r="G522" s="10" t="n">
        <x:v>0.19986794571428487</x:v>
      </x:c>
      <x:c r="H522" s="11" t="n">
        <x:v>0</x:v>
      </x:c>
      <x:c r="I522" s="2" t="n">
        <x:v>0</x:v>
      </x:c>
      <x:c r="J522" s="2" t="n">
        <x:v>8</x:v>
      </x:c>
      <x:c r="K522" s="2" t="str">
        <x:v>已达到</x:v>
      </x:c>
      <x:c r="L522" s="10" t="n">
        <x:v>0.23956109915389534</x:v>
      </x:c>
      <x:c r="M522" s="10" t="n">
        <x:v>0.23956109915965612</x:v>
      </x:c>
      <x:c r="N522" s="10" t="n">
        <x:v>0.23956109915389534</x:v>
      </x:c>
      <x:c r="O522" s="2" t="n">
        <x:v>97</x:v>
      </x:c>
      <x:c r="P522" s="10" t="n">
        <x:v>1</x:v>
      </x:c>
      <x:c r="Q522" s="10" t="n">
        <x:v>1</x:v>
      </x:c>
    </x:row>
    <x:row r="523" ht="23" customHeight="1">
      <x:c r="A523" s="2" t="str">
        <x:v>Traffic</x:v>
      </x:c>
      <x:c r="B523" s="2" t="n">
        <x:v>10</x:v>
      </x:c>
      <x:c r="C523" s="2" t="str">
        <x:v>SpecTF</x:v>
      </x:c>
      <x:c r="D523" s="2" t="n">
        <x:v>2027</x:v>
      </x:c>
      <x:c r="E523" s="10" t="n">
        <x:v>0.19986794571428487</x:v>
      </x:c>
      <x:c r="F523" s="10" t="n">
        <x:v>0.19962817957159057</x:v>
      </x:c>
      <x:c r="G523" s="10" t="n">
        <x:v>0.19986794571428487</x:v>
      </x:c>
      <x:c r="H523" s="11" t="n">
        <x:v>0</x:v>
      </x:c>
      <x:c r="I523" s="2" t="n">
        <x:v>3</x:v>
      </x:c>
      <x:c r="J523" s="2" t="n">
        <x:v>11</x:v>
      </x:c>
      <x:c r="K523" s="2" t="str">
        <x:v>已达到</x:v>
      </x:c>
      <x:c r="L523" s="10" t="n">
        <x:v>0.23956109915389534</x:v>
      </x:c>
      <x:c r="M523" s="10" t="n">
        <x:v>0.2388395553166719</x:v>
      </x:c>
      <x:c r="N523" s="10" t="n">
        <x:v>0.23956109915389534</x:v>
      </x:c>
      <x:c r="O523" s="2" t="n">
        <x:v>97</x:v>
      </x:c>
      <x:c r="P523" s="10" t="n">
        <x:v>1</x:v>
      </x:c>
      <x:c r="Q523" s="10" t="n">
        <x:v>1</x:v>
      </x:c>
    </x:row>
    <x:row r="524" ht="23" customHeight="1">
      <x:c r="A524" s="2" t="str">
        <x:v>Traffic</x:v>
      </x:c>
      <x:c r="B524" s="2" t="n">
        <x:v>10</x:v>
      </x:c>
      <x:c r="C524" s="2" t="str">
        <x:v>SpecTF</x:v>
      </x:c>
      <x:c r="D524" s="2" t="n">
        <x:v>2028</x:v>
      </x:c>
      <x:c r="E524" s="10" t="n">
        <x:v>0.19986794571428487</x:v>
      </x:c>
      <x:c r="F524" s="10" t="n">
        <x:v>0.19961778731994748</x:v>
      </x:c>
      <x:c r="G524" s="10" t="n">
        <x:v>0.19986794571428487</x:v>
      </x:c>
      <x:c r="H524" s="11" t="n">
        <x:v>0</x:v>
      </x:c>
      <x:c r="I524" s="2" t="n">
        <x:v>2</x:v>
      </x:c>
      <x:c r="J524" s="2" t="n">
        <x:v>10</x:v>
      </x:c>
      <x:c r="K524" s="2" t="str">
        <x:v>已达到</x:v>
      </x:c>
      <x:c r="L524" s="10" t="n">
        <x:v>0.23956109915389534</x:v>
      </x:c>
      <x:c r="M524" s="10" t="n">
        <x:v>0.23896615186456552</x:v>
      </x:c>
      <x:c r="N524" s="10" t="n">
        <x:v>0.23956109915389534</x:v>
      </x:c>
      <x:c r="O524" s="2" t="n">
        <x:v>97</x:v>
      </x:c>
      <x:c r="P524" s="10" t="n">
        <x:v>1</x:v>
      </x:c>
      <x:c r="Q524" s="10" t="n">
        <x:v>1</x:v>
      </x:c>
    </x:row>
    <x:row r="525" ht="23" customHeight="1">
      <x:c r="A525" s="2" t="str">
        <x:v>Traffic</x:v>
      </x:c>
      <x:c r="B525" s="2" t="n">
        <x:v>10</x:v>
      </x:c>
      <x:c r="C525" s="2" t="str">
        <x:v>CFA</x:v>
      </x:c>
      <x:c r="D525" s="2" t="n">
        <x:v>2026</x:v>
      </x:c>
      <x:c r="E525" s="10" t="n">
        <x:v>0.1732082597712524</x:v>
      </x:c>
      <x:c r="F525" s="10" t="n">
        <x:v>0.1732082597537759</x:v>
      </x:c>
      <x:c r="G525" s="10" t="n">
        <x:v>0.1732082597712524</x:v>
      </x:c>
      <x:c r="H525" s="11" t="n">
        <x:v>0</x:v>
      </x:c>
      <x:c r="I525" s="2" t="n">
        <x:v>0</x:v>
      </x:c>
      <x:c r="J525" s="2" t="n">
        <x:v>8</x:v>
      </x:c>
      <x:c r="K525" s="2" t="str">
        <x:v>已达到</x:v>
      </x:c>
      <x:c r="L525" s="10" t="n">
        <x:v>0.21992391489215732</x:v>
      </x:c>
      <x:c r="M525" s="10" t="n">
        <x:v>0.21992391488447632</x:v>
      </x:c>
      <x:c r="N525" s="10" t="n">
        <x:v>0.21992391489215732</x:v>
      </x:c>
      <x:c r="O525" s="2" t="n">
        <x:v>97</x:v>
      </x:c>
      <x:c r="P525" s="10" t="n">
        <x:v>1</x:v>
      </x:c>
      <x:c r="Q525" s="10" t="n">
        <x:v>1</x:v>
      </x:c>
    </x:row>
    <x:row r="526" ht="23" customHeight="1">
      <x:c r="A526" s="2" t="str">
        <x:v>Traffic</x:v>
      </x:c>
      <x:c r="B526" s="2" t="n">
        <x:v>10</x:v>
      </x:c>
      <x:c r="C526" s="2" t="str">
        <x:v>CFA</x:v>
      </x:c>
      <x:c r="D526" s="2" t="n">
        <x:v>2027</x:v>
      </x:c>
      <x:c r="E526" s="10" t="n">
        <x:v>0.1732082597712524</x:v>
      </x:c>
      <x:c r="F526" s="10" t="n">
        <x:v>0.17356130555478663</x:v>
      </x:c>
      <x:c r="G526" s="10" t="n">
        <x:v>0.1732082597712524</x:v>
      </x:c>
      <x:c r="H526" s="11" t="n">
        <x:v>0</x:v>
      </x:c>
      <x:c r="I526" s="2" t="n">
        <x:v>3</x:v>
      </x:c>
      <x:c r="J526" s="2" t="n">
        <x:v>11</x:v>
      </x:c>
      <x:c r="K526" s="2" t="str">
        <x:v>已达到</x:v>
      </x:c>
      <x:c r="L526" s="10" t="n">
        <x:v>0.21992391489215732</x:v>
      </x:c>
      <x:c r="M526" s="10" t="n">
        <x:v>0.22065943703823482</x:v>
      </x:c>
      <x:c r="N526" s="10" t="n">
        <x:v>0.21992391489215732</x:v>
      </x:c>
      <x:c r="O526" s="2" t="n">
        <x:v>97</x:v>
      </x:c>
      <x:c r="P526" s="10" t="n">
        <x:v>1</x:v>
      </x:c>
      <x:c r="Q526" s="10" t="n">
        <x:v>1</x:v>
      </x:c>
    </x:row>
    <x:row r="527" ht="23" customHeight="1">
      <x:c r="A527" s="2" t="str">
        <x:v>Traffic</x:v>
      </x:c>
      <x:c r="B527" s="2" t="n">
        <x:v>10</x:v>
      </x:c>
      <x:c r="C527" s="2" t="str">
        <x:v>CFA</x:v>
      </x:c>
      <x:c r="D527" s="2" t="n">
        <x:v>2028</x:v>
      </x:c>
      <x:c r="E527" s="10" t="n">
        <x:v>0.1732082597712524</x:v>
      </x:c>
      <x:c r="F527" s="10" t="n">
        <x:v>0.173357400112662</x:v>
      </x:c>
      <x:c r="G527" s="10" t="n">
        <x:v>0.1732082597712524</x:v>
      </x:c>
      <x:c r="H527" s="11" t="n">
        <x:v>0</x:v>
      </x:c>
      <x:c r="I527" s="2" t="n">
        <x:v>2</x:v>
      </x:c>
      <x:c r="J527" s="2" t="n">
        <x:v>10</x:v>
      </x:c>
      <x:c r="K527" s="2" t="str">
        <x:v>已达到</x:v>
      </x:c>
      <x:c r="L527" s="10" t="n">
        <x:v>0.21992391489215732</x:v>
      </x:c>
      <x:c r="M527" s="10" t="n">
        <x:v>0.22022760999725036</x:v>
      </x:c>
      <x:c r="N527" s="10" t="n">
        <x:v>0.21992391489215732</x:v>
      </x:c>
      <x:c r="O527" s="2" t="n">
        <x:v>97</x:v>
      </x:c>
      <x:c r="P527" s="10" t="n">
        <x:v>1</x:v>
      </x:c>
      <x:c r="Q527" s="10" t="n">
        <x:v>1</x:v>
      </x:c>
    </x:row>
    <x:row r="528" ht="23" customHeight="1">
      <x:c r="A528" s="2" t="str">
        <x:v>Traffic</x:v>
      </x:c>
      <x:c r="B528" s="2" t="n">
        <x:v>10</x:v>
      </x:c>
      <x:c r="C528" s="2" t="str">
        <x:v>Aurora</x:v>
      </x:c>
      <x:c r="D528" s="2" t="n">
        <x:v>2026</x:v>
      </x:c>
      <x:c r="E528" s="10" t="n">
        <x:v>0.16721218643952346</x:v>
      </x:c>
      <x:c r="F528" s="10" t="n">
        <x:v>0.16721218643952346</x:v>
      </x:c>
      <x:c r="G528" s="10" t="n">
        <x:v>0.16721218643952346</x:v>
      </x:c>
      <x:c r="H528" s="11" t="n">
        <x:v>0</x:v>
      </x:c>
      <x:c r="I528" s="2" t="n">
        <x:v>0</x:v>
      </x:c>
      <x:c r="J528" s="2" t="n">
        <x:v>8</x:v>
      </x:c>
      <x:c r="K528" s="2" t="str">
        <x:v>已达到</x:v>
      </x:c>
      <x:c r="L528" s="10" t="n">
        <x:v>0.248815129804857</x:v>
      </x:c>
      <x:c r="M528" s="10" t="n">
        <x:v>0.248815129804857</x:v>
      </x:c>
      <x:c r="N528" s="10" t="n">
        <x:v>0.248815129804857</x:v>
      </x:c>
      <x:c r="O528" s="2" t="n">
        <x:v>97</x:v>
      </x:c>
      <x:c r="P528" s="10" t="n">
        <x:v>1</x:v>
      </x:c>
      <x:c r="Q528" s="10" t="n">
        <x:v>1</x:v>
      </x:c>
    </x:row>
    <x:row r="529" ht="23" customHeight="1">
      <x:c r="A529" s="2" t="str">
        <x:v>Traffic</x:v>
      </x:c>
      <x:c r="B529" s="2" t="n">
        <x:v>10</x:v>
      </x:c>
      <x:c r="C529" s="2" t="str">
        <x:v>Aurora</x:v>
      </x:c>
      <x:c r="D529" s="2" t="n">
        <x:v>2027</x:v>
      </x:c>
      <x:c r="E529" s="10" t="n">
        <x:v>0.16721218643952346</x:v>
      </x:c>
      <x:c r="F529" s="10" t="n">
        <x:v>0.16802566783287398</x:v>
      </x:c>
      <x:c r="G529" s="10" t="n">
        <x:v>0.16721218643952346</x:v>
      </x:c>
      <x:c r="H529" s="11" t="n">
        <x:v>0</x:v>
      </x:c>
      <x:c r="I529" s="2" t="n">
        <x:v>3</x:v>
      </x:c>
      <x:c r="J529" s="2" t="n">
        <x:v>11</x:v>
      </x:c>
      <x:c r="K529" s="2" t="str">
        <x:v>已达到</x:v>
      </x:c>
      <x:c r="L529" s="10" t="n">
        <x:v>0.248815129804857</x:v>
      </x:c>
      <x:c r="M529" s="10" t="n">
        <x:v>0.2519600866996136</x:v>
      </x:c>
      <x:c r="N529" s="10" t="n">
        <x:v>0.248815129804857</x:v>
      </x:c>
      <x:c r="O529" s="2" t="n">
        <x:v>97</x:v>
      </x:c>
      <x:c r="P529" s="10" t="n">
        <x:v>1</x:v>
      </x:c>
      <x:c r="Q529" s="10" t="n">
        <x:v>1</x:v>
      </x:c>
    </x:row>
    <x:row r="530" ht="23" customHeight="1">
      <x:c r="A530" s="2" t="str">
        <x:v>Traffic</x:v>
      </x:c>
      <x:c r="B530" s="2" t="n">
        <x:v>10</x:v>
      </x:c>
      <x:c r="C530" s="2" t="str">
        <x:v>Aurora</x:v>
      </x:c>
      <x:c r="D530" s="2" t="n">
        <x:v>2028</x:v>
      </x:c>
      <x:c r="E530" s="10" t="n">
        <x:v>0.16721218643952346</x:v>
      </x:c>
      <x:c r="F530" s="10" t="n">
        <x:v>0.16770409478737086</x:v>
      </x:c>
      <x:c r="G530" s="10" t="n">
        <x:v>0.16721218643952346</x:v>
      </x:c>
      <x:c r="H530" s="11" t="n">
        <x:v>0</x:v>
      </x:c>
      <x:c r="I530" s="2" t="n">
        <x:v>2</x:v>
      </x:c>
      <x:c r="J530" s="2" t="n">
        <x:v>10</x:v>
      </x:c>
      <x:c r="K530" s="2" t="str">
        <x:v>已达到</x:v>
      </x:c>
      <x:c r="L530" s="10" t="n">
        <x:v>0.248815129804857</x:v>
      </x:c>
      <x:c r="M530" s="10" t="n">
        <x:v>0.2508193639135852</x:v>
      </x:c>
      <x:c r="N530" s="10" t="n">
        <x:v>0.248815129804857</x:v>
      </x:c>
      <x:c r="O530" s="2" t="n">
        <x:v>97</x:v>
      </x:c>
      <x:c r="P530" s="10" t="n">
        <x:v>1</x:v>
      </x:c>
      <x:c r="Q530" s="10" t="n">
        <x:v>1</x:v>
      </x:c>
    </x:row>
    <x:row r="531" ht="23" customHeight="1">
      <x:c r="A531" s="2" t="str">
        <x:v>Traffic</x:v>
      </x:c>
      <x:c r="B531" s="2" t="n">
        <x:v>12</x:v>
      </x:c>
      <x:c r="C531" s="2" t="str">
        <x:v>TaTS</x:v>
      </x:c>
      <x:c r="D531" s="2" t="n">
        <x:v>2026</x:v>
      </x:c>
      <x:c r="E531" s="10" t="n">
        <x:v>0.22234044158079816</x:v>
      </x:c>
      <x:c r="F531" s="10" t="n">
        <x:v>0.22234044158079816</x:v>
      </x:c>
      <x:c r="G531" s="10" t="n">
        <x:v>0.22234044158079816</x:v>
      </x:c>
      <x:c r="H531" s="11" t="n">
        <x:v>0</x:v>
      </x:c>
      <x:c r="I531" s="2" t="n">
        <x:v>0</x:v>
      </x:c>
      <x:c r="J531" s="2" t="n">
        <x:v>8</x:v>
      </x:c>
      <x:c r="K531" s="2" t="str">
        <x:v>已达到</x:v>
      </x:c>
      <x:c r="L531" s="10" t="n">
        <x:v>0.2859304013482311</x:v>
      </x:c>
      <x:c r="M531" s="10" t="n">
        <x:v>0.2859304013482311</x:v>
      </x:c>
      <x:c r="N531" s="10" t="n">
        <x:v>0.2859304013482311</x:v>
      </x:c>
      <x:c r="O531" s="2" t="n">
        <x:v>95</x:v>
      </x:c>
      <x:c r="P531" s="10" t="n">
        <x:v>1</x:v>
      </x:c>
      <x:c r="Q531" s="10" t="n">
        <x:v>1</x:v>
      </x:c>
    </x:row>
    <x:row r="532" ht="23" customHeight="1">
      <x:c r="A532" s="2" t="str">
        <x:v>Traffic</x:v>
      </x:c>
      <x:c r="B532" s="2" t="n">
        <x:v>12</x:v>
      </x:c>
      <x:c r="C532" s="2" t="str">
        <x:v>TaTS</x:v>
      </x:c>
      <x:c r="D532" s="2" t="n">
        <x:v>2027</x:v>
      </x:c>
      <x:c r="E532" s="10" t="n">
        <x:v>0.22234044158079816</x:v>
      </x:c>
      <x:c r="F532" s="10" t="n">
        <x:v>0.22234044158079816</x:v>
      </x:c>
      <x:c r="G532" s="10" t="n">
        <x:v>0.22234044158079816</x:v>
      </x:c>
      <x:c r="H532" s="11" t="n">
        <x:v>0</x:v>
      </x:c>
      <x:c r="I532" s="2" t="n">
        <x:v>0</x:v>
      </x:c>
      <x:c r="J532" s="2" t="n">
        <x:v>8</x:v>
      </x:c>
      <x:c r="K532" s="2" t="str">
        <x:v>已达到</x:v>
      </x:c>
      <x:c r="L532" s="10" t="n">
        <x:v>0.2859304013482311</x:v>
      </x:c>
      <x:c r="M532" s="10" t="n">
        <x:v>0.2859304013482311</x:v>
      </x:c>
      <x:c r="N532" s="10" t="n">
        <x:v>0.2859304013482311</x:v>
      </x:c>
      <x:c r="O532" s="2" t="n">
        <x:v>95</x:v>
      </x:c>
      <x:c r="P532" s="10" t="n">
        <x:v>1</x:v>
      </x:c>
      <x:c r="Q532" s="10" t="n">
        <x:v>1</x:v>
      </x:c>
    </x:row>
    <x:row r="533" ht="23" customHeight="1">
      <x:c r="A533" s="2" t="str">
        <x:v>Traffic</x:v>
      </x:c>
      <x:c r="B533" s="2" t="n">
        <x:v>12</x:v>
      </x:c>
      <x:c r="C533" s="2" t="str">
        <x:v>TaTS</x:v>
      </x:c>
      <x:c r="D533" s="2" t="n">
        <x:v>2028</x:v>
      </x:c>
      <x:c r="E533" s="10" t="n">
        <x:v>0.22234044158079816</x:v>
      </x:c>
      <x:c r="F533" s="10" t="n">
        <x:v>0.22234044158079816</x:v>
      </x:c>
      <x:c r="G533" s="10" t="n">
        <x:v>0.22234044158079816</x:v>
      </x:c>
      <x:c r="H533" s="11" t="n">
        <x:v>0</x:v>
      </x:c>
      <x:c r="I533" s="2" t="n">
        <x:v>0</x:v>
      </x:c>
      <x:c r="J533" s="2" t="n">
        <x:v>8</x:v>
      </x:c>
      <x:c r="K533" s="2" t="str">
        <x:v>已达到</x:v>
      </x:c>
      <x:c r="L533" s="10" t="n">
        <x:v>0.2859304013482311</x:v>
      </x:c>
      <x:c r="M533" s="10" t="n">
        <x:v>0.2859304013482311</x:v>
      </x:c>
      <x:c r="N533" s="10" t="n">
        <x:v>0.2859304013482311</x:v>
      </x:c>
      <x:c r="O533" s="2" t="n">
        <x:v>95</x:v>
      </x:c>
      <x:c r="P533" s="10" t="n">
        <x:v>1</x:v>
      </x:c>
      <x:c r="Q533" s="10" t="n">
        <x:v>1</x:v>
      </x:c>
    </x:row>
    <x:row r="534" ht="23" customHeight="1">
      <x:c r="A534" s="2" t="str">
        <x:v>Traffic</x:v>
      </x:c>
      <x:c r="B534" s="2" t="n">
        <x:v>12</x:v>
      </x:c>
      <x:c r="C534" s="2" t="str">
        <x:v>MM-TSFlib</x:v>
      </x:c>
      <x:c r="D534" s="2" t="n">
        <x:v>2026</x:v>
      </x:c>
      <x:c r="E534" s="10" t="n">
        <x:v>0.17549252996919057</x:v>
      </x:c>
      <x:c r="F534" s="10" t="n">
        <x:v>0.17549252996919057</x:v>
      </x:c>
      <x:c r="G534" s="10" t="n">
        <x:v>0.17549252996919057</x:v>
      </x:c>
      <x:c r="H534" s="11" t="n">
        <x:v>0</x:v>
      </x:c>
      <x:c r="I534" s="2" t="n">
        <x:v>0</x:v>
      </x:c>
      <x:c r="J534" s="2" t="n">
        <x:v>8</x:v>
      </x:c>
      <x:c r="K534" s="2" t="str">
        <x:v>已达到</x:v>
      </x:c>
      <x:c r="L534" s="10" t="n">
        <x:v>0.33094635932591926</x:v>
      </x:c>
      <x:c r="M534" s="10" t="n">
        <x:v>0.33094635932591926</x:v>
      </x:c>
      <x:c r="N534" s="10" t="n">
        <x:v>0.33094635932591926</x:v>
      </x:c>
      <x:c r="O534" s="2" t="n">
        <x:v>95</x:v>
      </x:c>
      <x:c r="P534" s="10" t="n">
        <x:v>1</x:v>
      </x:c>
      <x:c r="Q534" s="10" t="n">
        <x:v>1</x:v>
      </x:c>
    </x:row>
    <x:row r="535" ht="23" customHeight="1">
      <x:c r="A535" s="2" t="str">
        <x:v>Traffic</x:v>
      </x:c>
      <x:c r="B535" s="2" t="n">
        <x:v>12</x:v>
      </x:c>
      <x:c r="C535" s="2" t="str">
        <x:v>MM-TSFlib</x:v>
      </x:c>
      <x:c r="D535" s="2" t="n">
        <x:v>2027</x:v>
      </x:c>
      <x:c r="E535" s="10" t="n">
        <x:v>0.17549252996919057</x:v>
      </x:c>
      <x:c r="F535" s="10" t="n">
        <x:v>0.17549252996919057</x:v>
      </x:c>
      <x:c r="G535" s="10" t="n">
        <x:v>0.17549252996919057</x:v>
      </x:c>
      <x:c r="H535" s="11" t="n">
        <x:v>0</x:v>
      </x:c>
      <x:c r="I535" s="2" t="n">
        <x:v>0</x:v>
      </x:c>
      <x:c r="J535" s="2" t="n">
        <x:v>8</x:v>
      </x:c>
      <x:c r="K535" s="2" t="str">
        <x:v>已达到</x:v>
      </x:c>
      <x:c r="L535" s="10" t="n">
        <x:v>0.33094635932591926</x:v>
      </x:c>
      <x:c r="M535" s="10" t="n">
        <x:v>0.33094635932591926</x:v>
      </x:c>
      <x:c r="N535" s="10" t="n">
        <x:v>0.33094635932591926</x:v>
      </x:c>
      <x:c r="O535" s="2" t="n">
        <x:v>95</x:v>
      </x:c>
      <x:c r="P535" s="10" t="n">
        <x:v>1</x:v>
      </x:c>
      <x:c r="Q535" s="10" t="n">
        <x:v>1</x:v>
      </x:c>
    </x:row>
    <x:row r="536" ht="23" customHeight="1">
      <x:c r="A536" s="2" t="str">
        <x:v>Traffic</x:v>
      </x:c>
      <x:c r="B536" s="2" t="n">
        <x:v>12</x:v>
      </x:c>
      <x:c r="C536" s="2" t="str">
        <x:v>MM-TSFlib</x:v>
      </x:c>
      <x:c r="D536" s="2" t="n">
        <x:v>2028</x:v>
      </x:c>
      <x:c r="E536" s="10" t="n">
        <x:v>0.17549252996919057</x:v>
      </x:c>
      <x:c r="F536" s="10" t="n">
        <x:v>0.17549252996919057</x:v>
      </x:c>
      <x:c r="G536" s="10" t="n">
        <x:v>0.17549252996919057</x:v>
      </x:c>
      <x:c r="H536" s="11" t="n">
        <x:v>0</x:v>
      </x:c>
      <x:c r="I536" s="2" t="n">
        <x:v>0</x:v>
      </x:c>
      <x:c r="J536" s="2" t="n">
        <x:v>8</x:v>
      </x:c>
      <x:c r="K536" s="2" t="str">
        <x:v>已达到</x:v>
      </x:c>
      <x:c r="L536" s="10" t="n">
        <x:v>0.33094635932591926</x:v>
      </x:c>
      <x:c r="M536" s="10" t="n">
        <x:v>0.33094635932591926</x:v>
      </x:c>
      <x:c r="N536" s="10" t="n">
        <x:v>0.33094635932591926</x:v>
      </x:c>
      <x:c r="O536" s="2" t="n">
        <x:v>95</x:v>
      </x:c>
      <x:c r="P536" s="10" t="n">
        <x:v>1</x:v>
      </x:c>
      <x:c r="Q536" s="10" t="n">
        <x:v>1</x:v>
      </x:c>
    </x:row>
    <x:row r="537" ht="23" customHeight="1">
      <x:c r="A537" s="2" t="str">
        <x:v>Traffic</x:v>
      </x:c>
      <x:c r="B537" s="2" t="n">
        <x:v>12</x:v>
      </x:c>
      <x:c r="C537" s="2" t="str">
        <x:v>SpecTF</x:v>
      </x:c>
      <x:c r="D537" s="2" t="n">
        <x:v>2026</x:v>
      </x:c>
      <x:c r="E537" s="10" t="n">
        <x:v>0.18894771280705278</x:v>
      </x:c>
      <x:c r="F537" s="10" t="n">
        <x:v>0.18894771280705278</x:v>
      </x:c>
      <x:c r="G537" s="10" t="n">
        <x:v>0.18894771280705278</x:v>
      </x:c>
      <x:c r="H537" s="11" t="n">
        <x:v>0</x:v>
      </x:c>
      <x:c r="I537" s="2" t="n">
        <x:v>0</x:v>
      </x:c>
      <x:c r="J537" s="2" t="n">
        <x:v>8</x:v>
      </x:c>
      <x:c r="K537" s="2" t="str">
        <x:v>已达到</x:v>
      </x:c>
      <x:c r="L537" s="10" t="n">
        <x:v>0.2395439922286753</x:v>
      </x:c>
      <x:c r="M537" s="10" t="n">
        <x:v>0.2395439922286753</x:v>
      </x:c>
      <x:c r="N537" s="10" t="n">
        <x:v>0.2395439922286753</x:v>
      </x:c>
      <x:c r="O537" s="2" t="n">
        <x:v>95</x:v>
      </x:c>
      <x:c r="P537" s="10" t="n">
        <x:v>1</x:v>
      </x:c>
      <x:c r="Q537" s="10" t="n">
        <x:v>1</x:v>
      </x:c>
    </x:row>
    <x:row r="538" ht="23" customHeight="1">
      <x:c r="A538" s="2" t="str">
        <x:v>Traffic</x:v>
      </x:c>
      <x:c r="B538" s="2" t="n">
        <x:v>12</x:v>
      </x:c>
      <x:c r="C538" s="2" t="str">
        <x:v>SpecTF</x:v>
      </x:c>
      <x:c r="D538" s="2" t="n">
        <x:v>2027</x:v>
      </x:c>
      <x:c r="E538" s="10" t="n">
        <x:v>0.18894771280705278</x:v>
      </x:c>
      <x:c r="F538" s="10" t="n">
        <x:v>0.18894771280705278</x:v>
      </x:c>
      <x:c r="G538" s="10" t="n">
        <x:v>0.18894771280705278</x:v>
      </x:c>
      <x:c r="H538" s="11" t="n">
        <x:v>0</x:v>
      </x:c>
      <x:c r="I538" s="2" t="n">
        <x:v>0</x:v>
      </x:c>
      <x:c r="J538" s="2" t="n">
        <x:v>8</x:v>
      </x:c>
      <x:c r="K538" s="2" t="str">
        <x:v>已达到</x:v>
      </x:c>
      <x:c r="L538" s="10" t="n">
        <x:v>0.2395439922286753</x:v>
      </x:c>
      <x:c r="M538" s="10" t="n">
        <x:v>0.2395439922286753</x:v>
      </x:c>
      <x:c r="N538" s="10" t="n">
        <x:v>0.2395439922286753</x:v>
      </x:c>
      <x:c r="O538" s="2" t="n">
        <x:v>95</x:v>
      </x:c>
      <x:c r="P538" s="10" t="n">
        <x:v>1</x:v>
      </x:c>
      <x:c r="Q538" s="10" t="n">
        <x:v>1</x:v>
      </x:c>
    </x:row>
    <x:row r="539" ht="23" customHeight="1">
      <x:c r="A539" s="2" t="str">
        <x:v>Traffic</x:v>
      </x:c>
      <x:c r="B539" s="2" t="n">
        <x:v>12</x:v>
      </x:c>
      <x:c r="C539" s="2" t="str">
        <x:v>SpecTF</x:v>
      </x:c>
      <x:c r="D539" s="2" t="n">
        <x:v>2028</x:v>
      </x:c>
      <x:c r="E539" s="10" t="n">
        <x:v>0.18894771280705278</x:v>
      </x:c>
      <x:c r="F539" s="10" t="n">
        <x:v>0.18894771280705278</x:v>
      </x:c>
      <x:c r="G539" s="10" t="n">
        <x:v>0.18894771280705278</x:v>
      </x:c>
      <x:c r="H539" s="11" t="n">
        <x:v>0</x:v>
      </x:c>
      <x:c r="I539" s="2" t="n">
        <x:v>0</x:v>
      </x:c>
      <x:c r="J539" s="2" t="n">
        <x:v>8</x:v>
      </x:c>
      <x:c r="K539" s="2" t="str">
        <x:v>已达到</x:v>
      </x:c>
      <x:c r="L539" s="10" t="n">
        <x:v>0.2395439922286753</x:v>
      </x:c>
      <x:c r="M539" s="10" t="n">
        <x:v>0.2395439922286753</x:v>
      </x:c>
      <x:c r="N539" s="10" t="n">
        <x:v>0.2395439922286753</x:v>
      </x:c>
      <x:c r="O539" s="2" t="n">
        <x:v>95</x:v>
      </x:c>
      <x:c r="P539" s="10" t="n">
        <x:v>1</x:v>
      </x:c>
      <x:c r="Q539" s="10" t="n">
        <x:v>1</x:v>
      </x:c>
    </x:row>
    <x:row r="540" ht="23" customHeight="1">
      <x:c r="A540" s="2" t="str">
        <x:v>Traffic</x:v>
      </x:c>
      <x:c r="B540" s="2" t="n">
        <x:v>12</x:v>
      </x:c>
      <x:c r="C540" s="2" t="str">
        <x:v>CFA</x:v>
      </x:c>
      <x:c r="D540" s="2" t="n">
        <x:v>2026</x:v>
      </x:c>
      <x:c r="E540" s="10" t="n">
        <x:v>0.17699060160295385</x:v>
      </x:c>
      <x:c r="F540" s="10" t="n">
        <x:v>0.17699060160295385</x:v>
      </x:c>
      <x:c r="G540" s="10" t="n">
        <x:v>0.17699060160295385</x:v>
      </x:c>
      <x:c r="H540" s="11" t="n">
        <x:v>0</x:v>
      </x:c>
      <x:c r="I540" s="2" t="n">
        <x:v>0</x:v>
      </x:c>
      <x:c r="J540" s="2" t="n">
        <x:v>8</x:v>
      </x:c>
      <x:c r="K540" s="2" t="str">
        <x:v>已达到</x:v>
      </x:c>
      <x:c r="L540" s="10" t="n">
        <x:v>0.2268597012549116</x:v>
      </x:c>
      <x:c r="M540" s="10" t="n">
        <x:v>0.2268597012549116</x:v>
      </x:c>
      <x:c r="N540" s="10" t="n">
        <x:v>0.2268597012549116</x:v>
      </x:c>
      <x:c r="O540" s="2" t="n">
        <x:v>95</x:v>
      </x:c>
      <x:c r="P540" s="10" t="n">
        <x:v>1</x:v>
      </x:c>
      <x:c r="Q540" s="10" t="n">
        <x:v>1</x:v>
      </x:c>
    </x:row>
    <x:row r="541" ht="23" customHeight="1">
      <x:c r="A541" s="2" t="str">
        <x:v>Traffic</x:v>
      </x:c>
      <x:c r="B541" s="2" t="n">
        <x:v>12</x:v>
      </x:c>
      <x:c r="C541" s="2" t="str">
        <x:v>CFA</x:v>
      </x:c>
      <x:c r="D541" s="2" t="n">
        <x:v>2027</x:v>
      </x:c>
      <x:c r="E541" s="10" t="n">
        <x:v>0.17699060160295385</x:v>
      </x:c>
      <x:c r="F541" s="10" t="n">
        <x:v>0.17699060160295385</x:v>
      </x:c>
      <x:c r="G541" s="10" t="n">
        <x:v>0.17699060160295385</x:v>
      </x:c>
      <x:c r="H541" s="11" t="n">
        <x:v>0</x:v>
      </x:c>
      <x:c r="I541" s="2" t="n">
        <x:v>0</x:v>
      </x:c>
      <x:c r="J541" s="2" t="n">
        <x:v>8</x:v>
      </x:c>
      <x:c r="K541" s="2" t="str">
        <x:v>已达到</x:v>
      </x:c>
      <x:c r="L541" s="10" t="n">
        <x:v>0.2268597012549116</x:v>
      </x:c>
      <x:c r="M541" s="10" t="n">
        <x:v>0.2268597012549116</x:v>
      </x:c>
      <x:c r="N541" s="10" t="n">
        <x:v>0.2268597012549116</x:v>
      </x:c>
      <x:c r="O541" s="2" t="n">
        <x:v>95</x:v>
      </x:c>
      <x:c r="P541" s="10" t="n">
        <x:v>1</x:v>
      </x:c>
      <x:c r="Q541" s="10" t="n">
        <x:v>1</x:v>
      </x:c>
    </x:row>
    <x:row r="542" ht="23" customHeight="1">
      <x:c r="A542" s="2" t="str">
        <x:v>Traffic</x:v>
      </x:c>
      <x:c r="B542" s="2" t="n">
        <x:v>12</x:v>
      </x:c>
      <x:c r="C542" s="2" t="str">
        <x:v>CFA</x:v>
      </x:c>
      <x:c r="D542" s="2" t="n">
        <x:v>2028</x:v>
      </x:c>
      <x:c r="E542" s="10" t="n">
        <x:v>0.17699060160295385</x:v>
      </x:c>
      <x:c r="F542" s="10" t="n">
        <x:v>0.17699060160295385</x:v>
      </x:c>
      <x:c r="G542" s="10" t="n">
        <x:v>0.17699060160295385</x:v>
      </x:c>
      <x:c r="H542" s="11" t="n">
        <x:v>0</x:v>
      </x:c>
      <x:c r="I542" s="2" t="n">
        <x:v>0</x:v>
      </x:c>
      <x:c r="J542" s="2" t="n">
        <x:v>8</x:v>
      </x:c>
      <x:c r="K542" s="2" t="str">
        <x:v>已达到</x:v>
      </x:c>
      <x:c r="L542" s="10" t="n">
        <x:v>0.2268597012549116</x:v>
      </x:c>
      <x:c r="M542" s="10" t="n">
        <x:v>0.2268597012549116</x:v>
      </x:c>
      <x:c r="N542" s="10" t="n">
        <x:v>0.2268597012549116</x:v>
      </x:c>
      <x:c r="O542" s="2" t="n">
        <x:v>95</x:v>
      </x:c>
      <x:c r="P542" s="10" t="n">
        <x:v>1</x:v>
      </x:c>
      <x:c r="Q542" s="10" t="n">
        <x:v>1</x:v>
      </x:c>
    </x:row>
    <x:row r="543" ht="23" customHeight="1">
      <x:c r="A543" s="2" t="str">
        <x:v>Traffic</x:v>
      </x:c>
      <x:c r="B543" s="2" t="n">
        <x:v>12</x:v>
      </x:c>
      <x:c r="C543" s="2" t="str">
        <x:v>Aurora</x:v>
      </x:c>
      <x:c r="D543" s="2" t="n">
        <x:v>2026</x:v>
      </x:c>
      <x:c r="E543" s="10" t="n">
        <x:v>0.17349987474511538</x:v>
      </x:c>
      <x:c r="F543" s="10" t="n">
        <x:v>0.17349987474511538</x:v>
      </x:c>
      <x:c r="G543" s="10" t="n">
        <x:v>0.17349987474511538</x:v>
      </x:c>
      <x:c r="H543" s="11" t="n">
        <x:v>0</x:v>
      </x:c>
      <x:c r="I543" s="2" t="n">
        <x:v>0</x:v>
      </x:c>
      <x:c r="J543" s="2" t="n">
        <x:v>8</x:v>
      </x:c>
      <x:c r="K543" s="2" t="str">
        <x:v>已达到</x:v>
      </x:c>
      <x:c r="L543" s="10" t="n">
        <x:v>0.257084223079054</x:v>
      </x:c>
      <x:c r="M543" s="10" t="n">
        <x:v>0.257084223079054</x:v>
      </x:c>
      <x:c r="N543" s="10" t="n">
        <x:v>0.257084223079054</x:v>
      </x:c>
      <x:c r="O543" s="2" t="n">
        <x:v>95</x:v>
      </x:c>
      <x:c r="P543" s="10" t="n">
        <x:v>1</x:v>
      </x:c>
      <x:c r="Q543" s="10" t="n">
        <x:v>1</x:v>
      </x:c>
    </x:row>
    <x:row r="544" ht="23" customHeight="1">
      <x:c r="A544" s="2" t="str">
        <x:v>Traffic</x:v>
      </x:c>
      <x:c r="B544" s="2" t="n">
        <x:v>12</x:v>
      </x:c>
      <x:c r="C544" s="2" t="str">
        <x:v>Aurora</x:v>
      </x:c>
      <x:c r="D544" s="2" t="n">
        <x:v>2027</x:v>
      </x:c>
      <x:c r="E544" s="10" t="n">
        <x:v>0.17349987474511538</x:v>
      </x:c>
      <x:c r="F544" s="10" t="n">
        <x:v>0.17349987474511538</x:v>
      </x:c>
      <x:c r="G544" s="10" t="n">
        <x:v>0.17349987474511538</x:v>
      </x:c>
      <x:c r="H544" s="11" t="n">
        <x:v>0</x:v>
      </x:c>
      <x:c r="I544" s="2" t="n">
        <x:v>0</x:v>
      </x:c>
      <x:c r="J544" s="2" t="n">
        <x:v>8</x:v>
      </x:c>
      <x:c r="K544" s="2" t="str">
        <x:v>已达到</x:v>
      </x:c>
      <x:c r="L544" s="10" t="n">
        <x:v>0.257084223079054</x:v>
      </x:c>
      <x:c r="M544" s="10" t="n">
        <x:v>0.257084223079054</x:v>
      </x:c>
      <x:c r="N544" s="10" t="n">
        <x:v>0.257084223079054</x:v>
      </x:c>
      <x:c r="O544" s="2" t="n">
        <x:v>95</x:v>
      </x:c>
      <x:c r="P544" s="10" t="n">
        <x:v>1</x:v>
      </x:c>
      <x:c r="Q544" s="10" t="n">
        <x:v>1</x:v>
      </x:c>
    </x:row>
    <x:row r="545" ht="23" customHeight="1">
      <x:c r="A545" s="2" t="str">
        <x:v>Traffic</x:v>
      </x:c>
      <x:c r="B545" s="2" t="n">
        <x:v>12</x:v>
      </x:c>
      <x:c r="C545" s="2" t="str">
        <x:v>Aurora</x:v>
      </x:c>
      <x:c r="D545" s="2" t="n">
        <x:v>2028</x:v>
      </x:c>
      <x:c r="E545" s="10" t="n">
        <x:v>0.17349987474511538</x:v>
      </x:c>
      <x:c r="F545" s="10" t="n">
        <x:v>0.17349987474511538</x:v>
      </x:c>
      <x:c r="G545" s="10" t="n">
        <x:v>0.17349987474511538</x:v>
      </x:c>
      <x:c r="H545" s="11" t="n">
        <x:v>0</x:v>
      </x:c>
      <x:c r="I545" s="2" t="n">
        <x:v>0</x:v>
      </x:c>
      <x:c r="J545" s="2" t="n">
        <x:v>8</x:v>
      </x:c>
      <x:c r="K545" s="2" t="str">
        <x:v>已达到</x:v>
      </x:c>
      <x:c r="L545" s="10" t="n">
        <x:v>0.257084223079054</x:v>
      </x:c>
      <x:c r="M545" s="10" t="n">
        <x:v>0.257084223079054</x:v>
      </x:c>
      <x:c r="N545" s="10" t="n">
        <x:v>0.257084223079054</x:v>
      </x:c>
      <x:c r="O545" s="2" t="n">
        <x:v>95</x:v>
      </x:c>
      <x:c r="P545" s="10" t="n">
        <x:v>1</x:v>
      </x:c>
      <x:c r="Q545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01c044641ad43f7"/>
  </x:tableParts>
</x:worksheet>
</file>